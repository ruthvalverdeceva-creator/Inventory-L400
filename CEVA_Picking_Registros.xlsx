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5CE308D1-98FE-4DFE-8D9C-E30B8EEBA38D}" xr6:coauthVersionLast="47" xr6:coauthVersionMax="47" xr10:uidLastSave="{00000000-0000-0000-0000-000000000000}"/>
  <bookViews>
    <workbookView xWindow="0" yWindow="0" windowWidth="16384" windowHeight="8192" tabRatio="500" firstSheet="5" activeTab="5" xr2:uid="{00000000-000D-0000-FFFF-FFFF00000000}"/>
  </bookViews>
  <sheets>
    <sheet name="MARA" sheetId="5" r:id="rId1"/>
    <sheet name="sap" sheetId="6" r:id="rId2"/>
    <sheet name="CANTIDAD" sheetId="7" r:id="rId3"/>
    <sheet name="OPERARIOS" sheetId="4" r:id="rId4"/>
    <sheet name="Tiempos" sheetId="2" r:id="rId5"/>
    <sheet name="Registros" sheetId="1" r:id="rId6"/>
    <sheet name="CRUCE" sheetId="8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2" i="7" l="1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E8" i="2" a="1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3" i="8"/>
  <c r="L14" i="2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7" i="8"/>
  <c r="Q128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498" i="8"/>
  <c r="Q499" i="8"/>
  <c r="Q500" i="8"/>
  <c r="Q501" i="8"/>
  <c r="Q502" i="8"/>
  <c r="Q503" i="8"/>
  <c r="Q504" i="8"/>
  <c r="Q505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29" i="8"/>
  <c r="Q530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I2" i="2"/>
  <c r="I3" i="2"/>
  <c r="I4" i="2"/>
  <c r="I5" i="2"/>
  <c r="I6" i="2"/>
  <c r="I7" i="2"/>
  <c r="I8" i="2"/>
  <c r="I9" i="2"/>
  <c r="I10" i="2"/>
  <c r="I11" i="2"/>
  <c r="I12" i="2"/>
  <c r="I13" i="2"/>
  <c r="I14" i="2"/>
  <c r="E2" i="2" a="1"/>
  <c r="E3" i="2" a="1"/>
  <c r="E4" i="2" a="1"/>
  <c r="E5" i="2" a="1"/>
  <c r="E6" i="2" a="1"/>
  <c r="E7" i="2" a="1"/>
  <c r="E9" i="2" a="1"/>
  <c r="E10" i="2" a="1"/>
  <c r="E11" i="2" a="1"/>
  <c r="E12" i="2" a="1"/>
  <c r="E13" i="2" a="1"/>
  <c r="E14" i="2" a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J14" i="2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K492" i="8" s="1"/>
  <c r="M492" i="8" s="1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L341" i="8" s="1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L228" i="8" s="1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K29" i="8"/>
  <c r="M29" i="8" s="1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F2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M2" i="7" l="1"/>
  <c r="D2" i="7"/>
  <c r="M3" i="7"/>
  <c r="D3" i="7"/>
  <c r="M4" i="7"/>
  <c r="D4" i="7"/>
  <c r="M5" i="7"/>
  <c r="D5" i="7"/>
  <c r="M6" i="7"/>
  <c r="D6" i="7"/>
  <c r="M7" i="7"/>
  <c r="D7" i="7"/>
  <c r="M8" i="7"/>
  <c r="D8" i="7"/>
  <c r="M9" i="7"/>
  <c r="D9" i="7"/>
  <c r="M10" i="7"/>
  <c r="D10" i="7"/>
  <c r="M11" i="7"/>
  <c r="D11" i="7"/>
  <c r="M12" i="7"/>
  <c r="D12" i="7"/>
  <c r="M13" i="7"/>
  <c r="D13" i="7"/>
  <c r="M14" i="7"/>
  <c r="D14" i="7"/>
  <c r="M15" i="7"/>
  <c r="D15" i="7"/>
  <c r="M16" i="7"/>
  <c r="D16" i="7"/>
  <c r="M17" i="7"/>
  <c r="D17" i="7"/>
  <c r="M18" i="7"/>
  <c r="D18" i="7"/>
  <c r="M19" i="7"/>
  <c r="D19" i="7"/>
  <c r="M20" i="7"/>
  <c r="D20" i="7"/>
  <c r="M21" i="7"/>
  <c r="D21" i="7"/>
  <c r="M22" i="7"/>
  <c r="D22" i="7"/>
  <c r="M23" i="7"/>
  <c r="D23" i="7"/>
  <c r="M24" i="7"/>
  <c r="D24" i="7"/>
  <c r="M25" i="7"/>
  <c r="D25" i="7"/>
  <c r="M26" i="7"/>
  <c r="D26" i="7"/>
  <c r="M27" i="7"/>
  <c r="D27" i="7"/>
  <c r="M28" i="7"/>
  <c r="D28" i="7"/>
  <c r="M29" i="7"/>
  <c r="D29" i="7"/>
  <c r="M30" i="7"/>
  <c r="D30" i="7"/>
  <c r="M31" i="7"/>
  <c r="D31" i="7"/>
  <c r="M32" i="7"/>
  <c r="D32" i="7"/>
  <c r="M33" i="7"/>
  <c r="D33" i="7"/>
  <c r="M34" i="7"/>
  <c r="D34" i="7"/>
  <c r="M35" i="7"/>
  <c r="D35" i="7"/>
  <c r="M36" i="7"/>
  <c r="D36" i="7"/>
  <c r="M37" i="7"/>
  <c r="D37" i="7"/>
  <c r="M38" i="7"/>
  <c r="D38" i="7"/>
  <c r="M39" i="7"/>
  <c r="D39" i="7"/>
  <c r="M40" i="7"/>
  <c r="D40" i="7"/>
  <c r="M41" i="7"/>
  <c r="D41" i="7"/>
  <c r="M42" i="7"/>
  <c r="D42" i="7"/>
  <c r="M43" i="7"/>
  <c r="D43" i="7"/>
  <c r="M44" i="7"/>
  <c r="D44" i="7"/>
  <c r="M45" i="7"/>
  <c r="D45" i="7"/>
  <c r="M46" i="7"/>
  <c r="D46" i="7"/>
  <c r="M47" i="7"/>
  <c r="D47" i="7"/>
  <c r="M48" i="7"/>
  <c r="D48" i="7"/>
  <c r="M49" i="7"/>
  <c r="D49" i="7"/>
  <c r="M50" i="7"/>
  <c r="D50" i="7"/>
  <c r="M51" i="7"/>
  <c r="D51" i="7"/>
  <c r="M52" i="7"/>
  <c r="D52" i="7"/>
  <c r="M53" i="7"/>
  <c r="D53" i="7"/>
  <c r="M54" i="7"/>
  <c r="D54" i="7"/>
  <c r="M55" i="7"/>
  <c r="D55" i="7"/>
  <c r="M56" i="7"/>
  <c r="D56" i="7"/>
  <c r="M57" i="7"/>
  <c r="D57" i="7"/>
  <c r="M58" i="7"/>
  <c r="D58" i="7"/>
  <c r="M59" i="7"/>
  <c r="D59" i="7"/>
  <c r="M60" i="7"/>
  <c r="D60" i="7"/>
  <c r="M61" i="7"/>
  <c r="D61" i="7"/>
  <c r="M62" i="7"/>
  <c r="D62" i="7"/>
  <c r="M63" i="7"/>
  <c r="D63" i="7"/>
  <c r="M64" i="7"/>
  <c r="D64" i="7"/>
  <c r="M65" i="7"/>
  <c r="D65" i="7"/>
  <c r="M66" i="7"/>
  <c r="D66" i="7"/>
  <c r="M67" i="7"/>
  <c r="D67" i="7"/>
  <c r="M68" i="7"/>
  <c r="D68" i="7"/>
  <c r="M69" i="7"/>
  <c r="D69" i="7"/>
  <c r="M70" i="7"/>
  <c r="D70" i="7"/>
  <c r="M71" i="7"/>
  <c r="D71" i="7"/>
  <c r="M72" i="7"/>
  <c r="D72" i="7"/>
  <c r="M73" i="7"/>
  <c r="D73" i="7"/>
  <c r="M74" i="7"/>
  <c r="D74" i="7"/>
  <c r="M75" i="7"/>
  <c r="D75" i="7"/>
  <c r="M76" i="7"/>
  <c r="D76" i="7"/>
  <c r="M77" i="7"/>
  <c r="D77" i="7"/>
  <c r="M78" i="7"/>
  <c r="D78" i="7"/>
  <c r="M79" i="7"/>
  <c r="D79" i="7"/>
  <c r="M80" i="7"/>
  <c r="D80" i="7"/>
  <c r="M81" i="7"/>
  <c r="D81" i="7"/>
  <c r="M82" i="7"/>
  <c r="D82" i="7"/>
  <c r="M83" i="7"/>
  <c r="D83" i="7"/>
  <c r="M84" i="7"/>
  <c r="D84" i="7"/>
  <c r="M85" i="7"/>
  <c r="D85" i="7"/>
  <c r="M86" i="7"/>
  <c r="D86" i="7"/>
  <c r="M87" i="7"/>
  <c r="D87" i="7"/>
  <c r="M88" i="7"/>
  <c r="D88" i="7"/>
  <c r="M89" i="7"/>
  <c r="D89" i="7"/>
  <c r="M90" i="7"/>
  <c r="D90" i="7"/>
  <c r="M91" i="7"/>
  <c r="D91" i="7"/>
  <c r="M92" i="7"/>
  <c r="D92" i="7"/>
  <c r="M93" i="7"/>
  <c r="D93" i="7"/>
  <c r="M94" i="7"/>
  <c r="D94" i="7"/>
  <c r="M95" i="7"/>
  <c r="D95" i="7"/>
  <c r="M96" i="7"/>
  <c r="D96" i="7"/>
  <c r="M97" i="7"/>
  <c r="D97" i="7"/>
  <c r="M98" i="7"/>
  <c r="D98" i="7"/>
  <c r="M99" i="7"/>
  <c r="D99" i="7"/>
  <c r="M100" i="7"/>
  <c r="D100" i="7"/>
  <c r="M101" i="7"/>
  <c r="D101" i="7"/>
  <c r="M102" i="7"/>
  <c r="D102" i="7"/>
  <c r="M103" i="7"/>
  <c r="D103" i="7"/>
  <c r="M104" i="7"/>
  <c r="D104" i="7"/>
  <c r="M105" i="7"/>
  <c r="D105" i="7"/>
  <c r="M106" i="7"/>
  <c r="D106" i="7"/>
  <c r="M107" i="7"/>
  <c r="D107" i="7"/>
  <c r="M108" i="7"/>
  <c r="D108" i="7"/>
  <c r="M109" i="7"/>
  <c r="D109" i="7"/>
  <c r="M110" i="7"/>
  <c r="D110" i="7"/>
  <c r="M111" i="7"/>
  <c r="D111" i="7"/>
  <c r="M112" i="7"/>
  <c r="D112" i="7"/>
  <c r="M113" i="7"/>
  <c r="D113" i="7"/>
  <c r="M114" i="7"/>
  <c r="D114" i="7"/>
  <c r="M115" i="7"/>
  <c r="D115" i="7"/>
  <c r="M116" i="7"/>
  <c r="D116" i="7"/>
  <c r="M117" i="7"/>
  <c r="D117" i="7"/>
  <c r="M118" i="7"/>
  <c r="D118" i="7"/>
  <c r="M119" i="7"/>
  <c r="D119" i="7"/>
  <c r="M120" i="7"/>
  <c r="D120" i="7"/>
  <c r="M121" i="7"/>
  <c r="D121" i="7"/>
  <c r="M122" i="7"/>
  <c r="D122" i="7"/>
  <c r="M123" i="7"/>
  <c r="D123" i="7"/>
  <c r="M124" i="7"/>
  <c r="D124" i="7"/>
  <c r="M125" i="7"/>
  <c r="D125" i="7"/>
  <c r="M126" i="7"/>
  <c r="D126" i="7"/>
  <c r="M127" i="7"/>
  <c r="D127" i="7"/>
  <c r="M128" i="7"/>
  <c r="D128" i="7"/>
  <c r="M129" i="7"/>
  <c r="D129" i="7"/>
  <c r="M130" i="7"/>
  <c r="D130" i="7"/>
  <c r="M131" i="7"/>
  <c r="D131" i="7"/>
  <c r="M132" i="7"/>
  <c r="D132" i="7"/>
  <c r="M133" i="7"/>
  <c r="D133" i="7"/>
  <c r="M134" i="7"/>
  <c r="D134" i="7"/>
  <c r="M135" i="7"/>
  <c r="D135" i="7"/>
  <c r="M136" i="7"/>
  <c r="D136" i="7"/>
  <c r="M137" i="7"/>
  <c r="D137" i="7"/>
  <c r="M138" i="7"/>
  <c r="D138" i="7"/>
  <c r="M139" i="7"/>
  <c r="D139" i="7"/>
  <c r="M140" i="7"/>
  <c r="D140" i="7"/>
  <c r="M141" i="7"/>
  <c r="D141" i="7"/>
  <c r="M142" i="7"/>
  <c r="D142" i="7"/>
  <c r="M143" i="7"/>
  <c r="D143" i="7"/>
  <c r="M144" i="7"/>
  <c r="D144" i="7"/>
  <c r="M145" i="7"/>
  <c r="D145" i="7"/>
  <c r="M146" i="7"/>
  <c r="D146" i="7"/>
  <c r="M147" i="7"/>
  <c r="D147" i="7"/>
  <c r="M148" i="7"/>
  <c r="D148" i="7"/>
  <c r="M149" i="7"/>
  <c r="D149" i="7"/>
  <c r="M150" i="7"/>
  <c r="D150" i="7"/>
  <c r="M151" i="7"/>
  <c r="D151" i="7"/>
  <c r="M152" i="7"/>
  <c r="D152" i="7"/>
  <c r="M153" i="7"/>
  <c r="D153" i="7"/>
  <c r="M154" i="7"/>
  <c r="D154" i="7"/>
  <c r="M155" i="7"/>
  <c r="D155" i="7"/>
  <c r="M156" i="7"/>
  <c r="D156" i="7"/>
  <c r="M157" i="7"/>
  <c r="D157" i="7"/>
  <c r="M158" i="7"/>
  <c r="D158" i="7"/>
  <c r="M159" i="7"/>
  <c r="D159" i="7"/>
  <c r="M160" i="7"/>
  <c r="D160" i="7"/>
  <c r="M161" i="7"/>
  <c r="D161" i="7"/>
  <c r="M162" i="7"/>
  <c r="D162" i="7"/>
  <c r="M163" i="7"/>
  <c r="D163" i="7"/>
  <c r="M164" i="7"/>
  <c r="D164" i="7"/>
  <c r="M165" i="7"/>
  <c r="D165" i="7"/>
  <c r="M166" i="7"/>
  <c r="D166" i="7"/>
  <c r="M167" i="7"/>
  <c r="D167" i="7"/>
  <c r="M168" i="7"/>
  <c r="D168" i="7"/>
  <c r="M169" i="7"/>
  <c r="D169" i="7"/>
  <c r="M170" i="7"/>
  <c r="D170" i="7"/>
  <c r="M171" i="7"/>
  <c r="D171" i="7"/>
  <c r="M172" i="7"/>
  <c r="D172" i="7"/>
  <c r="M173" i="7"/>
  <c r="D173" i="7"/>
  <c r="M174" i="7"/>
  <c r="D174" i="7"/>
  <c r="M175" i="7"/>
  <c r="D175" i="7"/>
  <c r="M176" i="7"/>
  <c r="D176" i="7"/>
  <c r="M177" i="7"/>
  <c r="D177" i="7"/>
  <c r="M178" i="7"/>
  <c r="D178" i="7"/>
  <c r="M179" i="7"/>
  <c r="D179" i="7"/>
  <c r="M180" i="7"/>
  <c r="D180" i="7"/>
  <c r="M181" i="7"/>
  <c r="D181" i="7"/>
  <c r="M182" i="7"/>
  <c r="D182" i="7"/>
  <c r="M183" i="7"/>
  <c r="D183" i="7"/>
  <c r="M184" i="7"/>
  <c r="D184" i="7"/>
  <c r="M185" i="7"/>
  <c r="D185" i="7"/>
  <c r="M186" i="7"/>
  <c r="D186" i="7"/>
  <c r="M187" i="7"/>
  <c r="D187" i="7"/>
  <c r="M188" i="7"/>
  <c r="D188" i="7"/>
  <c r="M189" i="7"/>
  <c r="D189" i="7"/>
  <c r="M190" i="7"/>
  <c r="D190" i="7"/>
  <c r="M191" i="7"/>
  <c r="D191" i="7"/>
  <c r="M192" i="7"/>
  <c r="D192" i="7"/>
  <c r="M193" i="7"/>
  <c r="D193" i="7"/>
  <c r="M194" i="7"/>
  <c r="D194" i="7"/>
  <c r="M195" i="7"/>
  <c r="D195" i="7"/>
  <c r="M196" i="7"/>
  <c r="D196" i="7"/>
  <c r="M197" i="7"/>
  <c r="D197" i="7"/>
  <c r="M198" i="7"/>
  <c r="D198" i="7"/>
  <c r="M199" i="7"/>
  <c r="D199" i="7"/>
  <c r="M200" i="7"/>
  <c r="D200" i="7"/>
  <c r="M201" i="7"/>
  <c r="D201" i="7"/>
  <c r="M202" i="7"/>
  <c r="D202" i="7"/>
  <c r="M203" i="7"/>
  <c r="D203" i="7"/>
  <c r="M204" i="7"/>
  <c r="D204" i="7"/>
  <c r="M205" i="7"/>
  <c r="D205" i="7"/>
  <c r="M206" i="7"/>
  <c r="D206" i="7"/>
  <c r="M207" i="7"/>
  <c r="D207" i="7"/>
  <c r="M208" i="7"/>
  <c r="D208" i="7"/>
  <c r="M209" i="7"/>
  <c r="D209" i="7"/>
  <c r="M210" i="7"/>
  <c r="D210" i="7"/>
  <c r="M211" i="7"/>
  <c r="D211" i="7"/>
  <c r="M212" i="7"/>
  <c r="D212" i="7"/>
  <c r="M213" i="7"/>
  <c r="D213" i="7"/>
  <c r="M214" i="7"/>
  <c r="D214" i="7"/>
  <c r="M215" i="7"/>
  <c r="D215" i="7"/>
  <c r="M216" i="7"/>
  <c r="D216" i="7"/>
  <c r="M217" i="7"/>
  <c r="D217" i="7"/>
  <c r="M218" i="7"/>
  <c r="D218" i="7"/>
  <c r="M219" i="7"/>
  <c r="D219" i="7"/>
  <c r="M220" i="7"/>
  <c r="D220" i="7"/>
  <c r="M221" i="7"/>
  <c r="D221" i="7"/>
  <c r="M222" i="7"/>
  <c r="D222" i="7"/>
  <c r="M223" i="7"/>
  <c r="D223" i="7"/>
  <c r="M224" i="7"/>
  <c r="D224" i="7"/>
  <c r="M225" i="7"/>
  <c r="D225" i="7"/>
  <c r="M226" i="7"/>
  <c r="D226" i="7"/>
  <c r="M227" i="7"/>
  <c r="D227" i="7"/>
  <c r="M228" i="7"/>
  <c r="D228" i="7"/>
  <c r="M229" i="7"/>
  <c r="D229" i="7"/>
  <c r="M230" i="7"/>
  <c r="D230" i="7"/>
  <c r="M231" i="7"/>
  <c r="D231" i="7"/>
  <c r="M232" i="7"/>
  <c r="D232" i="7"/>
  <c r="M233" i="7"/>
  <c r="D233" i="7"/>
  <c r="M234" i="7"/>
  <c r="D234" i="7"/>
  <c r="M235" i="7"/>
  <c r="D235" i="7"/>
  <c r="M236" i="7"/>
  <c r="D236" i="7"/>
  <c r="M237" i="7"/>
  <c r="D237" i="7"/>
  <c r="M238" i="7"/>
  <c r="D238" i="7"/>
  <c r="M239" i="7"/>
  <c r="D239" i="7"/>
  <c r="M240" i="7"/>
  <c r="D240" i="7"/>
  <c r="M241" i="7"/>
  <c r="D241" i="7"/>
  <c r="M242" i="7"/>
  <c r="D242" i="7"/>
  <c r="M243" i="7"/>
  <c r="D243" i="7"/>
  <c r="M244" i="7"/>
  <c r="D244" i="7"/>
  <c r="M245" i="7"/>
  <c r="D245" i="7"/>
  <c r="M246" i="7"/>
  <c r="D246" i="7"/>
  <c r="M247" i="7"/>
  <c r="D247" i="7"/>
  <c r="M248" i="7"/>
  <c r="D248" i="7"/>
  <c r="M249" i="7"/>
  <c r="D249" i="7"/>
  <c r="M250" i="7"/>
  <c r="D250" i="7"/>
  <c r="M251" i="7"/>
  <c r="D251" i="7"/>
  <c r="M252" i="7"/>
  <c r="D252" i="7"/>
  <c r="M253" i="7"/>
  <c r="D253" i="7"/>
  <c r="M254" i="7"/>
  <c r="D254" i="7"/>
  <c r="M255" i="7"/>
  <c r="D255" i="7"/>
  <c r="M256" i="7"/>
  <c r="D256" i="7"/>
  <c r="M257" i="7"/>
  <c r="D257" i="7"/>
  <c r="M258" i="7"/>
  <c r="D258" i="7"/>
  <c r="M259" i="7"/>
  <c r="D259" i="7"/>
  <c r="M260" i="7"/>
  <c r="D260" i="7"/>
  <c r="M261" i="7"/>
  <c r="D261" i="7"/>
  <c r="M262" i="7"/>
  <c r="D262" i="7"/>
  <c r="M263" i="7"/>
  <c r="D263" i="7"/>
  <c r="M264" i="7"/>
  <c r="D264" i="7"/>
  <c r="M265" i="7"/>
  <c r="D265" i="7"/>
  <c r="M266" i="7"/>
  <c r="D266" i="7"/>
  <c r="M267" i="7"/>
  <c r="D267" i="7"/>
  <c r="M268" i="7"/>
  <c r="D268" i="7"/>
  <c r="M269" i="7"/>
  <c r="D269" i="7"/>
  <c r="M270" i="7"/>
  <c r="D270" i="7"/>
  <c r="M271" i="7"/>
  <c r="D271" i="7"/>
  <c r="M272" i="7"/>
  <c r="D272" i="7"/>
  <c r="M273" i="7"/>
  <c r="D273" i="7"/>
  <c r="M274" i="7"/>
  <c r="D274" i="7"/>
  <c r="M275" i="7"/>
  <c r="D275" i="7"/>
  <c r="M276" i="7"/>
  <c r="D276" i="7"/>
  <c r="M277" i="7"/>
  <c r="D277" i="7"/>
  <c r="M278" i="7"/>
  <c r="D278" i="7"/>
  <c r="M279" i="7"/>
  <c r="D279" i="7"/>
  <c r="M280" i="7"/>
  <c r="D280" i="7"/>
  <c r="M281" i="7"/>
  <c r="D281" i="7"/>
  <c r="M282" i="7"/>
  <c r="D282" i="7"/>
  <c r="M283" i="7"/>
  <c r="D283" i="7"/>
  <c r="M284" i="7"/>
  <c r="D284" i="7"/>
  <c r="M285" i="7"/>
  <c r="D285" i="7"/>
  <c r="M286" i="7"/>
  <c r="D286" i="7"/>
  <c r="M287" i="7"/>
  <c r="D287" i="7"/>
  <c r="M288" i="7"/>
  <c r="D288" i="7"/>
  <c r="M289" i="7"/>
  <c r="D289" i="7"/>
  <c r="M290" i="7"/>
  <c r="D290" i="7"/>
  <c r="M291" i="7"/>
  <c r="D291" i="7"/>
  <c r="M292" i="7"/>
  <c r="D292" i="7"/>
  <c r="M293" i="7"/>
  <c r="D293" i="7"/>
  <c r="M294" i="7"/>
  <c r="D294" i="7"/>
  <c r="M295" i="7"/>
  <c r="D295" i="7"/>
  <c r="M296" i="7"/>
  <c r="D296" i="7"/>
  <c r="M297" i="7"/>
  <c r="D297" i="7"/>
  <c r="M298" i="7"/>
  <c r="D298" i="7"/>
  <c r="M299" i="7"/>
  <c r="D299" i="7"/>
  <c r="M300" i="7"/>
  <c r="D300" i="7"/>
  <c r="M301" i="7"/>
  <c r="D301" i="7"/>
  <c r="M302" i="7"/>
  <c r="D302" i="7"/>
  <c r="M303" i="7"/>
  <c r="D303" i="7"/>
  <c r="M304" i="7"/>
  <c r="D304" i="7"/>
  <c r="M305" i="7"/>
  <c r="D305" i="7"/>
  <c r="M306" i="7"/>
  <c r="D306" i="7"/>
  <c r="M307" i="7"/>
  <c r="D307" i="7"/>
  <c r="M308" i="7"/>
  <c r="D308" i="7"/>
  <c r="M309" i="7"/>
  <c r="D309" i="7"/>
  <c r="M310" i="7"/>
  <c r="D310" i="7"/>
  <c r="M311" i="7"/>
  <c r="D311" i="7"/>
  <c r="M312" i="7"/>
  <c r="D312" i="7"/>
  <c r="M313" i="7"/>
  <c r="D313" i="7"/>
  <c r="M314" i="7"/>
  <c r="D314" i="7"/>
  <c r="M315" i="7"/>
  <c r="D315" i="7"/>
  <c r="M316" i="7"/>
  <c r="D316" i="7"/>
  <c r="M317" i="7"/>
  <c r="D317" i="7"/>
  <c r="M318" i="7"/>
  <c r="D318" i="7"/>
  <c r="M319" i="7"/>
  <c r="D319" i="7"/>
  <c r="M320" i="7"/>
  <c r="D320" i="7"/>
  <c r="M321" i="7"/>
  <c r="D321" i="7"/>
  <c r="M322" i="7"/>
  <c r="D322" i="7"/>
  <c r="M323" i="7"/>
  <c r="D323" i="7"/>
  <c r="M324" i="7"/>
  <c r="D324" i="7"/>
  <c r="M325" i="7"/>
  <c r="D325" i="7"/>
  <c r="M326" i="7"/>
  <c r="D326" i="7"/>
  <c r="M327" i="7"/>
  <c r="D327" i="7"/>
  <c r="M328" i="7"/>
  <c r="D328" i="7"/>
  <c r="M329" i="7"/>
  <c r="D329" i="7"/>
  <c r="M330" i="7"/>
  <c r="D330" i="7"/>
  <c r="M331" i="7"/>
  <c r="D331" i="7"/>
  <c r="M332" i="7"/>
  <c r="D332" i="7"/>
  <c r="M333" i="7"/>
  <c r="D333" i="7"/>
  <c r="M334" i="7"/>
  <c r="D334" i="7"/>
  <c r="M335" i="7"/>
  <c r="D335" i="7"/>
  <c r="M336" i="7"/>
  <c r="D336" i="7"/>
  <c r="M337" i="7"/>
  <c r="D337" i="7"/>
  <c r="M338" i="7"/>
  <c r="D338" i="7"/>
  <c r="M339" i="7"/>
  <c r="D339" i="7"/>
  <c r="M340" i="7"/>
  <c r="D340" i="7"/>
  <c r="M341" i="7"/>
  <c r="D341" i="7"/>
  <c r="M342" i="7"/>
  <c r="D342" i="7"/>
  <c r="M343" i="7"/>
  <c r="D343" i="7"/>
  <c r="M344" i="7"/>
  <c r="D344" i="7"/>
  <c r="M345" i="7"/>
  <c r="D345" i="7"/>
  <c r="M346" i="7"/>
  <c r="D346" i="7"/>
  <c r="M347" i="7"/>
  <c r="D347" i="7"/>
  <c r="M348" i="7"/>
  <c r="D348" i="7"/>
  <c r="M349" i="7"/>
  <c r="D349" i="7"/>
  <c r="M350" i="7"/>
  <c r="D350" i="7"/>
  <c r="M351" i="7"/>
  <c r="D351" i="7"/>
  <c r="M352" i="7"/>
  <c r="D352" i="7"/>
  <c r="M353" i="7"/>
  <c r="D353" i="7"/>
  <c r="M354" i="7"/>
  <c r="D354" i="7"/>
  <c r="M355" i="7"/>
  <c r="D355" i="7"/>
  <c r="M356" i="7"/>
  <c r="D356" i="7"/>
  <c r="M357" i="7"/>
  <c r="D357" i="7"/>
  <c r="M358" i="7"/>
  <c r="D358" i="7"/>
  <c r="M359" i="7"/>
  <c r="D359" i="7"/>
  <c r="M360" i="7"/>
  <c r="D360" i="7"/>
  <c r="M361" i="7"/>
  <c r="D361" i="7"/>
  <c r="M362" i="7"/>
  <c r="D362" i="7"/>
  <c r="M363" i="7"/>
  <c r="D363" i="7"/>
  <c r="M364" i="7"/>
  <c r="D364" i="7"/>
  <c r="M365" i="7"/>
  <c r="D365" i="7"/>
  <c r="M366" i="7"/>
  <c r="D366" i="7"/>
  <c r="M367" i="7"/>
  <c r="D367" i="7"/>
  <c r="M368" i="7"/>
  <c r="D368" i="7"/>
  <c r="M369" i="7"/>
  <c r="D369" i="7"/>
  <c r="M370" i="7"/>
  <c r="D370" i="7"/>
  <c r="M371" i="7"/>
  <c r="D371" i="7"/>
  <c r="M372" i="7"/>
  <c r="D372" i="7"/>
  <c r="M373" i="7"/>
  <c r="D373" i="7"/>
  <c r="M374" i="7"/>
  <c r="D374" i="7"/>
  <c r="M375" i="7"/>
  <c r="D375" i="7"/>
  <c r="M376" i="7"/>
  <c r="D376" i="7"/>
  <c r="M377" i="7"/>
  <c r="D377" i="7"/>
  <c r="M378" i="7"/>
  <c r="D378" i="7"/>
  <c r="M379" i="7"/>
  <c r="D379" i="7"/>
  <c r="M380" i="7"/>
  <c r="D380" i="7"/>
  <c r="M381" i="7"/>
  <c r="D381" i="7"/>
  <c r="M382" i="7"/>
  <c r="D382" i="7"/>
  <c r="M383" i="7"/>
  <c r="D383" i="7"/>
  <c r="M384" i="7"/>
  <c r="D384" i="7"/>
  <c r="M385" i="7"/>
  <c r="D385" i="7"/>
  <c r="M386" i="7"/>
  <c r="D386" i="7"/>
  <c r="M387" i="7"/>
  <c r="D387" i="7"/>
  <c r="M388" i="7"/>
  <c r="D388" i="7"/>
  <c r="M389" i="7"/>
  <c r="D389" i="7"/>
  <c r="M390" i="7"/>
  <c r="D390" i="7"/>
  <c r="M391" i="7"/>
  <c r="D391" i="7"/>
  <c r="M392" i="7"/>
  <c r="D392" i="7"/>
  <c r="M393" i="7"/>
  <c r="D393" i="7"/>
  <c r="M394" i="7"/>
  <c r="D394" i="7"/>
  <c r="M395" i="7"/>
  <c r="D395" i="7"/>
  <c r="M396" i="7"/>
  <c r="D396" i="7"/>
  <c r="M397" i="7"/>
  <c r="D397" i="7"/>
  <c r="M398" i="7"/>
  <c r="D398" i="7"/>
  <c r="M399" i="7"/>
  <c r="D399" i="7"/>
  <c r="M400" i="7"/>
  <c r="D400" i="7"/>
  <c r="M401" i="7"/>
  <c r="D401" i="7"/>
  <c r="M402" i="7"/>
  <c r="D402" i="7"/>
  <c r="M403" i="7"/>
  <c r="D403" i="7"/>
  <c r="M404" i="7"/>
  <c r="D404" i="7"/>
  <c r="M405" i="7"/>
  <c r="D405" i="7"/>
  <c r="M406" i="7"/>
  <c r="D406" i="7"/>
  <c r="M407" i="7"/>
  <c r="D407" i="7"/>
  <c r="M408" i="7"/>
  <c r="D408" i="7"/>
  <c r="M409" i="7"/>
  <c r="D409" i="7"/>
  <c r="M410" i="7"/>
  <c r="D410" i="7"/>
  <c r="M411" i="7"/>
  <c r="D411" i="7"/>
  <c r="M412" i="7"/>
  <c r="D412" i="7"/>
  <c r="M413" i="7"/>
  <c r="D413" i="7"/>
  <c r="M414" i="7"/>
  <c r="D414" i="7"/>
  <c r="M415" i="7"/>
  <c r="D415" i="7"/>
  <c r="M416" i="7"/>
  <c r="D416" i="7"/>
  <c r="M417" i="7"/>
  <c r="D417" i="7"/>
  <c r="M418" i="7"/>
  <c r="D418" i="7"/>
  <c r="M419" i="7"/>
  <c r="D419" i="7"/>
  <c r="M420" i="7"/>
  <c r="D420" i="7"/>
  <c r="M421" i="7"/>
  <c r="D421" i="7"/>
  <c r="M422" i="7"/>
  <c r="D422" i="7"/>
  <c r="M423" i="7"/>
  <c r="D423" i="7"/>
  <c r="M424" i="7"/>
  <c r="D424" i="7"/>
  <c r="M425" i="7"/>
  <c r="D425" i="7"/>
  <c r="M426" i="7"/>
  <c r="D426" i="7"/>
  <c r="M427" i="7"/>
  <c r="D427" i="7"/>
  <c r="M428" i="7"/>
  <c r="D428" i="7"/>
  <c r="M429" i="7"/>
  <c r="D429" i="7"/>
  <c r="M430" i="7"/>
  <c r="D430" i="7"/>
  <c r="M431" i="7"/>
  <c r="D431" i="7"/>
  <c r="M432" i="7"/>
  <c r="D432" i="7"/>
  <c r="M433" i="7"/>
  <c r="D433" i="7"/>
  <c r="M434" i="7"/>
  <c r="D434" i="7"/>
  <c r="M435" i="7"/>
  <c r="D435" i="7"/>
  <c r="M436" i="7"/>
  <c r="D436" i="7"/>
  <c r="M437" i="7"/>
  <c r="D437" i="7"/>
  <c r="M438" i="7"/>
  <c r="D438" i="7"/>
  <c r="M439" i="7"/>
  <c r="D439" i="7"/>
  <c r="M440" i="7"/>
  <c r="D440" i="7"/>
  <c r="M441" i="7"/>
  <c r="D441" i="7"/>
  <c r="M442" i="7"/>
  <c r="D442" i="7"/>
  <c r="M443" i="7"/>
  <c r="D443" i="7"/>
  <c r="M444" i="7"/>
  <c r="D444" i="7"/>
  <c r="M445" i="7"/>
  <c r="D445" i="7"/>
  <c r="M446" i="7"/>
  <c r="D446" i="7"/>
  <c r="M447" i="7"/>
  <c r="D447" i="7"/>
  <c r="M448" i="7"/>
  <c r="D448" i="7"/>
  <c r="M449" i="7"/>
  <c r="D449" i="7"/>
  <c r="M450" i="7"/>
  <c r="D450" i="7"/>
  <c r="M451" i="7"/>
  <c r="D451" i="7"/>
  <c r="M452" i="7"/>
  <c r="D452" i="7"/>
  <c r="M453" i="7"/>
  <c r="D453" i="7"/>
  <c r="M454" i="7"/>
  <c r="D454" i="7"/>
  <c r="M455" i="7"/>
  <c r="D455" i="7"/>
  <c r="M456" i="7"/>
  <c r="D456" i="7"/>
  <c r="M457" i="7"/>
  <c r="D457" i="7"/>
  <c r="M458" i="7"/>
  <c r="D458" i="7"/>
  <c r="M459" i="7"/>
  <c r="D459" i="7"/>
  <c r="M460" i="7"/>
  <c r="D460" i="7"/>
  <c r="M461" i="7"/>
  <c r="D461" i="7"/>
  <c r="M462" i="7"/>
  <c r="D462" i="7"/>
  <c r="M463" i="7"/>
  <c r="D463" i="7"/>
  <c r="M464" i="7"/>
  <c r="D464" i="7"/>
  <c r="M465" i="7"/>
  <c r="D465" i="7"/>
  <c r="M466" i="7"/>
  <c r="D466" i="7"/>
  <c r="M467" i="7"/>
  <c r="D467" i="7"/>
  <c r="M468" i="7"/>
  <c r="D468" i="7"/>
  <c r="M469" i="7"/>
  <c r="D469" i="7"/>
  <c r="M470" i="7"/>
  <c r="D470" i="7"/>
  <c r="M471" i="7"/>
  <c r="D471" i="7"/>
  <c r="M472" i="7"/>
  <c r="D472" i="7"/>
  <c r="M473" i="7"/>
  <c r="D473" i="7"/>
  <c r="M474" i="7"/>
  <c r="D474" i="7"/>
  <c r="M475" i="7"/>
  <c r="D475" i="7"/>
  <c r="M476" i="7"/>
  <c r="D476" i="7"/>
  <c r="M477" i="7"/>
  <c r="D477" i="7"/>
  <c r="M478" i="7"/>
  <c r="D478" i="7"/>
  <c r="M479" i="7"/>
  <c r="D479" i="7"/>
  <c r="M480" i="7"/>
  <c r="D480" i="7"/>
  <c r="M481" i="7"/>
  <c r="D481" i="7"/>
  <c r="M482" i="7"/>
  <c r="D482" i="7"/>
  <c r="M483" i="7"/>
  <c r="D483" i="7"/>
  <c r="M484" i="7"/>
  <c r="D484" i="7"/>
  <c r="M485" i="7"/>
  <c r="D485" i="7"/>
  <c r="M486" i="7"/>
  <c r="D486" i="7"/>
  <c r="M487" i="7"/>
  <c r="D487" i="7"/>
  <c r="M488" i="7"/>
  <c r="D488" i="7"/>
  <c r="M489" i="7"/>
  <c r="D489" i="7"/>
  <c r="M490" i="7"/>
  <c r="D490" i="7"/>
  <c r="M491" i="7"/>
  <c r="D491" i="7"/>
  <c r="M492" i="7"/>
  <c r="D492" i="7"/>
  <c r="M493" i="7"/>
  <c r="D493" i="7"/>
  <c r="M494" i="7"/>
  <c r="D494" i="7"/>
  <c r="M495" i="7"/>
  <c r="D495" i="7"/>
  <c r="M496" i="7"/>
  <c r="D496" i="7"/>
  <c r="M497" i="7"/>
  <c r="D497" i="7"/>
  <c r="M498" i="7"/>
  <c r="D498" i="7"/>
  <c r="M499" i="7"/>
  <c r="D499" i="7"/>
  <c r="M500" i="7"/>
  <c r="D500" i="7"/>
  <c r="M501" i="7"/>
  <c r="D501" i="7"/>
  <c r="M502" i="7"/>
  <c r="D502" i="7"/>
  <c r="M503" i="7"/>
  <c r="D503" i="7"/>
  <c r="M504" i="7"/>
  <c r="D504" i="7"/>
  <c r="M505" i="7"/>
  <c r="D505" i="7"/>
  <c r="M506" i="7"/>
  <c r="D506" i="7"/>
  <c r="M507" i="7"/>
  <c r="D507" i="7"/>
  <c r="M508" i="7"/>
  <c r="D508" i="7"/>
  <c r="M509" i="7"/>
  <c r="D509" i="7"/>
  <c r="M510" i="7"/>
  <c r="D510" i="7"/>
  <c r="M511" i="7"/>
  <c r="D511" i="7"/>
  <c r="M512" i="7"/>
  <c r="D512" i="7"/>
  <c r="M513" i="7"/>
  <c r="D513" i="7"/>
  <c r="M514" i="7"/>
  <c r="D514" i="7"/>
  <c r="M515" i="7"/>
  <c r="D515" i="7"/>
  <c r="M516" i="7"/>
  <c r="D516" i="7"/>
  <c r="M517" i="7"/>
  <c r="D517" i="7"/>
  <c r="M518" i="7"/>
  <c r="D518" i="7"/>
  <c r="M519" i="7"/>
  <c r="D519" i="7"/>
  <c r="M520" i="7"/>
  <c r="D520" i="7"/>
  <c r="M521" i="7"/>
  <c r="D521" i="7"/>
  <c r="M522" i="7"/>
  <c r="D522" i="7"/>
  <c r="M523" i="7"/>
  <c r="D523" i="7"/>
  <c r="M524" i="7"/>
  <c r="D524" i="7"/>
  <c r="M525" i="7"/>
  <c r="D525" i="7"/>
  <c r="M526" i="7"/>
  <c r="D526" i="7"/>
  <c r="M527" i="7"/>
  <c r="D527" i="7"/>
  <c r="M528" i="7"/>
  <c r="D528" i="7"/>
  <c r="M529" i="7"/>
  <c r="D529" i="7"/>
  <c r="M530" i="7"/>
  <c r="D530" i="7"/>
  <c r="M531" i="7"/>
  <c r="D531" i="7"/>
  <c r="M532" i="7"/>
  <c r="D532" i="7"/>
  <c r="M533" i="7"/>
  <c r="D533" i="7"/>
  <c r="M534" i="7"/>
  <c r="D534" i="7"/>
  <c r="M535" i="7"/>
  <c r="D535" i="7"/>
  <c r="M536" i="7"/>
  <c r="D536" i="7"/>
  <c r="M537" i="7"/>
  <c r="D537" i="7"/>
  <c r="M538" i="7"/>
  <c r="D538" i="7"/>
  <c r="M539" i="7"/>
  <c r="D539" i="7"/>
  <c r="M540" i="7"/>
  <c r="D540" i="7"/>
  <c r="M541" i="7"/>
  <c r="D541" i="7"/>
  <c r="M542" i="7"/>
  <c r="D542" i="7"/>
  <c r="M543" i="7"/>
  <c r="D543" i="7"/>
  <c r="M544" i="7"/>
  <c r="D544" i="7"/>
  <c r="M545" i="7"/>
  <c r="D545" i="7"/>
  <c r="M546" i="7"/>
  <c r="D546" i="7"/>
  <c r="M547" i="7"/>
  <c r="D547" i="7"/>
  <c r="M548" i="7"/>
  <c r="D548" i="7"/>
  <c r="M549" i="7"/>
  <c r="D549" i="7"/>
  <c r="M550" i="7"/>
  <c r="D550" i="7"/>
  <c r="M551" i="7"/>
  <c r="D551" i="7"/>
  <c r="M552" i="7"/>
  <c r="D552" i="7"/>
  <c r="M553" i="7"/>
  <c r="D553" i="7"/>
  <c r="M554" i="7"/>
  <c r="D554" i="7"/>
  <c r="M555" i="7"/>
  <c r="D555" i="7"/>
  <c r="M556" i="7"/>
  <c r="D556" i="7"/>
  <c r="M557" i="7"/>
  <c r="D557" i="7"/>
  <c r="M558" i="7"/>
  <c r="D558" i="7"/>
  <c r="M559" i="7"/>
  <c r="D559" i="7"/>
  <c r="M560" i="7"/>
  <c r="D560" i="7"/>
  <c r="M561" i="7"/>
  <c r="D561" i="7"/>
  <c r="M562" i="7"/>
  <c r="D562" i="7"/>
  <c r="M563" i="7"/>
  <c r="D563" i="7"/>
  <c r="M564" i="7"/>
  <c r="D564" i="7"/>
  <c r="M565" i="7"/>
  <c r="D565" i="7"/>
  <c r="M566" i="7"/>
  <c r="D566" i="7"/>
  <c r="M567" i="7"/>
  <c r="D567" i="7"/>
  <c r="M568" i="7"/>
  <c r="D568" i="7"/>
  <c r="M569" i="7"/>
  <c r="D569" i="7"/>
  <c r="M570" i="7"/>
  <c r="D570" i="7"/>
  <c r="M571" i="7"/>
  <c r="D571" i="7"/>
  <c r="M572" i="7"/>
  <c r="D572" i="7"/>
  <c r="M573" i="7"/>
  <c r="D573" i="7"/>
  <c r="M574" i="7"/>
  <c r="D574" i="7"/>
  <c r="M575" i="7"/>
  <c r="D575" i="7"/>
  <c r="M576" i="7"/>
  <c r="D576" i="7"/>
  <c r="M577" i="7"/>
  <c r="D577" i="7"/>
  <c r="M578" i="7"/>
  <c r="D578" i="7"/>
  <c r="M579" i="7"/>
  <c r="D579" i="7"/>
  <c r="M580" i="7"/>
  <c r="D580" i="7"/>
  <c r="M581" i="7"/>
  <c r="D581" i="7"/>
  <c r="M582" i="7"/>
  <c r="D582" i="7"/>
  <c r="M583" i="7"/>
  <c r="D583" i="7"/>
  <c r="M584" i="7"/>
  <c r="D584" i="7"/>
  <c r="M585" i="7"/>
  <c r="D585" i="7"/>
  <c r="M586" i="7"/>
  <c r="D586" i="7"/>
  <c r="M587" i="7"/>
  <c r="D587" i="7"/>
  <c r="M588" i="7"/>
  <c r="D588" i="7"/>
  <c r="M589" i="7"/>
  <c r="D589" i="7"/>
  <c r="M590" i="7"/>
  <c r="D590" i="7"/>
  <c r="M591" i="7"/>
  <c r="D591" i="7"/>
  <c r="M592" i="7"/>
  <c r="D592" i="7"/>
  <c r="M593" i="7"/>
  <c r="D593" i="7"/>
  <c r="M594" i="7"/>
  <c r="D594" i="7"/>
  <c r="M595" i="7"/>
  <c r="D595" i="7"/>
  <c r="M596" i="7"/>
  <c r="D596" i="7"/>
  <c r="M597" i="7"/>
  <c r="D597" i="7"/>
  <c r="M598" i="7"/>
  <c r="D598" i="7"/>
  <c r="M599" i="7"/>
  <c r="D599" i="7"/>
  <c r="M600" i="7"/>
  <c r="D600" i="7"/>
  <c r="M601" i="7"/>
  <c r="D601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D14" i="2"/>
  <c r="L13" i="2"/>
  <c r="L12" i="2"/>
  <c r="L11" i="2"/>
  <c r="L10" i="2"/>
  <c r="L9" i="2"/>
  <c r="L8" i="2"/>
  <c r="L7" i="2"/>
  <c r="L6" i="2"/>
  <c r="L5" i="2"/>
  <c r="L4" i="2"/>
  <c r="L3" i="2"/>
  <c r="L2" i="2"/>
  <c r="K14" i="2"/>
  <c r="M14" i="2" s="1"/>
  <c r="K9" i="8"/>
  <c r="M9" i="8" s="1"/>
  <c r="K195" i="8"/>
  <c r="M195" i="8" s="1"/>
  <c r="K201" i="8"/>
  <c r="M201" i="8" s="1"/>
  <c r="K204" i="8"/>
  <c r="M204" i="8" s="1"/>
  <c r="K216" i="8"/>
  <c r="M216" i="8" s="1"/>
  <c r="K222" i="8"/>
  <c r="M222" i="8" s="1"/>
  <c r="K228" i="8"/>
  <c r="M228" i="8" s="1"/>
  <c r="K234" i="8"/>
  <c r="M234" i="8" s="1"/>
  <c r="K237" i="8"/>
  <c r="M237" i="8" s="1"/>
  <c r="K246" i="8"/>
  <c r="M246" i="8" s="1"/>
  <c r="K252" i="8"/>
  <c r="M252" i="8" s="1"/>
  <c r="K258" i="8"/>
  <c r="M258" i="8" s="1"/>
  <c r="K261" i="8"/>
  <c r="M261" i="8" s="1"/>
  <c r="K267" i="8"/>
  <c r="M267" i="8" s="1"/>
  <c r="K273" i="8"/>
  <c r="M273" i="8" s="1"/>
  <c r="K279" i="8"/>
  <c r="M279" i="8" s="1"/>
  <c r="K285" i="8"/>
  <c r="M285" i="8" s="1"/>
  <c r="K291" i="8"/>
  <c r="M291" i="8" s="1"/>
  <c r="K297" i="8"/>
  <c r="K303" i="8"/>
  <c r="M303" i="8" s="1"/>
  <c r="K309" i="8"/>
  <c r="M309" i="8" s="1"/>
  <c r="K315" i="8"/>
  <c r="M315" i="8" s="1"/>
  <c r="K318" i="8"/>
  <c r="M318" i="8" s="1"/>
  <c r="K324" i="8"/>
  <c r="M324" i="8" s="1"/>
  <c r="K330" i="8"/>
  <c r="M330" i="8" s="1"/>
  <c r="K342" i="8"/>
  <c r="M342" i="8" s="1"/>
  <c r="K453" i="8"/>
  <c r="M453" i="8" s="1"/>
  <c r="L459" i="8"/>
  <c r="L465" i="8"/>
  <c r="K471" i="8"/>
  <c r="M471" i="8" s="1"/>
  <c r="K489" i="8"/>
  <c r="M489" i="8" s="1"/>
  <c r="K516" i="8"/>
  <c r="M516" i="8" s="1"/>
  <c r="L519" i="8"/>
  <c r="K525" i="8"/>
  <c r="M525" i="8" s="1"/>
  <c r="K534" i="8"/>
  <c r="M534" i="8" s="1"/>
  <c r="L540" i="8"/>
  <c r="L546" i="8"/>
  <c r="L549" i="8"/>
  <c r="K570" i="8"/>
  <c r="M570" i="8" s="1"/>
  <c r="L576" i="8"/>
  <c r="K588" i="8"/>
  <c r="M588" i="8" s="1"/>
  <c r="L594" i="8"/>
  <c r="L600" i="8"/>
  <c r="K4" i="8"/>
  <c r="L7" i="8"/>
  <c r="K10" i="8"/>
  <c r="M10" i="8" s="1"/>
  <c r="K13" i="8"/>
  <c r="K16" i="8"/>
  <c r="M16" i="8" s="1"/>
  <c r="K19" i="8"/>
  <c r="M19" i="8" s="1"/>
  <c r="K22" i="8"/>
  <c r="M22" i="8" s="1"/>
  <c r="K25" i="8"/>
  <c r="M25" i="8" s="1"/>
  <c r="K31" i="8"/>
  <c r="M31" i="8" s="1"/>
  <c r="K37" i="8"/>
  <c r="M37" i="8" s="1"/>
  <c r="K40" i="8"/>
  <c r="M40" i="8" s="1"/>
  <c r="K43" i="8"/>
  <c r="M43" i="8" s="1"/>
  <c r="K46" i="8"/>
  <c r="M46" i="8" s="1"/>
  <c r="K49" i="8"/>
  <c r="M49" i="8" s="1"/>
  <c r="K52" i="8"/>
  <c r="M52" i="8" s="1"/>
  <c r="K58" i="8"/>
  <c r="M58" i="8" s="1"/>
  <c r="K64" i="8"/>
  <c r="M64" i="8" s="1"/>
  <c r="K67" i="8"/>
  <c r="M67" i="8" s="1"/>
  <c r="K70" i="8"/>
  <c r="M70" i="8" s="1"/>
  <c r="L73" i="8"/>
  <c r="K76" i="8"/>
  <c r="M76" i="8" s="1"/>
  <c r="L79" i="8"/>
  <c r="K85" i="8"/>
  <c r="M85" i="8" s="1"/>
  <c r="K91" i="8"/>
  <c r="K94" i="8"/>
  <c r="M94" i="8" s="1"/>
  <c r="K97" i="8"/>
  <c r="M97" i="8" s="1"/>
  <c r="K103" i="8"/>
  <c r="L109" i="8"/>
  <c r="K112" i="8"/>
  <c r="M112" i="8" s="1"/>
  <c r="L115" i="8"/>
  <c r="K118" i="8"/>
  <c r="M118" i="8" s="1"/>
  <c r="K121" i="8"/>
  <c r="M121" i="8" s="1"/>
  <c r="K124" i="8"/>
  <c r="M124" i="8" s="1"/>
  <c r="K127" i="8"/>
  <c r="M127" i="8" s="1"/>
  <c r="K130" i="8"/>
  <c r="M130" i="8" s="1"/>
  <c r="K133" i="8"/>
  <c r="M133" i="8" s="1"/>
  <c r="K139" i="8"/>
  <c r="M139" i="8" s="1"/>
  <c r="K145" i="8"/>
  <c r="M145" i="8" s="1"/>
  <c r="K148" i="8"/>
  <c r="M148" i="8" s="1"/>
  <c r="K154" i="8"/>
  <c r="M154" i="8" s="1"/>
  <c r="K157" i="8"/>
  <c r="M157" i="8" s="1"/>
  <c r="K160" i="8"/>
  <c r="M160" i="8" s="1"/>
  <c r="L163" i="8"/>
  <c r="K166" i="8"/>
  <c r="M166" i="8" s="1"/>
  <c r="L169" i="8"/>
  <c r="K172" i="8"/>
  <c r="M172" i="8" s="1"/>
  <c r="K175" i="8"/>
  <c r="M175" i="8" s="1"/>
  <c r="K178" i="8"/>
  <c r="M178" i="8" s="1"/>
  <c r="K181" i="8"/>
  <c r="M181" i="8" s="1"/>
  <c r="K184" i="8"/>
  <c r="M184" i="8" s="1"/>
  <c r="K187" i="8"/>
  <c r="M187" i="8" s="1"/>
  <c r="K193" i="8"/>
  <c r="M193" i="8" s="1"/>
  <c r="L217" i="8"/>
  <c r="L223" i="8"/>
  <c r="L235" i="8"/>
  <c r="K238" i="8"/>
  <c r="M238" i="8" s="1"/>
  <c r="K241" i="8"/>
  <c r="M241" i="8" s="1"/>
  <c r="L244" i="8"/>
  <c r="K247" i="8"/>
  <c r="M247" i="8" s="1"/>
  <c r="K250" i="8"/>
  <c r="M250" i="8" s="1"/>
  <c r="K256" i="8"/>
  <c r="M256" i="8" s="1"/>
  <c r="K259" i="8"/>
  <c r="M259" i="8" s="1"/>
  <c r="K265" i="8"/>
  <c r="M265" i="8" s="1"/>
  <c r="K268" i="8"/>
  <c r="M268" i="8" s="1"/>
  <c r="K274" i="8"/>
  <c r="M274" i="8" s="1"/>
  <c r="L277" i="8"/>
  <c r="K286" i="8"/>
  <c r="M286" i="8" s="1"/>
  <c r="K292" i="8"/>
  <c r="M292" i="8" s="1"/>
  <c r="K295" i="8"/>
  <c r="M295" i="8" s="1"/>
  <c r="K301" i="8"/>
  <c r="K304" i="8"/>
  <c r="M304" i="8" s="1"/>
  <c r="K310" i="8"/>
  <c r="M310" i="8" s="1"/>
  <c r="K319" i="8"/>
  <c r="M319" i="8" s="1"/>
  <c r="L322" i="8"/>
  <c r="L328" i="8"/>
  <c r="K340" i="8"/>
  <c r="M340" i="8" s="1"/>
  <c r="K346" i="8"/>
  <c r="M346" i="8" s="1"/>
  <c r="K349" i="8"/>
  <c r="M349" i="8" s="1"/>
  <c r="K355" i="8"/>
  <c r="M355" i="8" s="1"/>
  <c r="K358" i="8"/>
  <c r="M358" i="8" s="1"/>
  <c r="K364" i="8"/>
  <c r="M364" i="8" s="1"/>
  <c r="K373" i="8"/>
  <c r="M373" i="8" s="1"/>
  <c r="L376" i="8"/>
  <c r="L382" i="8"/>
  <c r="K385" i="8"/>
  <c r="M385" i="8" s="1"/>
  <c r="K391" i="8"/>
  <c r="M391" i="8" s="1"/>
  <c r="K394" i="8"/>
  <c r="M394" i="8" s="1"/>
  <c r="K400" i="8"/>
  <c r="M400" i="8" s="1"/>
  <c r="L403" i="8"/>
  <c r="K412" i="8"/>
  <c r="M412" i="8" s="1"/>
  <c r="K418" i="8"/>
  <c r="M418" i="8" s="1"/>
  <c r="K421" i="8"/>
  <c r="M421" i="8" s="1"/>
  <c r="K427" i="8"/>
  <c r="M427" i="8" s="1"/>
  <c r="K430" i="8"/>
  <c r="M430" i="8" s="1"/>
  <c r="K436" i="8"/>
  <c r="M436" i="8" s="1"/>
  <c r="K439" i="8"/>
  <c r="M439" i="8" s="1"/>
  <c r="K445" i="8"/>
  <c r="M445" i="8" s="1"/>
  <c r="K448" i="8"/>
  <c r="M448" i="8" s="1"/>
  <c r="K454" i="8"/>
  <c r="M454" i="8" s="1"/>
  <c r="K457" i="8"/>
  <c r="M457" i="8" s="1"/>
  <c r="K463" i="8"/>
  <c r="M463" i="8" s="1"/>
  <c r="K466" i="8"/>
  <c r="K475" i="8"/>
  <c r="M475" i="8" s="1"/>
  <c r="K481" i="8"/>
  <c r="M481" i="8" s="1"/>
  <c r="K484" i="8"/>
  <c r="K490" i="8"/>
  <c r="M490" i="8" s="1"/>
  <c r="K493" i="8"/>
  <c r="M493" i="8" s="1"/>
  <c r="K502" i="8"/>
  <c r="M502" i="8" s="1"/>
  <c r="K511" i="8"/>
  <c r="M511" i="8" s="1"/>
  <c r="K517" i="8"/>
  <c r="K520" i="8"/>
  <c r="M520" i="8" s="1"/>
  <c r="K526" i="8"/>
  <c r="M526" i="8" s="1"/>
  <c r="K529" i="8"/>
  <c r="M529" i="8" s="1"/>
  <c r="K538" i="8"/>
  <c r="M538" i="8" s="1"/>
  <c r="K544" i="8"/>
  <c r="M544" i="8" s="1"/>
  <c r="K553" i="8"/>
  <c r="K556" i="8"/>
  <c r="M556" i="8" s="1"/>
  <c r="K562" i="8"/>
  <c r="M562" i="8" s="1"/>
  <c r="K565" i="8"/>
  <c r="M565" i="8" s="1"/>
  <c r="K571" i="8"/>
  <c r="M571" i="8" s="1"/>
  <c r="K580" i="8"/>
  <c r="M580" i="8" s="1"/>
  <c r="K589" i="8"/>
  <c r="M589" i="8" s="1"/>
  <c r="K592" i="8"/>
  <c r="M592" i="8" s="1"/>
  <c r="K595" i="8"/>
  <c r="M595" i="8" s="1"/>
  <c r="K598" i="8"/>
  <c r="M598" i="8" s="1"/>
  <c r="K601" i="8"/>
  <c r="M601" i="8" s="1"/>
  <c r="K6" i="8"/>
  <c r="M6" i="8" s="1"/>
  <c r="K12" i="8"/>
  <c r="K198" i="8"/>
  <c r="M198" i="8" s="1"/>
  <c r="K207" i="8"/>
  <c r="M207" i="8" s="1"/>
  <c r="K210" i="8"/>
  <c r="M210" i="8" s="1"/>
  <c r="K225" i="8"/>
  <c r="M225" i="8" s="1"/>
  <c r="K231" i="8"/>
  <c r="M231" i="8" s="1"/>
  <c r="K240" i="8"/>
  <c r="M240" i="8" s="1"/>
  <c r="K243" i="8"/>
  <c r="M243" i="8" s="1"/>
  <c r="K249" i="8"/>
  <c r="M249" i="8" s="1"/>
  <c r="K255" i="8"/>
  <c r="M255" i="8" s="1"/>
  <c r="K264" i="8"/>
  <c r="M264" i="8" s="1"/>
  <c r="K270" i="8"/>
  <c r="M270" i="8" s="1"/>
  <c r="K276" i="8"/>
  <c r="M276" i="8" s="1"/>
  <c r="K282" i="8"/>
  <c r="M282" i="8" s="1"/>
  <c r="K288" i="8"/>
  <c r="M288" i="8" s="1"/>
  <c r="K294" i="8"/>
  <c r="M294" i="8" s="1"/>
  <c r="K300" i="8"/>
  <c r="M300" i="8" s="1"/>
  <c r="K306" i="8"/>
  <c r="M306" i="8" s="1"/>
  <c r="K312" i="8"/>
  <c r="M312" i="8" s="1"/>
  <c r="K321" i="8"/>
  <c r="M321" i="8" s="1"/>
  <c r="K327" i="8"/>
  <c r="M327" i="8" s="1"/>
  <c r="K333" i="8"/>
  <c r="M333" i="8" s="1"/>
  <c r="K336" i="8"/>
  <c r="M336" i="8" s="1"/>
  <c r="K339" i="8"/>
  <c r="M339" i="8" s="1"/>
  <c r="K345" i="8"/>
  <c r="M345" i="8" s="1"/>
  <c r="K348" i="8"/>
  <c r="M348" i="8" s="1"/>
  <c r="K351" i="8"/>
  <c r="M351" i="8" s="1"/>
  <c r="K354" i="8"/>
  <c r="M354" i="8" s="1"/>
  <c r="K357" i="8"/>
  <c r="M357" i="8" s="1"/>
  <c r="K360" i="8"/>
  <c r="M360" i="8" s="1"/>
  <c r="K363" i="8"/>
  <c r="M363" i="8" s="1"/>
  <c r="K366" i="8"/>
  <c r="M366" i="8" s="1"/>
  <c r="K369" i="8"/>
  <c r="M369" i="8" s="1"/>
  <c r="K372" i="8"/>
  <c r="M372" i="8" s="1"/>
  <c r="K375" i="8"/>
  <c r="M375" i="8" s="1"/>
  <c r="K378" i="8"/>
  <c r="M378" i="8" s="1"/>
  <c r="K381" i="8"/>
  <c r="M381" i="8" s="1"/>
  <c r="K384" i="8"/>
  <c r="M384" i="8" s="1"/>
  <c r="K387" i="8"/>
  <c r="M387" i="8" s="1"/>
  <c r="K390" i="8"/>
  <c r="M390" i="8" s="1"/>
  <c r="K393" i="8"/>
  <c r="M393" i="8" s="1"/>
  <c r="K396" i="8"/>
  <c r="M396" i="8" s="1"/>
  <c r="K399" i="8"/>
  <c r="M399" i="8" s="1"/>
  <c r="K402" i="8"/>
  <c r="M402" i="8" s="1"/>
  <c r="K405" i="8"/>
  <c r="M405" i="8" s="1"/>
  <c r="K408" i="8"/>
  <c r="M408" i="8" s="1"/>
  <c r="K411" i="8"/>
  <c r="M411" i="8" s="1"/>
  <c r="K414" i="8"/>
  <c r="M414" i="8" s="1"/>
  <c r="K417" i="8"/>
  <c r="M417" i="8" s="1"/>
  <c r="K420" i="8"/>
  <c r="M420" i="8" s="1"/>
  <c r="K423" i="8"/>
  <c r="M423" i="8" s="1"/>
  <c r="K426" i="8"/>
  <c r="M426" i="8" s="1"/>
  <c r="L432" i="8"/>
  <c r="K435" i="8"/>
  <c r="M435" i="8" s="1"/>
  <c r="L438" i="8"/>
  <c r="L441" i="8"/>
  <c r="K444" i="8"/>
  <c r="M444" i="8" s="1"/>
  <c r="L447" i="8"/>
  <c r="K462" i="8"/>
  <c r="M462" i="8" s="1"/>
  <c r="L468" i="8"/>
  <c r="L474" i="8"/>
  <c r="K480" i="8"/>
  <c r="M480" i="8" s="1"/>
  <c r="L486" i="8"/>
  <c r="L492" i="8"/>
  <c r="K498" i="8"/>
  <c r="M498" i="8" s="1"/>
  <c r="L501" i="8"/>
  <c r="K507" i="8"/>
  <c r="M507" i="8" s="1"/>
  <c r="L513" i="8"/>
  <c r="L522" i="8"/>
  <c r="L528" i="8"/>
  <c r="K543" i="8"/>
  <c r="M543" i="8" s="1"/>
  <c r="K552" i="8"/>
  <c r="M552" i="8" s="1"/>
  <c r="L555" i="8"/>
  <c r="K561" i="8"/>
  <c r="M561" i="8" s="1"/>
  <c r="L567" i="8"/>
  <c r="L573" i="8"/>
  <c r="K579" i="8"/>
  <c r="M579" i="8" s="1"/>
  <c r="L582" i="8"/>
  <c r="K597" i="8"/>
  <c r="M597" i="8" s="1"/>
  <c r="L5" i="8"/>
  <c r="K11" i="8"/>
  <c r="K17" i="8"/>
  <c r="M17" i="8" s="1"/>
  <c r="L20" i="8"/>
  <c r="K23" i="8"/>
  <c r="M23" i="8" s="1"/>
  <c r="L29" i="8"/>
  <c r="K32" i="8"/>
  <c r="M32" i="8" s="1"/>
  <c r="K38" i="8"/>
  <c r="M38" i="8" s="1"/>
  <c r="K41" i="8"/>
  <c r="M41" i="8" s="1"/>
  <c r="L47" i="8"/>
  <c r="K50" i="8"/>
  <c r="M50" i="8" s="1"/>
  <c r="K56" i="8"/>
  <c r="M56" i="8" s="1"/>
  <c r="K59" i="8"/>
  <c r="M59" i="8" s="1"/>
  <c r="L68" i="8"/>
  <c r="K71" i="8"/>
  <c r="M71" i="8" s="1"/>
  <c r="K77" i="8"/>
  <c r="M77" i="8" s="1"/>
  <c r="L83" i="8"/>
  <c r="L86" i="8"/>
  <c r="K89" i="8"/>
  <c r="M89" i="8" s="1"/>
  <c r="K95" i="8"/>
  <c r="M95" i="8" s="1"/>
  <c r="K98" i="8"/>
  <c r="M98" i="8" s="1"/>
  <c r="K104" i="8"/>
  <c r="K107" i="8"/>
  <c r="M107" i="8" s="1"/>
  <c r="K110" i="8"/>
  <c r="M110" i="8" s="1"/>
  <c r="L116" i="8"/>
  <c r="K119" i="8"/>
  <c r="M119" i="8" s="1"/>
  <c r="L122" i="8"/>
  <c r="K125" i="8"/>
  <c r="M125" i="8" s="1"/>
  <c r="K131" i="8"/>
  <c r="M131" i="8" s="1"/>
  <c r="L134" i="8"/>
  <c r="K137" i="8"/>
  <c r="M137" i="8" s="1"/>
  <c r="K146" i="8"/>
  <c r="M146" i="8" s="1"/>
  <c r="K152" i="8"/>
  <c r="M152" i="8" s="1"/>
  <c r="K155" i="8"/>
  <c r="M155" i="8" s="1"/>
  <c r="L158" i="8"/>
  <c r="L161" i="8"/>
  <c r="K164" i="8"/>
  <c r="M164" i="8" s="1"/>
  <c r="K167" i="8"/>
  <c r="M167" i="8" s="1"/>
  <c r="K170" i="8"/>
  <c r="M170" i="8" s="1"/>
  <c r="K173" i="8"/>
  <c r="M173" i="8" s="1"/>
  <c r="L176" i="8"/>
  <c r="K179" i="8"/>
  <c r="M179" i="8" s="1"/>
  <c r="K182" i="8"/>
  <c r="M182" i="8" s="1"/>
  <c r="L185" i="8"/>
  <c r="K188" i="8"/>
  <c r="M188" i="8" s="1"/>
  <c r="K191" i="8"/>
  <c r="M191" i="8" s="1"/>
  <c r="L194" i="8"/>
  <c r="L197" i="8"/>
  <c r="K200" i="8"/>
  <c r="M200" i="8" s="1"/>
  <c r="K206" i="8"/>
  <c r="M206" i="8" s="1"/>
  <c r="L209" i="8"/>
  <c r="K212" i="8"/>
  <c r="M212" i="8" s="1"/>
  <c r="L218" i="8"/>
  <c r="K221" i="8"/>
  <c r="M221" i="8" s="1"/>
  <c r="K230" i="8"/>
  <c r="M230" i="8" s="1"/>
  <c r="L233" i="8"/>
  <c r="L236" i="8"/>
  <c r="K239" i="8"/>
  <c r="M239" i="8" s="1"/>
  <c r="K242" i="8"/>
  <c r="M242" i="8" s="1"/>
  <c r="K248" i="8"/>
  <c r="M248" i="8" s="1"/>
  <c r="L251" i="8"/>
  <c r="K254" i="8"/>
  <c r="M254" i="8" s="1"/>
  <c r="K260" i="8"/>
  <c r="M260" i="8" s="1"/>
  <c r="K263" i="8"/>
  <c r="M263" i="8" s="1"/>
  <c r="K269" i="8"/>
  <c r="M269" i="8" s="1"/>
  <c r="L272" i="8"/>
  <c r="K275" i="8"/>
  <c r="M275" i="8" s="1"/>
  <c r="K281" i="8"/>
  <c r="M281" i="8" s="1"/>
  <c r="L284" i="8"/>
  <c r="K287" i="8"/>
  <c r="M287" i="8" s="1"/>
  <c r="L293" i="8"/>
  <c r="K296" i="8"/>
  <c r="M296" i="8" s="1"/>
  <c r="K302" i="8"/>
  <c r="M302" i="8" s="1"/>
  <c r="K305" i="8"/>
  <c r="M305" i="8" s="1"/>
  <c r="K308" i="8"/>
  <c r="M308" i="8" s="1"/>
  <c r="L311" i="8"/>
  <c r="K314" i="8"/>
  <c r="M314" i="8" s="1"/>
  <c r="K317" i="8"/>
  <c r="M317" i="8" s="1"/>
  <c r="K323" i="8"/>
  <c r="M323" i="8" s="1"/>
  <c r="K326" i="8"/>
  <c r="M326" i="8" s="1"/>
  <c r="K329" i="8"/>
  <c r="M329" i="8" s="1"/>
  <c r="L332" i="8"/>
  <c r="K338" i="8"/>
  <c r="M338" i="8" s="1"/>
  <c r="K341" i="8"/>
  <c r="M341" i="8" s="1"/>
  <c r="K347" i="8"/>
  <c r="M347" i="8" s="1"/>
  <c r="K350" i="8"/>
  <c r="M350" i="8" s="1"/>
  <c r="K353" i="8"/>
  <c r="M353" i="8" s="1"/>
  <c r="K359" i="8"/>
  <c r="M359" i="8" s="1"/>
  <c r="K362" i="8"/>
  <c r="M362" i="8" s="1"/>
  <c r="K365" i="8"/>
  <c r="M365" i="8" s="1"/>
  <c r="L368" i="8"/>
  <c r="K371" i="8"/>
  <c r="M371" i="8" s="1"/>
  <c r="K380" i="8"/>
  <c r="M380" i="8" s="1"/>
  <c r="L383" i="8"/>
  <c r="L386" i="8"/>
  <c r="K389" i="8"/>
  <c r="M389" i="8" s="1"/>
  <c r="K392" i="8"/>
  <c r="M392" i="8" s="1"/>
  <c r="K398" i="8"/>
  <c r="M398" i="8" s="1"/>
  <c r="K401" i="8"/>
  <c r="M401" i="8" s="1"/>
  <c r="L407" i="8"/>
  <c r="K410" i="8"/>
  <c r="M410" i="8" s="1"/>
  <c r="K413" i="8"/>
  <c r="M413" i="8" s="1"/>
  <c r="L416" i="8"/>
  <c r="K419" i="8"/>
  <c r="M419" i="8" s="1"/>
  <c r="L422" i="8"/>
  <c r="K425" i="8"/>
  <c r="M425" i="8" s="1"/>
  <c r="K428" i="8"/>
  <c r="M428" i="8" s="1"/>
  <c r="L434" i="8"/>
  <c r="K437" i="8"/>
  <c r="M437" i="8" s="1"/>
  <c r="K440" i="8"/>
  <c r="M440" i="8" s="1"/>
  <c r="K446" i="8"/>
  <c r="M446" i="8" s="1"/>
  <c r="K449" i="8"/>
  <c r="M449" i="8" s="1"/>
  <c r="L452" i="8"/>
  <c r="K458" i="8"/>
  <c r="M458" i="8" s="1"/>
  <c r="L461" i="8"/>
  <c r="K464" i="8"/>
  <c r="M464" i="8" s="1"/>
  <c r="K467" i="8"/>
  <c r="M467" i="8" s="1"/>
  <c r="K470" i="8"/>
  <c r="M470" i="8" s="1"/>
  <c r="K473" i="8"/>
  <c r="M473" i="8" s="1"/>
  <c r="L476" i="8"/>
  <c r="K482" i="8"/>
  <c r="M482" i="8" s="1"/>
  <c r="K485" i="8"/>
  <c r="M485" i="8" s="1"/>
  <c r="K488" i="8"/>
  <c r="M488" i="8" s="1"/>
  <c r="L491" i="8"/>
  <c r="K494" i="8"/>
  <c r="M494" i="8" s="1"/>
  <c r="K497" i="8"/>
  <c r="M497" i="8" s="1"/>
  <c r="L500" i="8"/>
  <c r="K503" i="8"/>
  <c r="M503" i="8" s="1"/>
  <c r="L506" i="8"/>
  <c r="K509" i="8"/>
  <c r="M509" i="8" s="1"/>
  <c r="K512" i="8"/>
  <c r="M512" i="8" s="1"/>
  <c r="K515" i="8"/>
  <c r="M515" i="8" s="1"/>
  <c r="K521" i="8"/>
  <c r="M521" i="8" s="1"/>
  <c r="K524" i="8"/>
  <c r="M524" i="8" s="1"/>
  <c r="K533" i="8"/>
  <c r="M533" i="8" s="1"/>
  <c r="K536" i="8"/>
  <c r="M536" i="8" s="1"/>
  <c r="K539" i="8"/>
  <c r="M539" i="8" s="1"/>
  <c r="K542" i="8"/>
  <c r="M542" i="8" s="1"/>
  <c r="K548" i="8"/>
  <c r="M548" i="8" s="1"/>
  <c r="L551" i="8"/>
  <c r="K557" i="8"/>
  <c r="M557" i="8" s="1"/>
  <c r="K560" i="8"/>
  <c r="M560" i="8" s="1"/>
  <c r="L566" i="8"/>
  <c r="K569" i="8"/>
  <c r="M569" i="8" s="1"/>
  <c r="K572" i="8"/>
  <c r="M572" i="8" s="1"/>
  <c r="K575" i="8"/>
  <c r="M575" i="8" s="1"/>
  <c r="K578" i="8"/>
  <c r="M578" i="8" s="1"/>
  <c r="K581" i="8"/>
  <c r="M581" i="8" s="1"/>
  <c r="K584" i="8"/>
  <c r="M584" i="8" s="1"/>
  <c r="K587" i="8"/>
  <c r="M587" i="8" s="1"/>
  <c r="L593" i="8"/>
  <c r="K596" i="8"/>
  <c r="M596" i="8" s="1"/>
  <c r="L599" i="8"/>
  <c r="K602" i="8"/>
  <c r="M602" i="8" s="1"/>
  <c r="L557" i="8"/>
  <c r="K422" i="8"/>
  <c r="M422" i="8" s="1"/>
  <c r="L473" i="8"/>
  <c r="L89" i="8"/>
  <c r="K197" i="8"/>
  <c r="M197" i="8" s="1"/>
  <c r="K3" i="8"/>
  <c r="M3" i="8" s="1"/>
  <c r="L542" i="8"/>
  <c r="L428" i="8"/>
  <c r="L308" i="8"/>
  <c r="L167" i="8"/>
  <c r="L59" i="8"/>
  <c r="K476" i="8"/>
  <c r="M476" i="8" s="1"/>
  <c r="K176" i="8"/>
  <c r="M176" i="8" s="1"/>
  <c r="L485" i="8"/>
  <c r="L401" i="8"/>
  <c r="L239" i="8"/>
  <c r="L146" i="8"/>
  <c r="K566" i="8"/>
  <c r="M566" i="8" s="1"/>
  <c r="K461" i="8"/>
  <c r="M461" i="8" s="1"/>
  <c r="K284" i="8"/>
  <c r="M284" i="8" s="1"/>
  <c r="K86" i="8"/>
  <c r="M86" i="8" s="1"/>
  <c r="K546" i="8"/>
  <c r="M546" i="8" s="1"/>
  <c r="K447" i="8"/>
  <c r="M447" i="8" s="1"/>
  <c r="K573" i="8"/>
  <c r="M573" i="8" s="1"/>
  <c r="K522" i="8"/>
  <c r="M522" i="8" s="1"/>
  <c r="K465" i="8"/>
  <c r="M465" i="8" s="1"/>
  <c r="L222" i="8"/>
  <c r="K582" i="8"/>
  <c r="M582" i="8" s="1"/>
  <c r="K567" i="8"/>
  <c r="M567" i="8" s="1"/>
  <c r="K540" i="8"/>
  <c r="M540" i="8" s="1"/>
  <c r="K501" i="8"/>
  <c r="M501" i="8" s="1"/>
  <c r="K486" i="8"/>
  <c r="M486" i="8" s="1"/>
  <c r="K441" i="8"/>
  <c r="M441" i="8" s="1"/>
  <c r="L231" i="8"/>
  <c r="L201" i="8"/>
  <c r="K576" i="8"/>
  <c r="M576" i="8" s="1"/>
  <c r="K528" i="8"/>
  <c r="M528" i="8" s="1"/>
  <c r="K495" i="8"/>
  <c r="K459" i="8"/>
  <c r="M459" i="8" s="1"/>
  <c r="L589" i="8"/>
  <c r="L584" i="8"/>
  <c r="L515" i="8"/>
  <c r="L458" i="8"/>
  <c r="L359" i="8"/>
  <c r="L260" i="8"/>
  <c r="L200" i="8"/>
  <c r="L110" i="8"/>
  <c r="L32" i="8"/>
  <c r="K368" i="8"/>
  <c r="M368" i="8" s="1"/>
  <c r="K116" i="8"/>
  <c r="M116" i="8" s="1"/>
  <c r="L502" i="8"/>
  <c r="L448" i="8"/>
  <c r="L421" i="8"/>
  <c r="L391" i="8"/>
  <c r="L292" i="8"/>
  <c r="K7" i="8"/>
  <c r="M7" i="8" s="1"/>
  <c r="L596" i="8"/>
  <c r="L572" i="8"/>
  <c r="L529" i="8"/>
  <c r="L493" i="8"/>
  <c r="L446" i="8"/>
  <c r="L418" i="8"/>
  <c r="L373" i="8"/>
  <c r="L326" i="8"/>
  <c r="L275" i="8"/>
  <c r="L212" i="8"/>
  <c r="L182" i="8"/>
  <c r="L131" i="8"/>
  <c r="L70" i="8"/>
  <c r="K599" i="8"/>
  <c r="M599" i="8" s="1"/>
  <c r="K311" i="8"/>
  <c r="M311" i="8" s="1"/>
  <c r="K233" i="8"/>
  <c r="M233" i="8" s="1"/>
  <c r="K143" i="8"/>
  <c r="K8" i="8"/>
  <c r="M8" i="8" s="1"/>
  <c r="L8" i="8"/>
  <c r="K113" i="8"/>
  <c r="M113" i="8" s="1"/>
  <c r="L113" i="8"/>
  <c r="K128" i="8"/>
  <c r="M128" i="8" s="1"/>
  <c r="L128" i="8"/>
  <c r="K140" i="8"/>
  <c r="M140" i="8" s="1"/>
  <c r="L140" i="8"/>
  <c r="L224" i="8"/>
  <c r="K224" i="8"/>
  <c r="M224" i="8" s="1"/>
  <c r="K266" i="8"/>
  <c r="M266" i="8" s="1"/>
  <c r="L266" i="8"/>
  <c r="K290" i="8"/>
  <c r="M290" i="8" s="1"/>
  <c r="L290" i="8"/>
  <c r="K299" i="8"/>
  <c r="M299" i="8" s="1"/>
  <c r="L299" i="8"/>
  <c r="K344" i="8"/>
  <c r="M344" i="8" s="1"/>
  <c r="L344" i="8"/>
  <c r="K356" i="8"/>
  <c r="M356" i="8" s="1"/>
  <c r="L356" i="8"/>
  <c r="L374" i="8"/>
  <c r="K374" i="8"/>
  <c r="M374" i="8" s="1"/>
  <c r="K377" i="8"/>
  <c r="M377" i="8" s="1"/>
  <c r="L377" i="8"/>
  <c r="K443" i="8"/>
  <c r="M443" i="8" s="1"/>
  <c r="L443" i="8"/>
  <c r="K479" i="8"/>
  <c r="M479" i="8" s="1"/>
  <c r="L479" i="8"/>
  <c r="K527" i="8"/>
  <c r="M527" i="8" s="1"/>
  <c r="L527" i="8"/>
  <c r="L545" i="8"/>
  <c r="K545" i="8"/>
  <c r="M545" i="8" s="1"/>
  <c r="K590" i="8"/>
  <c r="M590" i="8" s="1"/>
  <c r="L590" i="8"/>
  <c r="L578" i="8"/>
  <c r="L560" i="8"/>
  <c r="L548" i="8"/>
  <c r="L533" i="8"/>
  <c r="L521" i="8"/>
  <c r="L503" i="8"/>
  <c r="L437" i="8"/>
  <c r="L410" i="8"/>
  <c r="L392" i="8"/>
  <c r="L380" i="8"/>
  <c r="L365" i="8"/>
  <c r="L347" i="8"/>
  <c r="L329" i="8"/>
  <c r="L314" i="8"/>
  <c r="L263" i="8"/>
  <c r="L248" i="8"/>
  <c r="L221" i="8"/>
  <c r="L188" i="8"/>
  <c r="L170" i="8"/>
  <c r="L152" i="8"/>
  <c r="L137" i="8"/>
  <c r="L119" i="8"/>
  <c r="L95" i="8"/>
  <c r="L41" i="8"/>
  <c r="K506" i="8"/>
  <c r="M506" i="8" s="1"/>
  <c r="K452" i="8"/>
  <c r="M452" i="8" s="1"/>
  <c r="K434" i="8"/>
  <c r="M434" i="8" s="1"/>
  <c r="K407" i="8"/>
  <c r="M407" i="8" s="1"/>
  <c r="K383" i="8"/>
  <c r="M383" i="8" s="1"/>
  <c r="K293" i="8"/>
  <c r="M293" i="8" s="1"/>
  <c r="K272" i="8"/>
  <c r="M272" i="8" s="1"/>
  <c r="K236" i="8"/>
  <c r="M236" i="8" s="1"/>
  <c r="K209" i="8"/>
  <c r="M209" i="8" s="1"/>
  <c r="K185" i="8"/>
  <c r="M185" i="8" s="1"/>
  <c r="K158" i="8"/>
  <c r="M158" i="8" s="1"/>
  <c r="K122" i="8"/>
  <c r="M122" i="8" s="1"/>
  <c r="K101" i="8"/>
  <c r="K68" i="8"/>
  <c r="M68" i="8" s="1"/>
  <c r="K151" i="8"/>
  <c r="M151" i="8" s="1"/>
  <c r="L151" i="8"/>
  <c r="L283" i="8"/>
  <c r="K283" i="8"/>
  <c r="M283" i="8" s="1"/>
  <c r="K313" i="8"/>
  <c r="M313" i="8" s="1"/>
  <c r="L313" i="8"/>
  <c r="K367" i="8"/>
  <c r="M367" i="8" s="1"/>
  <c r="L367" i="8"/>
  <c r="L409" i="8"/>
  <c r="K409" i="8"/>
  <c r="M409" i="8" s="1"/>
  <c r="K472" i="8"/>
  <c r="M472" i="8" s="1"/>
  <c r="L472" i="8"/>
  <c r="K499" i="8"/>
  <c r="M499" i="8" s="1"/>
  <c r="L499" i="8"/>
  <c r="K508" i="8"/>
  <c r="M508" i="8" s="1"/>
  <c r="L508" i="8"/>
  <c r="K535" i="8"/>
  <c r="M535" i="8" s="1"/>
  <c r="L535" i="8"/>
  <c r="K547" i="8"/>
  <c r="M547" i="8" s="1"/>
  <c r="L547" i="8"/>
  <c r="K574" i="8"/>
  <c r="M574" i="8" s="1"/>
  <c r="L574" i="8"/>
  <c r="K583" i="8"/>
  <c r="M583" i="8" s="1"/>
  <c r="L583" i="8"/>
  <c r="K5" i="8"/>
  <c r="M5" i="8" s="1"/>
  <c r="K14" i="8"/>
  <c r="K65" i="8"/>
  <c r="M65" i="8" s="1"/>
  <c r="L65" i="8"/>
  <c r="L74" i="8"/>
  <c r="K74" i="8"/>
  <c r="M74" i="8" s="1"/>
  <c r="K80" i="8"/>
  <c r="M80" i="8" s="1"/>
  <c r="L80" i="8"/>
  <c r="L149" i="8"/>
  <c r="K149" i="8"/>
  <c r="M149" i="8" s="1"/>
  <c r="K203" i="8"/>
  <c r="M203" i="8" s="1"/>
  <c r="L203" i="8"/>
  <c r="K215" i="8"/>
  <c r="M215" i="8" s="1"/>
  <c r="L215" i="8"/>
  <c r="K227" i="8"/>
  <c r="M227" i="8" s="1"/>
  <c r="L227" i="8"/>
  <c r="K245" i="8"/>
  <c r="M245" i="8" s="1"/>
  <c r="L245" i="8"/>
  <c r="K257" i="8"/>
  <c r="M257" i="8" s="1"/>
  <c r="L257" i="8"/>
  <c r="K278" i="8"/>
  <c r="M278" i="8" s="1"/>
  <c r="L278" i="8"/>
  <c r="K320" i="8"/>
  <c r="M320" i="8" s="1"/>
  <c r="L320" i="8"/>
  <c r="K335" i="8"/>
  <c r="M335" i="8" s="1"/>
  <c r="L335" i="8"/>
  <c r="K395" i="8"/>
  <c r="M395" i="8" s="1"/>
  <c r="L395" i="8"/>
  <c r="K404" i="8"/>
  <c r="M404" i="8" s="1"/>
  <c r="L404" i="8"/>
  <c r="L431" i="8"/>
  <c r="K431" i="8"/>
  <c r="M431" i="8" s="1"/>
  <c r="L455" i="8"/>
  <c r="K455" i="8"/>
  <c r="M455" i="8" s="1"/>
  <c r="K518" i="8"/>
  <c r="M518" i="8" s="1"/>
  <c r="L518" i="8"/>
  <c r="L530" i="8"/>
  <c r="K530" i="8"/>
  <c r="M530" i="8" s="1"/>
  <c r="K554" i="8"/>
  <c r="M554" i="8" s="1"/>
  <c r="L554" i="8"/>
  <c r="K563" i="8"/>
  <c r="M563" i="8" s="1"/>
  <c r="L563" i="8"/>
  <c r="L602" i="8"/>
  <c r="L595" i="8"/>
  <c r="L580" i="8"/>
  <c r="L539" i="8"/>
  <c r="L524" i="8"/>
  <c r="L509" i="8"/>
  <c r="L497" i="8"/>
  <c r="L482" i="8"/>
  <c r="L467" i="8"/>
  <c r="L454" i="8"/>
  <c r="L440" i="8"/>
  <c r="L427" i="8"/>
  <c r="L412" i="8"/>
  <c r="L398" i="8"/>
  <c r="L385" i="8"/>
  <c r="L371" i="8"/>
  <c r="L350" i="8"/>
  <c r="L338" i="8"/>
  <c r="L319" i="8"/>
  <c r="L305" i="8"/>
  <c r="L286" i="8"/>
  <c r="L269" i="8"/>
  <c r="L254" i="8"/>
  <c r="L238" i="8"/>
  <c r="L206" i="8"/>
  <c r="L191" i="8"/>
  <c r="L179" i="8"/>
  <c r="L145" i="8"/>
  <c r="L77" i="8"/>
  <c r="L56" i="8"/>
  <c r="L23" i="8"/>
  <c r="K593" i="8"/>
  <c r="M593" i="8" s="1"/>
  <c r="K551" i="8"/>
  <c r="M551" i="8" s="1"/>
  <c r="K500" i="8"/>
  <c r="M500" i="8" s="1"/>
  <c r="K491" i="8"/>
  <c r="M491" i="8" s="1"/>
  <c r="K416" i="8"/>
  <c r="M416" i="8" s="1"/>
  <c r="K386" i="8"/>
  <c r="M386" i="8" s="1"/>
  <c r="K332" i="8"/>
  <c r="M332" i="8" s="1"/>
  <c r="K277" i="8"/>
  <c r="M277" i="8" s="1"/>
  <c r="K251" i="8"/>
  <c r="M251" i="8" s="1"/>
  <c r="K218" i="8"/>
  <c r="M218" i="8" s="1"/>
  <c r="K194" i="8"/>
  <c r="M194" i="8" s="1"/>
  <c r="K161" i="8"/>
  <c r="M161" i="8" s="1"/>
  <c r="K134" i="8"/>
  <c r="M134" i="8" s="1"/>
  <c r="K109" i="8"/>
  <c r="M109" i="8" s="1"/>
  <c r="K83" i="8"/>
  <c r="M83" i="8" s="1"/>
  <c r="K47" i="8"/>
  <c r="M47" i="8" s="1"/>
  <c r="K20" i="8"/>
  <c r="M20" i="8" s="1"/>
  <c r="K100" i="8"/>
  <c r="M100" i="8" s="1"/>
  <c r="L100" i="8"/>
  <c r="K106" i="8"/>
  <c r="M106" i="8" s="1"/>
  <c r="L106" i="8"/>
  <c r="L190" i="8"/>
  <c r="K190" i="8"/>
  <c r="M190" i="8" s="1"/>
  <c r="L196" i="8"/>
  <c r="K196" i="8"/>
  <c r="M196" i="8" s="1"/>
  <c r="L331" i="8"/>
  <c r="K331" i="8"/>
  <c r="M331" i="8" s="1"/>
  <c r="L337" i="8"/>
  <c r="K337" i="8"/>
  <c r="M337" i="8" s="1"/>
  <c r="L19" i="8"/>
  <c r="K26" i="8"/>
  <c r="M26" i="8" s="1"/>
  <c r="L26" i="8"/>
  <c r="K35" i="8"/>
  <c r="M35" i="8" s="1"/>
  <c r="L35" i="8"/>
  <c r="K44" i="8"/>
  <c r="M44" i="8" s="1"/>
  <c r="L44" i="8"/>
  <c r="K53" i="8"/>
  <c r="M53" i="8" s="1"/>
  <c r="L53" i="8"/>
  <c r="K62" i="8"/>
  <c r="M62" i="8" s="1"/>
  <c r="L62" i="8"/>
  <c r="L598" i="8"/>
  <c r="L587" i="8"/>
  <c r="L581" i="8"/>
  <c r="L575" i="8"/>
  <c r="L569" i="8"/>
  <c r="L562" i="8"/>
  <c r="L556" i="8"/>
  <c r="L536" i="8"/>
  <c r="L526" i="8"/>
  <c r="L520" i="8"/>
  <c r="L512" i="8"/>
  <c r="L494" i="8"/>
  <c r="L488" i="8"/>
  <c r="L481" i="8"/>
  <c r="L475" i="8"/>
  <c r="L470" i="8"/>
  <c r="L464" i="8"/>
  <c r="L449" i="8"/>
  <c r="L445" i="8"/>
  <c r="L439" i="8"/>
  <c r="L425" i="8"/>
  <c r="L419" i="8"/>
  <c r="L413" i="8"/>
  <c r="L400" i="8"/>
  <c r="L394" i="8"/>
  <c r="L389" i="8"/>
  <c r="L362" i="8"/>
  <c r="L353" i="8"/>
  <c r="L346" i="8"/>
  <c r="L340" i="8"/>
  <c r="L323" i="8"/>
  <c r="L317" i="8"/>
  <c r="L302" i="8"/>
  <c r="L287" i="8"/>
  <c r="L281" i="8"/>
  <c r="L265" i="8"/>
  <c r="L259" i="8"/>
  <c r="L242" i="8"/>
  <c r="L230" i="8"/>
  <c r="L187" i="8"/>
  <c r="L181" i="8"/>
  <c r="L173" i="8"/>
  <c r="L164" i="8"/>
  <c r="L155" i="8"/>
  <c r="L125" i="8"/>
  <c r="L107" i="8"/>
  <c r="L98" i="8"/>
  <c r="L71" i="8"/>
  <c r="L64" i="8"/>
  <c r="L50" i="8"/>
  <c r="L38" i="8"/>
  <c r="L25" i="8"/>
  <c r="L17" i="8"/>
  <c r="K403" i="8"/>
  <c r="M403" i="8" s="1"/>
  <c r="K115" i="8"/>
  <c r="M115" i="8" s="1"/>
  <c r="K92" i="8"/>
  <c r="K28" i="8"/>
  <c r="M28" i="8" s="1"/>
  <c r="L28" i="8"/>
  <c r="K55" i="8"/>
  <c r="M55" i="8" s="1"/>
  <c r="L55" i="8"/>
  <c r="L364" i="8"/>
  <c r="L358" i="8"/>
  <c r="L310" i="8"/>
  <c r="L304" i="8"/>
  <c r="L256" i="8"/>
  <c r="L250" i="8"/>
  <c r="L178" i="8"/>
  <c r="L172" i="8"/>
  <c r="L133" i="8"/>
  <c r="L127" i="8"/>
  <c r="L97" i="8"/>
  <c r="L52" i="8"/>
  <c r="L46" i="8"/>
  <c r="L16" i="8"/>
  <c r="L10" i="8"/>
  <c r="K382" i="8"/>
  <c r="M382" i="8" s="1"/>
  <c r="K376" i="8"/>
  <c r="M376" i="8" s="1"/>
  <c r="K328" i="8"/>
  <c r="M328" i="8" s="1"/>
  <c r="K322" i="8"/>
  <c r="M322" i="8" s="1"/>
  <c r="K244" i="8"/>
  <c r="M244" i="8" s="1"/>
  <c r="K169" i="8"/>
  <c r="M169" i="8" s="1"/>
  <c r="K163" i="8"/>
  <c r="M163" i="8" s="1"/>
  <c r="K79" i="8"/>
  <c r="M79" i="8" s="1"/>
  <c r="K73" i="8"/>
  <c r="M73" i="8" s="1"/>
  <c r="K213" i="8"/>
  <c r="M213" i="8" s="1"/>
  <c r="L213" i="8"/>
  <c r="K219" i="8"/>
  <c r="M219" i="8" s="1"/>
  <c r="L219" i="8"/>
  <c r="L429" i="8"/>
  <c r="K429" i="8"/>
  <c r="M429" i="8" s="1"/>
  <c r="L450" i="8"/>
  <c r="K450" i="8"/>
  <c r="M450" i="8" s="1"/>
  <c r="L456" i="8"/>
  <c r="K456" i="8"/>
  <c r="M456" i="8" s="1"/>
  <c r="L477" i="8"/>
  <c r="K477" i="8"/>
  <c r="M477" i="8" s="1"/>
  <c r="L483" i="8"/>
  <c r="K483" i="8"/>
  <c r="M483" i="8" s="1"/>
  <c r="L504" i="8"/>
  <c r="K504" i="8"/>
  <c r="M504" i="8" s="1"/>
  <c r="L510" i="8"/>
  <c r="K510" i="8"/>
  <c r="M510" i="8" s="1"/>
  <c r="L531" i="8"/>
  <c r="K531" i="8"/>
  <c r="M531" i="8" s="1"/>
  <c r="L537" i="8"/>
  <c r="K537" i="8"/>
  <c r="M537" i="8" s="1"/>
  <c r="L558" i="8"/>
  <c r="K558" i="8"/>
  <c r="M558" i="8" s="1"/>
  <c r="L564" i="8"/>
  <c r="K564" i="8"/>
  <c r="M564" i="8" s="1"/>
  <c r="L585" i="8"/>
  <c r="K585" i="8"/>
  <c r="M585" i="8" s="1"/>
  <c r="L591" i="8"/>
  <c r="K591" i="8"/>
  <c r="M591" i="8" s="1"/>
  <c r="K34" i="8"/>
  <c r="M34" i="8" s="1"/>
  <c r="L34" i="8"/>
  <c r="K61" i="8"/>
  <c r="M61" i="8" s="1"/>
  <c r="L61" i="8"/>
  <c r="K82" i="8"/>
  <c r="M82" i="8" s="1"/>
  <c r="L82" i="8"/>
  <c r="K88" i="8"/>
  <c r="M88" i="8" s="1"/>
  <c r="L88" i="8"/>
  <c r="K136" i="8"/>
  <c r="M136" i="8" s="1"/>
  <c r="L136" i="8"/>
  <c r="K142" i="8"/>
  <c r="M142" i="8" s="1"/>
  <c r="L142" i="8"/>
  <c r="L208" i="8"/>
  <c r="K208" i="8"/>
  <c r="M208" i="8" s="1"/>
  <c r="L214" i="8"/>
  <c r="K214" i="8"/>
  <c r="M214" i="8" s="1"/>
  <c r="K253" i="8"/>
  <c r="M253" i="8" s="1"/>
  <c r="L253" i="8"/>
  <c r="K262" i="8"/>
  <c r="M262" i="8" s="1"/>
  <c r="L262" i="8"/>
  <c r="K271" i="8"/>
  <c r="M271" i="8" s="1"/>
  <c r="L271" i="8"/>
  <c r="K280" i="8"/>
  <c r="M280" i="8" s="1"/>
  <c r="L280" i="8"/>
  <c r="K289" i="8"/>
  <c r="M289" i="8" s="1"/>
  <c r="L289" i="8"/>
  <c r="K298" i="8"/>
  <c r="M298" i="8" s="1"/>
  <c r="L298" i="8"/>
  <c r="K307" i="8"/>
  <c r="M307" i="8" s="1"/>
  <c r="L307" i="8"/>
  <c r="K316" i="8"/>
  <c r="M316" i="8" s="1"/>
  <c r="L316" i="8"/>
  <c r="K325" i="8"/>
  <c r="M325" i="8" s="1"/>
  <c r="L325" i="8"/>
  <c r="K334" i="8"/>
  <c r="M334" i="8" s="1"/>
  <c r="L334" i="8"/>
  <c r="K343" i="8"/>
  <c r="M343" i="8" s="1"/>
  <c r="L343" i="8"/>
  <c r="K352" i="8"/>
  <c r="M352" i="8" s="1"/>
  <c r="L352" i="8"/>
  <c r="K361" i="8"/>
  <c r="M361" i="8" s="1"/>
  <c r="L361" i="8"/>
  <c r="K370" i="8"/>
  <c r="M370" i="8" s="1"/>
  <c r="L370" i="8"/>
  <c r="K379" i="8"/>
  <c r="M379" i="8" s="1"/>
  <c r="L379" i="8"/>
  <c r="K388" i="8"/>
  <c r="M388" i="8" s="1"/>
  <c r="L388" i="8"/>
  <c r="K397" i="8"/>
  <c r="M397" i="8" s="1"/>
  <c r="L397" i="8"/>
  <c r="K406" i="8"/>
  <c r="M406" i="8" s="1"/>
  <c r="L406" i="8"/>
  <c r="K415" i="8"/>
  <c r="M415" i="8" s="1"/>
  <c r="L415" i="8"/>
  <c r="K424" i="8"/>
  <c r="M424" i="8" s="1"/>
  <c r="L424" i="8"/>
  <c r="K433" i="8"/>
  <c r="M433" i="8" s="1"/>
  <c r="L433" i="8"/>
  <c r="K442" i="8"/>
  <c r="M442" i="8" s="1"/>
  <c r="L442" i="8"/>
  <c r="K451" i="8"/>
  <c r="M451" i="8" s="1"/>
  <c r="L451" i="8"/>
  <c r="K460" i="8"/>
  <c r="M460" i="8" s="1"/>
  <c r="L460" i="8"/>
  <c r="K469" i="8"/>
  <c r="M469" i="8" s="1"/>
  <c r="L469" i="8"/>
  <c r="K478" i="8"/>
  <c r="M478" i="8" s="1"/>
  <c r="L478" i="8"/>
  <c r="K487" i="8"/>
  <c r="M487" i="8" s="1"/>
  <c r="L487" i="8"/>
  <c r="K496" i="8"/>
  <c r="M496" i="8" s="1"/>
  <c r="L496" i="8"/>
  <c r="K505" i="8"/>
  <c r="M505" i="8" s="1"/>
  <c r="L505" i="8"/>
  <c r="K514" i="8"/>
  <c r="M514" i="8" s="1"/>
  <c r="L514" i="8"/>
  <c r="K523" i="8"/>
  <c r="M523" i="8" s="1"/>
  <c r="L523" i="8"/>
  <c r="K532" i="8"/>
  <c r="M532" i="8" s="1"/>
  <c r="L532" i="8"/>
  <c r="K541" i="8"/>
  <c r="M541" i="8" s="1"/>
  <c r="L541" i="8"/>
  <c r="K550" i="8"/>
  <c r="M550" i="8" s="1"/>
  <c r="L550" i="8"/>
  <c r="K559" i="8"/>
  <c r="M559" i="8" s="1"/>
  <c r="L559" i="8"/>
  <c r="K568" i="8"/>
  <c r="M568" i="8" s="1"/>
  <c r="L568" i="8"/>
  <c r="K577" i="8"/>
  <c r="M577" i="8" s="1"/>
  <c r="L577" i="8"/>
  <c r="K586" i="8"/>
  <c r="M586" i="8" s="1"/>
  <c r="L586" i="8"/>
  <c r="L601" i="8"/>
  <c r="L592" i="8"/>
  <c r="L571" i="8"/>
  <c r="L565" i="8"/>
  <c r="L544" i="8"/>
  <c r="L538" i="8"/>
  <c r="L511" i="8"/>
  <c r="L490" i="8"/>
  <c r="L463" i="8"/>
  <c r="L457" i="8"/>
  <c r="L436" i="8"/>
  <c r="L430" i="8"/>
  <c r="L355" i="8"/>
  <c r="L349" i="8"/>
  <c r="L295" i="8"/>
  <c r="L274" i="8"/>
  <c r="L268" i="8"/>
  <c r="L247" i="8"/>
  <c r="L241" i="8"/>
  <c r="L210" i="8"/>
  <c r="L204" i="8"/>
  <c r="L160" i="8"/>
  <c r="L154" i="8"/>
  <c r="L124" i="8"/>
  <c r="L118" i="8"/>
  <c r="L43" i="8"/>
  <c r="L37" i="8"/>
  <c r="K600" i="8"/>
  <c r="M600" i="8" s="1"/>
  <c r="K594" i="8"/>
  <c r="M594" i="8" s="1"/>
  <c r="K555" i="8"/>
  <c r="M555" i="8" s="1"/>
  <c r="K549" i="8"/>
  <c r="M549" i="8" s="1"/>
  <c r="K519" i="8"/>
  <c r="M519" i="8" s="1"/>
  <c r="K513" i="8"/>
  <c r="M513" i="8" s="1"/>
  <c r="K474" i="8"/>
  <c r="M474" i="8" s="1"/>
  <c r="K468" i="8"/>
  <c r="M468" i="8" s="1"/>
  <c r="K438" i="8"/>
  <c r="M438" i="8" s="1"/>
  <c r="K432" i="8"/>
  <c r="M432" i="8" s="1"/>
  <c r="K235" i="8"/>
  <c r="M235" i="8" s="1"/>
  <c r="K15" i="8"/>
  <c r="M15" i="8" s="1"/>
  <c r="L15" i="8"/>
  <c r="K18" i="8"/>
  <c r="M18" i="8" s="1"/>
  <c r="L18" i="8"/>
  <c r="K21" i="8"/>
  <c r="M21" i="8" s="1"/>
  <c r="L21" i="8"/>
  <c r="K24" i="8"/>
  <c r="M24" i="8" s="1"/>
  <c r="L24" i="8"/>
  <c r="K27" i="8"/>
  <c r="M27" i="8" s="1"/>
  <c r="L27" i="8"/>
  <c r="K30" i="8"/>
  <c r="M30" i="8" s="1"/>
  <c r="L30" i="8"/>
  <c r="K33" i="8"/>
  <c r="M33" i="8" s="1"/>
  <c r="L33" i="8"/>
  <c r="K36" i="8"/>
  <c r="M36" i="8" s="1"/>
  <c r="L36" i="8"/>
  <c r="K39" i="8"/>
  <c r="M39" i="8" s="1"/>
  <c r="L39" i="8"/>
  <c r="K42" i="8"/>
  <c r="M42" i="8" s="1"/>
  <c r="L42" i="8"/>
  <c r="K45" i="8"/>
  <c r="M45" i="8" s="1"/>
  <c r="L45" i="8"/>
  <c r="K48" i="8"/>
  <c r="M48" i="8" s="1"/>
  <c r="L48" i="8"/>
  <c r="K51" i="8"/>
  <c r="M51" i="8" s="1"/>
  <c r="L51" i="8"/>
  <c r="K54" i="8"/>
  <c r="M54" i="8" s="1"/>
  <c r="L54" i="8"/>
  <c r="K57" i="8"/>
  <c r="M57" i="8" s="1"/>
  <c r="L57" i="8"/>
  <c r="K60" i="8"/>
  <c r="M60" i="8" s="1"/>
  <c r="L60" i="8"/>
  <c r="K63" i="8"/>
  <c r="M63" i="8" s="1"/>
  <c r="L63" i="8"/>
  <c r="K66" i="8"/>
  <c r="M66" i="8" s="1"/>
  <c r="L66" i="8"/>
  <c r="K69" i="8"/>
  <c r="M69" i="8" s="1"/>
  <c r="L69" i="8"/>
  <c r="K72" i="8"/>
  <c r="M72" i="8" s="1"/>
  <c r="L72" i="8"/>
  <c r="K75" i="8"/>
  <c r="M75" i="8" s="1"/>
  <c r="L75" i="8"/>
  <c r="K78" i="8"/>
  <c r="M78" i="8" s="1"/>
  <c r="L78" i="8"/>
  <c r="K81" i="8"/>
  <c r="M81" i="8" s="1"/>
  <c r="L81" i="8"/>
  <c r="K84" i="8"/>
  <c r="M84" i="8" s="1"/>
  <c r="L84" i="8"/>
  <c r="K87" i="8"/>
  <c r="M87" i="8" s="1"/>
  <c r="L87" i="8"/>
  <c r="K90" i="8"/>
  <c r="M90" i="8" s="1"/>
  <c r="L90" i="8"/>
  <c r="K93" i="8"/>
  <c r="M93" i="8" s="1"/>
  <c r="L93" i="8"/>
  <c r="K96" i="8"/>
  <c r="M96" i="8" s="1"/>
  <c r="L96" i="8"/>
  <c r="K99" i="8"/>
  <c r="M99" i="8" s="1"/>
  <c r="L99" i="8"/>
  <c r="K102" i="8"/>
  <c r="M102" i="8" s="1"/>
  <c r="L102" i="8"/>
  <c r="K105" i="8"/>
  <c r="M105" i="8" s="1"/>
  <c r="L105" i="8"/>
  <c r="K108" i="8"/>
  <c r="M108" i="8" s="1"/>
  <c r="L108" i="8"/>
  <c r="K111" i="8"/>
  <c r="M111" i="8" s="1"/>
  <c r="L111" i="8"/>
  <c r="K114" i="8"/>
  <c r="M114" i="8" s="1"/>
  <c r="L114" i="8"/>
  <c r="K117" i="8"/>
  <c r="M117" i="8" s="1"/>
  <c r="L117" i="8"/>
  <c r="K120" i="8"/>
  <c r="M120" i="8" s="1"/>
  <c r="L120" i="8"/>
  <c r="K123" i="8"/>
  <c r="M123" i="8" s="1"/>
  <c r="L123" i="8"/>
  <c r="K126" i="8"/>
  <c r="M126" i="8" s="1"/>
  <c r="L126" i="8"/>
  <c r="K129" i="8"/>
  <c r="M129" i="8" s="1"/>
  <c r="L129" i="8"/>
  <c r="K132" i="8"/>
  <c r="M132" i="8" s="1"/>
  <c r="L132" i="8"/>
  <c r="K135" i="8"/>
  <c r="M135" i="8" s="1"/>
  <c r="L135" i="8"/>
  <c r="K138" i="8"/>
  <c r="M138" i="8" s="1"/>
  <c r="L138" i="8"/>
  <c r="K141" i="8"/>
  <c r="M141" i="8" s="1"/>
  <c r="L141" i="8"/>
  <c r="K144" i="8"/>
  <c r="M144" i="8" s="1"/>
  <c r="L144" i="8"/>
  <c r="K147" i="8"/>
  <c r="M147" i="8" s="1"/>
  <c r="L147" i="8"/>
  <c r="K150" i="8"/>
  <c r="M150" i="8" s="1"/>
  <c r="L150" i="8"/>
  <c r="K153" i="8"/>
  <c r="M153" i="8" s="1"/>
  <c r="L153" i="8"/>
  <c r="K156" i="8"/>
  <c r="M156" i="8" s="1"/>
  <c r="L156" i="8"/>
  <c r="K159" i="8"/>
  <c r="M159" i="8" s="1"/>
  <c r="L159" i="8"/>
  <c r="K162" i="8"/>
  <c r="M162" i="8" s="1"/>
  <c r="L162" i="8"/>
  <c r="K165" i="8"/>
  <c r="M165" i="8" s="1"/>
  <c r="L165" i="8"/>
  <c r="K168" i="8"/>
  <c r="M168" i="8" s="1"/>
  <c r="L168" i="8"/>
  <c r="K171" i="8"/>
  <c r="M171" i="8" s="1"/>
  <c r="L171" i="8"/>
  <c r="K174" i="8"/>
  <c r="M174" i="8" s="1"/>
  <c r="L174" i="8"/>
  <c r="K177" i="8"/>
  <c r="M177" i="8" s="1"/>
  <c r="L177" i="8"/>
  <c r="K180" i="8"/>
  <c r="M180" i="8" s="1"/>
  <c r="L180" i="8"/>
  <c r="K183" i="8"/>
  <c r="M183" i="8" s="1"/>
  <c r="L183" i="8"/>
  <c r="K186" i="8"/>
  <c r="M186" i="8" s="1"/>
  <c r="L186" i="8"/>
  <c r="K189" i="8"/>
  <c r="M189" i="8" s="1"/>
  <c r="L189" i="8"/>
  <c r="K192" i="8"/>
  <c r="M192" i="8" s="1"/>
  <c r="L192" i="8"/>
  <c r="K199" i="8"/>
  <c r="M199" i="8" s="1"/>
  <c r="L199" i="8"/>
  <c r="K229" i="8"/>
  <c r="M229" i="8" s="1"/>
  <c r="L229" i="8"/>
  <c r="K232" i="8"/>
  <c r="M232" i="8" s="1"/>
  <c r="L232" i="8"/>
  <c r="K202" i="8"/>
  <c r="M202" i="8" s="1"/>
  <c r="L202" i="8"/>
  <c r="K205" i="8"/>
  <c r="M205" i="8" s="1"/>
  <c r="L205" i="8"/>
  <c r="K211" i="8"/>
  <c r="M211" i="8" s="1"/>
  <c r="L211" i="8"/>
  <c r="K220" i="8"/>
  <c r="M220" i="8" s="1"/>
  <c r="L220" i="8"/>
  <c r="K226" i="8"/>
  <c r="M226" i="8" s="1"/>
  <c r="L226" i="8"/>
  <c r="L597" i="8"/>
  <c r="L588" i="8"/>
  <c r="L579" i="8"/>
  <c r="L570" i="8"/>
  <c r="L561" i="8"/>
  <c r="L552" i="8"/>
  <c r="L543" i="8"/>
  <c r="L534" i="8"/>
  <c r="L525" i="8"/>
  <c r="L516" i="8"/>
  <c r="L507" i="8"/>
  <c r="L498" i="8"/>
  <c r="L489" i="8"/>
  <c r="L480" i="8"/>
  <c r="L471" i="8"/>
  <c r="L462" i="8"/>
  <c r="L453" i="8"/>
  <c r="L444" i="8"/>
  <c r="L435" i="8"/>
  <c r="L426" i="8"/>
  <c r="L423" i="8"/>
  <c r="L420" i="8"/>
  <c r="L417" i="8"/>
  <c r="L414" i="8"/>
  <c r="L411" i="8"/>
  <c r="L408" i="8"/>
  <c r="L405" i="8"/>
  <c r="L402" i="8"/>
  <c r="L399" i="8"/>
  <c r="L396" i="8"/>
  <c r="L393" i="8"/>
  <c r="L390" i="8"/>
  <c r="L387" i="8"/>
  <c r="L384" i="8"/>
  <c r="L381" i="8"/>
  <c r="L378" i="8"/>
  <c r="L375" i="8"/>
  <c r="L372" i="8"/>
  <c r="L369" i="8"/>
  <c r="L366" i="8"/>
  <c r="L363" i="8"/>
  <c r="L360" i="8"/>
  <c r="L357" i="8"/>
  <c r="L354" i="8"/>
  <c r="L351" i="8"/>
  <c r="L348" i="8"/>
  <c r="L345" i="8"/>
  <c r="L342" i="8"/>
  <c r="L339" i="8"/>
  <c r="L336" i="8"/>
  <c r="L333" i="8"/>
  <c r="L330" i="8"/>
  <c r="L327" i="8"/>
  <c r="L324" i="8"/>
  <c r="L321" i="8"/>
  <c r="L318" i="8"/>
  <c r="L315" i="8"/>
  <c r="L312" i="8"/>
  <c r="L309" i="8"/>
  <c r="L306" i="8"/>
  <c r="L303" i="8"/>
  <c r="L300" i="8"/>
  <c r="L294" i="8"/>
  <c r="L291" i="8"/>
  <c r="L288" i="8"/>
  <c r="L285" i="8"/>
  <c r="L282" i="8"/>
  <c r="L279" i="8"/>
  <c r="L276" i="8"/>
  <c r="L273" i="8"/>
  <c r="L270" i="8"/>
  <c r="L267" i="8"/>
  <c r="L264" i="8"/>
  <c r="L261" i="8"/>
  <c r="L258" i="8"/>
  <c r="L255" i="8"/>
  <c r="L252" i="8"/>
  <c r="L249" i="8"/>
  <c r="L246" i="8"/>
  <c r="L243" i="8"/>
  <c r="L240" i="8"/>
  <c r="L237" i="8"/>
  <c r="L234" i="8"/>
  <c r="L225" i="8"/>
  <c r="L216" i="8"/>
  <c r="L207" i="8"/>
  <c r="L198" i="8"/>
  <c r="L193" i="8"/>
  <c r="L184" i="8"/>
  <c r="L175" i="8"/>
  <c r="L166" i="8"/>
  <c r="L157" i="8"/>
  <c r="L148" i="8"/>
  <c r="L139" i="8"/>
  <c r="L130" i="8"/>
  <c r="L121" i="8"/>
  <c r="L112" i="8"/>
  <c r="L94" i="8"/>
  <c r="L85" i="8"/>
  <c r="L76" i="8"/>
  <c r="L67" i="8"/>
  <c r="L58" i="8"/>
  <c r="L49" i="8"/>
  <c r="L40" i="8"/>
  <c r="L31" i="8"/>
  <c r="L22" i="8"/>
  <c r="L9" i="8"/>
  <c r="L6" i="8"/>
  <c r="K223" i="8"/>
  <c r="M223" i="8" s="1"/>
  <c r="K217" i="8"/>
  <c r="M217" i="8" s="1"/>
  <c r="D13" i="2"/>
  <c r="D12" i="2"/>
  <c r="D11" i="2"/>
  <c r="D10" i="2"/>
  <c r="D9" i="2"/>
  <c r="D8" i="2"/>
  <c r="D7" i="2"/>
  <c r="D6" i="2"/>
  <c r="D5" i="2"/>
  <c r="D4" i="2"/>
  <c r="D3" i="2"/>
  <c r="D2" i="2"/>
  <c r="L3" i="8"/>
  <c r="L195" i="8"/>
  <c r="M517" i="8" l="1"/>
  <c r="L517" i="8"/>
  <c r="M495" i="8"/>
  <c r="L495" i="8"/>
  <c r="M143" i="8"/>
  <c r="L143" i="8"/>
  <c r="M466" i="8"/>
  <c r="L466" i="8"/>
  <c r="M484" i="8"/>
  <c r="L484" i="8"/>
  <c r="M103" i="8"/>
  <c r="L103" i="8"/>
  <c r="M104" i="8"/>
  <c r="L104" i="8"/>
  <c r="M101" i="8"/>
  <c r="L101" i="8"/>
  <c r="M92" i="8"/>
  <c r="L92" i="8"/>
  <c r="M91" i="8"/>
  <c r="L91" i="8"/>
  <c r="M14" i="8"/>
  <c r="L14" i="8"/>
  <c r="M13" i="8"/>
  <c r="L13" i="8"/>
  <c r="M11" i="8"/>
  <c r="L11" i="8"/>
  <c r="M12" i="8"/>
  <c r="L12" i="8"/>
  <c r="M4" i="8"/>
  <c r="L4" i="8"/>
  <c r="M553" i="8"/>
  <c r="L553" i="8"/>
  <c r="M297" i="8"/>
  <c r="L297" i="8"/>
  <c r="M301" i="8"/>
  <c r="L301" i="8"/>
  <c r="L296" i="8"/>
  <c r="J13" i="2"/>
  <c r="K13" i="2" s="1"/>
  <c r="M13" i="2" s="1"/>
  <c r="J5" i="2"/>
  <c r="J9" i="2"/>
  <c r="K9" i="2" s="1"/>
  <c r="M9" i="2" s="1"/>
  <c r="J12" i="2"/>
  <c r="K12" i="2" s="1"/>
  <c r="M12" i="2" s="1"/>
  <c r="J7" i="2"/>
  <c r="J4" i="2"/>
  <c r="K4" i="2" s="1"/>
  <c r="M4" i="2" s="1"/>
  <c r="J8" i="2"/>
  <c r="J10" i="2"/>
  <c r="J11" i="2"/>
  <c r="K11" i="2" s="1"/>
  <c r="M11" i="2" s="1"/>
  <c r="J6" i="2"/>
  <c r="K6" i="2" s="1"/>
  <c r="M6" i="2" s="1"/>
  <c r="J3" i="2"/>
  <c r="K3" i="2" s="1"/>
  <c r="M3" i="2" s="1"/>
  <c r="J2" i="2"/>
  <c r="K2" i="2" l="1"/>
  <c r="M2" i="2" s="1"/>
  <c r="K10" i="2"/>
  <c r="M10" i="2" s="1"/>
  <c r="K8" i="2"/>
  <c r="M8" i="2" s="1"/>
  <c r="K7" i="2"/>
  <c r="M7" i="2" s="1"/>
  <c r="K5" i="2"/>
  <c r="M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<sst xmlns="http://schemas.openxmlformats.org/spreadsheetml/2006/main" count="12465" uniqueCount="5692">
  <si>
    <t>CÓDIGO</t>
  </si>
  <si>
    <t>DESCRIPCIÓN</t>
  </si>
  <si>
    <t>EAN UMA</t>
  </si>
  <si>
    <t>UMA</t>
  </si>
  <si>
    <t>CONVERSIÓN CAMA / PQT</t>
  </si>
  <si>
    <t>CONVERSION PAL / CAM</t>
  </si>
  <si>
    <t>CONVERSION PAL / PQT</t>
  </si>
  <si>
    <t>__PowerAppsId__</t>
  </si>
  <si>
    <t>JABON. SPA 90GR 10BLI</t>
  </si>
  <si>
    <t>CJA</t>
  </si>
  <si>
    <t>7c9221e9-3d38-455d-a8c5-99100cdbf07e</t>
  </si>
  <si>
    <t>JABON. SPA 90GR 4UND 12PCK</t>
  </si>
  <si>
    <t>9ed4e050-66a3-4cbc-a7eb-d6e87a741ee6</t>
  </si>
  <si>
    <t>JABON. SPA 150GR 3UND 21PCK</t>
  </si>
  <si>
    <t>a49a73c1-f94e-46b1-b9ef-9cb9a5d84ab7</t>
  </si>
  <si>
    <t>JABON. SPA PREMIUM MIX 4UND 320GR 25PCK</t>
  </si>
  <si>
    <t>281e4bf3-ba22-4820-aacd-f6cb925a7ae3</t>
  </si>
  <si>
    <t>JABON. SPA PREMIUM MIX 3UND 390GR 18PCK</t>
  </si>
  <si>
    <t>42d292df-03ff-4a85-b9aa-66d334dbbeca</t>
  </si>
  <si>
    <t>JABON. SPA PREMIUM EXOT 3UND 390GR 18PCK</t>
  </si>
  <si>
    <t>ddeb2234-2cdb-4528-bd02-518639f3d705</t>
  </si>
  <si>
    <t>JABON. SPA REFRESCANT 90GR 60UND</t>
  </si>
  <si>
    <t>84a3146c-f69b-47fd-ae6d-f43e11867ea9</t>
  </si>
  <si>
    <t>JABON. SPA REFRESCANT 150GR 72UND</t>
  </si>
  <si>
    <t>c2aaa844-f089-44c5-91c7-c3ae0d26cb58</t>
  </si>
  <si>
    <t>JABON. SPA REFRESCANT TRIPCK 450GR</t>
  </si>
  <si>
    <t>b4563778-1863-4636-a76b-42997a529709</t>
  </si>
  <si>
    <t>JABON. SPA PREMIUM REFRES 80GR 60UND</t>
  </si>
  <si>
    <t>10334ca6-6053-49f2-8822-a9983cef0376</t>
  </si>
  <si>
    <t>JABON. SPA PREMIUM REFRES 130GR 72UND</t>
  </si>
  <si>
    <t>4a69cbf5-36aa-4347-86e0-12d0d26eebf0</t>
  </si>
  <si>
    <t>JABON. SPA PREMI REFRES 3UND 390GR 18PCK</t>
  </si>
  <si>
    <t>0d616c6b-91a2-4c1c-b718-79c4ff23ba5d</t>
  </si>
  <si>
    <t>JABON. SPA HUMECTANTE 90GR 60UND</t>
  </si>
  <si>
    <t>ff370c46-7d71-48e4-813d-0f8a01d9341e</t>
  </si>
  <si>
    <t>JABON. SPA HUMECTANTE 150GR 72UND</t>
  </si>
  <si>
    <t>c57cb7bb-72f0-4cc0-a93e-375f9652fcc7</t>
  </si>
  <si>
    <t>JABON. SPA PREMIUM HIDR 80GR 60UND</t>
  </si>
  <si>
    <t>38221cee-39e7-46f8-a1b2-f85fa81b5037</t>
  </si>
  <si>
    <t>JABON. SPA PREMIUM HIDR 130GR 72UND</t>
  </si>
  <si>
    <t>c27c8a22-71db-482a-84c0-8eac06368df9</t>
  </si>
  <si>
    <t>JABON SPA OLIVE 150GR 72UND</t>
  </si>
  <si>
    <t>b5d7bbc8-a8e5-4431-a34c-d84b76d951e5</t>
  </si>
  <si>
    <t>JABON. SPA EXFOLIANTE 90GR 60UND</t>
  </si>
  <si>
    <t>9cf0bd6e-edbf-49c1-b195-e3e0ac2d7081</t>
  </si>
  <si>
    <t>JABON. SPA EXFOLIANTE 150GR 72UND</t>
  </si>
  <si>
    <t>6f930fe6-807b-46d2-8d2f-57560dfd26ac</t>
  </si>
  <si>
    <t>JABON. SPA EXFO TRIPACK 450GR 20 UND</t>
  </si>
  <si>
    <t>8132a84d-e5fd-4fe4-ba9b-9339c2b1a9a3</t>
  </si>
  <si>
    <t>JABON. SPA PREM EXFOLIANT 80GR 60UND</t>
  </si>
  <si>
    <t>2715cdee-7598-4e28-b08c-c5f101b98cd9</t>
  </si>
  <si>
    <t>JABON. SPA PREM EXFOLIANT 130GR 72UND</t>
  </si>
  <si>
    <t>713d9ea0-7ced-4995-b62d-234f3dfcd2ad</t>
  </si>
  <si>
    <t>JABON. SPA PREM EXFO 3UND 390GR 18PCK</t>
  </si>
  <si>
    <t>717d7202-98b9-45fe-a67a-e60fb527b6d4</t>
  </si>
  <si>
    <t>JABON. SPA COLAGENO 90GR 60UND</t>
  </si>
  <si>
    <t>d18446ea-2672-46d9-8586-77a7388f081e</t>
  </si>
  <si>
    <t>JABON. SPA COLAGENO 150GR 72UND</t>
  </si>
  <si>
    <t>64836023-21bc-4ca2-b270-79c78db3df66</t>
  </si>
  <si>
    <t>JABON. SPA RELAJANT 90GR 60UND</t>
  </si>
  <si>
    <t>21f84d81-3693-46d9-a6d7-0528a6f6eaa6</t>
  </si>
  <si>
    <t>JABON. SPA RELAJANT 150GR 72UND</t>
  </si>
  <si>
    <t>1e425b70-115a-4936-8875-b1c3268b0414</t>
  </si>
  <si>
    <t>JABON. SPA PREM REVITALIZ 80GR 60UND</t>
  </si>
  <si>
    <t>d6a19fe2-2de6-4b95-b6f9-86cb5166d999</t>
  </si>
  <si>
    <t>JABON. SPA PREM REVITALIZ 130GR 72UND</t>
  </si>
  <si>
    <t>d6d9ade6-3174-4bfb-aab4-13c4f2450967</t>
  </si>
  <si>
    <t>JABON. SPA ENERGIZANT 90GR 60UND</t>
  </si>
  <si>
    <t>43390098-0093-49f0-9cef-110339edd1a1</t>
  </si>
  <si>
    <t>JABON. SPA ENERGIZANT 150GR 72UND</t>
  </si>
  <si>
    <t>479ee639-ed20-4857-90fb-842e2e4164a5</t>
  </si>
  <si>
    <t>JABON. SPA PREM APASIONAN 80GR 60UND</t>
  </si>
  <si>
    <t>055ea042-2fcb-40b9-ab38-27048959345b</t>
  </si>
  <si>
    <t>JABON. SPA PREM APASIONAN 130GR 72UND</t>
  </si>
  <si>
    <t>5b351140-4405-4ea1-8b26-ba22eefbc1f2</t>
  </si>
  <si>
    <t>JABON. SPA RADIANTE 90GR 60UND</t>
  </si>
  <si>
    <t>c69c3d31-3223-4dfc-9046-aa958291ff23</t>
  </si>
  <si>
    <t>JABON. SPA RADIANTE 150GR 72UND</t>
  </si>
  <si>
    <t>3aedbe0f-81fc-4c85-8440-0ae69a72fd6b</t>
  </si>
  <si>
    <t>JABON. SPA PREM RADIANT 80GR 60UND</t>
  </si>
  <si>
    <t>61543d5c-6a21-495d-a76c-c9ebd30a18bf</t>
  </si>
  <si>
    <t>JABON. SPA PREM RADIANT 130GR 72UND</t>
  </si>
  <si>
    <t>cc44abeb-cf49-4356-b5a0-b8c17c97f0eb</t>
  </si>
  <si>
    <t>JABÓN SPA PREMIUM EXFOLIANTE 115GR 72UND</t>
  </si>
  <si>
    <t>923c6503-74b3-486f-b527-a7c3ed06eaae</t>
  </si>
  <si>
    <t>JABÓN SPA PREMIUM REFRESCANT 115GR 72UND</t>
  </si>
  <si>
    <t>8f3b3567-1bbd-4a8f-a9e2-cc3360a2f32f</t>
  </si>
  <si>
    <t>JABÓN SPA PREMIUM RADIANTE 115GR 72UND</t>
  </si>
  <si>
    <t>f1b01acf-89c6-465c-a6e8-1c6e32fdb142</t>
  </si>
  <si>
    <t>JABÓN SPA</t>
  </si>
  <si>
    <t>d517776e-5660-4807-974c-158c02cba6d8</t>
  </si>
  <si>
    <t>JABÓN PREM HUMECT SPA 115GR 72U NO USAR</t>
  </si>
  <si>
    <t>972c525b-ee98-42db-9106-c012276ea039</t>
  </si>
  <si>
    <t>JABÓN PREMIUM HUMECTANTE SPA 115GR 72UND</t>
  </si>
  <si>
    <t>dc04cb7c-5f5c-4bc0-8818-5f69754e65d2</t>
  </si>
  <si>
    <t>JABON. SPA PREM VERANO 130GR 72UND</t>
  </si>
  <si>
    <t>520d35c6-a817-4f91-8695-55d3cfe5cd2c</t>
  </si>
  <si>
    <t>LEJIA SAPOLIO ORIGINAL 5000G 4BOT</t>
  </si>
  <si>
    <t>5811de45-5af9-4c99-8fb5-311af318a233</t>
  </si>
  <si>
    <t>LEJIA 4.63% ORIG SAPOLIO JC 5GL 1UND</t>
  </si>
  <si>
    <t>UND</t>
  </si>
  <si>
    <t>587da3c0-f2ac-4ef2-881d-baa0dc48f6b2</t>
  </si>
  <si>
    <t>HIPOCLO. SODIO 8% SAPOLIO JC 5GL 1UND</t>
  </si>
  <si>
    <t>01775046-fe70-43a8-81c9-a4d04c04da5e</t>
  </si>
  <si>
    <t>LEJIA ORIG.SAPOLIO 250GR + 34% 15UND</t>
  </si>
  <si>
    <t>3bbdb84b-d439-4e58-ada4-9f24b3e99619</t>
  </si>
  <si>
    <t>LEJIA ORIG.SAPOLIO 500GR + 34% 15UND</t>
  </si>
  <si>
    <t>080597ab-4d39-4d4d-a33d-bbfe8f595fc9</t>
  </si>
  <si>
    <t>LEJIA ORIG.SAPOLIO 1000GR + 10% 12UND</t>
  </si>
  <si>
    <t>4704b186-7b78-425a-bbed-cc3149172739</t>
  </si>
  <si>
    <t>LEJ.SAP.HIPOCLORITO D/SODI.8% GRANELXKG</t>
  </si>
  <si>
    <t>KG</t>
  </si>
  <si>
    <t>ef811415-c739-4f6e-aa7d-604cd210b54e</t>
  </si>
  <si>
    <t>LEJIA PROFESIONAL SAPOLIO 4.63% 5KG.4UND</t>
  </si>
  <si>
    <t>04eab122-2188-4a5e-8398-b5f27a5e189b</t>
  </si>
  <si>
    <t>LEJIA SAPOLIO 5.25% 4KG.4UND EXP.TRI</t>
  </si>
  <si>
    <t>27eb09f8-1f06-418b-bc2d-c3584ae8ee6f</t>
  </si>
  <si>
    <t>LEJIA SAPOLIO LAVANDA 640GR 15 UND</t>
  </si>
  <si>
    <t>bb94aa17-67d9-4a4a-9c86-5dbf512a3ecb</t>
  </si>
  <si>
    <t>LEJIA SAPOLIO ORIGINAL 670GR 15UND</t>
  </si>
  <si>
    <t>66ed9914-3cbe-4211-a090-a5d22889f378</t>
  </si>
  <si>
    <t>LEJIA SAPOLIO ORIGINAL 1KG 12UND</t>
  </si>
  <si>
    <t>c224db2a-705c-4eea-97e6-6135ba75e23e</t>
  </si>
  <si>
    <t>LAVANDINA SAPOL.F.BLANC.RED.1L 12UND BOL</t>
  </si>
  <si>
    <t>1953bb10-5070-4ca2-bf5e-a841680fd6d7</t>
  </si>
  <si>
    <t>LAVANDINA SAPOL.BLANC.RED.1893ML 6UN BOL</t>
  </si>
  <si>
    <t>1af3dde0-e5dd-4f2b-a8fb-2330e4faab5b</t>
  </si>
  <si>
    <t>LEJIA PATITO ORIGINAL 370GR 15UND</t>
  </si>
  <si>
    <t>d6a03feb-09a7-4cce-bd68-a2f08f6c45e4</t>
  </si>
  <si>
    <t>LEJIA CLORO SAPOLIO ORIGINAL 400GR 15UND</t>
  </si>
  <si>
    <t>f14eea4c-9e84-4e2b-b128-5334be0c8a43</t>
  </si>
  <si>
    <t>LEJIA CLORO SAPOL ORIGINAL 1.16KG 12UND</t>
  </si>
  <si>
    <t>5e5f5c87-76bc-4247-ae87-12b73eafaaa5</t>
  </si>
  <si>
    <t>LEJIA CLORO SAPOLIO ORIGINAL 5KG 4UND</t>
  </si>
  <si>
    <t>1abb80ab-2d11-4901-837a-7b61f972e2ca</t>
  </si>
  <si>
    <t>LEJIA CLORO SAP. ORIG. 790GR 15UND. S/P</t>
  </si>
  <si>
    <t>d64188a0-2d0e-4aad-bed0-1798f621f24f</t>
  </si>
  <si>
    <t>LEJÍA CLORO PATITO 650G 12 UND</t>
  </si>
  <si>
    <t>524fc16a-eb5b-4744-b294-75cee3f55cd4</t>
  </si>
  <si>
    <t>LEJÍA CLORO PATITO 1KG 12 UND</t>
  </si>
  <si>
    <t>3576e1d2-df4b-44e0-b32a-df5438e63ee1</t>
  </si>
  <si>
    <t>LEJIA CLORO SAPOLIO ORIGINAL 2.5KG 6UND</t>
  </si>
  <si>
    <t>494d4ad1-3415-48e9-8b31-c19138b053ae</t>
  </si>
  <si>
    <t>LEJÍA CLORO PATITO 370G C/P 15 UND</t>
  </si>
  <si>
    <t>939813bd-5673-490d-a800-d0cafed9e0bd</t>
  </si>
  <si>
    <t>LEJÍA CLORO PATITO 650G C/P 12 UND</t>
  </si>
  <si>
    <t>64b1ca95-db0e-462a-a251-5206f17421e6</t>
  </si>
  <si>
    <t>LEJÍA CLORO PATITO 1KG C/P 12 UND</t>
  </si>
  <si>
    <t>56809a6a-4dc7-4ee1-accc-8da2dc42fea9</t>
  </si>
  <si>
    <t>LAVANDI SAPOL F.BLAN RED 4730ML 4UND BOL</t>
  </si>
  <si>
    <t>91001a2b-8e32-440d-817a-978715afce48</t>
  </si>
  <si>
    <t>SAPOLIO PROF HIPOCLORITO 8% 5KG 4UND</t>
  </si>
  <si>
    <t>387e0a8d-6aed-4136-956b-ac36837599b4</t>
  </si>
  <si>
    <t>LEJÍA I PATITO B CLORO 370G 15 UND</t>
  </si>
  <si>
    <t>a081bc4d-6b23-43a8-9f25-3c9eaa2a532c</t>
  </si>
  <si>
    <t>LEJÍA I PATITO B CLORO 650G 12 UND</t>
  </si>
  <si>
    <t>2601d951-275f-4cb7-93cf-fbfc729bbfec</t>
  </si>
  <si>
    <t>LEJÍA I PATITO B CLORO 1KG 12 UND</t>
  </si>
  <si>
    <t>e40112ec-4c5a-4624-a137-1a69175e5617</t>
  </si>
  <si>
    <t>LEJIA SAPOLIO CLORO B 400GR 15UND</t>
  </si>
  <si>
    <t>34468002-cec5-4e09-b2a0-554926abd926</t>
  </si>
  <si>
    <t>LEJIA SAPOLIO CLORO B 790GR 15UND</t>
  </si>
  <si>
    <t>adc30df3-5cfb-40db-a274-40460ae9b9f9</t>
  </si>
  <si>
    <t>LEJIA SAPOLIO CLORO B 1.16KG 12UND</t>
  </si>
  <si>
    <t>d1f61b82-a0c3-468c-bb12-e041b6216b99</t>
  </si>
  <si>
    <t>LEJIA SAPOLIO CLORO B 2.5KG 6UND</t>
  </si>
  <si>
    <t>92845891-0560-4242-ae6b-c88792181dab</t>
  </si>
  <si>
    <t>LEJIA SAPOLIO CLORO B 4.8 KG 4UND</t>
  </si>
  <si>
    <t>fd4e2a0b-3ccb-4562-a573-516c97ac9a55</t>
  </si>
  <si>
    <t>SAP.B2B.LEJÍA SUP.CONCENT 7.5% 4KGX4UND</t>
  </si>
  <si>
    <t>2ff22998-021e-439c-a98a-7cec4fa8c753</t>
  </si>
  <si>
    <t>LAVANDINA SAPOL.F.BLNC.RED.3800ML</t>
  </si>
  <si>
    <t>21ac8454-af53-485e-9817-666d01798cbc</t>
  </si>
  <si>
    <t>LEJIA SAPOLIO CLORO B 770GR 15UND</t>
  </si>
  <si>
    <t>5e382748-e446-47ec-8623-96a1316997bd</t>
  </si>
  <si>
    <t>LEJIA SAPOLIO CLORO LAVANDA 4.8 KG 4UND</t>
  </si>
  <si>
    <t>b0649836-2872-469d-aafb-722d1d9e3544</t>
  </si>
  <si>
    <t>LEJIA PATITO B CLORO 1070G 12UND</t>
  </si>
  <si>
    <t>bc8ec360-aa13-4fdb-81aa-26ce6df58643</t>
  </si>
  <si>
    <t>LEJIA PATITO B CLORO 400G 15UND</t>
  </si>
  <si>
    <t>fb089abc-9554-47c5-9f6a-6bed6db65085</t>
  </si>
  <si>
    <t>CR.DENTO T.ACC.75ML 12UND 12PCK.</t>
  </si>
  <si>
    <t>3631cee7-facd-4527-8d4a-5e87afa3dcbc</t>
  </si>
  <si>
    <t>CR.DENTO MENTA 150ML +CEPILLO 6UND 8PCK</t>
  </si>
  <si>
    <t>daa07516-8906-4b37-afa4-ac4566ee5c30</t>
  </si>
  <si>
    <t>CR.DENTO MENTA 75ML 12UND 12PCK</t>
  </si>
  <si>
    <t>3be110c4-e10e-4701-9082-93df7f9da970</t>
  </si>
  <si>
    <t>CR.DENTO HERBAL 90GR 12UND 12PCK</t>
  </si>
  <si>
    <t>fddea3f0-18be-4d47-809d-c86508dbc1d6</t>
  </si>
  <si>
    <t>GEL DENTITO BABY 60ML 12UND</t>
  </si>
  <si>
    <t>cb26168f-fd47-46b2-acde-4809b57aee66</t>
  </si>
  <si>
    <t>CR.DENTO T.ACC.ICE SIXPACK 75ML 12PCK</t>
  </si>
  <si>
    <t>ff17fe72-b8a1-419a-8a84-4f5afbf6100b</t>
  </si>
  <si>
    <t>CR.DENTO T.ACC.ICE 75ML 12UND 12PCK</t>
  </si>
  <si>
    <t>79b20e4c-26f5-4f6f-a880-aef925b320f5</t>
  </si>
  <si>
    <t>CR.DENTO T.ACC.150ML +CEPILLO 6UND 8PCK</t>
  </si>
  <si>
    <t>3177617a-ca99-49e2-8534-47d0e157a587</t>
  </si>
  <si>
    <t>GEL DENTITO CHICLE GLOBO 85G 12UND 12PCK</t>
  </si>
  <si>
    <t>fdc21773-f7c3-4567-8970-7e0fa475f3f8</t>
  </si>
  <si>
    <t>CR.DENTO HERBAL SIXPACK 90GR 12PCK</t>
  </si>
  <si>
    <t>31d2c6d1-9d9d-4bff-a3d1-412d1ac243de</t>
  </si>
  <si>
    <t>CR.DENTO HERBAL 180GR+ CEPILLO 6UND 8PCK</t>
  </si>
  <si>
    <t>faf0f066-e1c6-42be-8314-16caa5ceb026</t>
  </si>
  <si>
    <t>CEP DENTO LIMPIALEN RT SUAVE 14UND 6DSP</t>
  </si>
  <si>
    <t>af879219-fe02-412f-8d28-efc8ccb3f753</t>
  </si>
  <si>
    <t>CEP DENTO PREMIUM GRAB RT MED.14UND 6DSP</t>
  </si>
  <si>
    <t>f7bfc0f8-9835-4dbd-a30e-a6483cfb654d</t>
  </si>
  <si>
    <t>CEP DENTO PREMIUM GRAB RT DUR.14UND 6DSP</t>
  </si>
  <si>
    <t>c9e5e650-1a39-437e-9b86-f556a311923a</t>
  </si>
  <si>
    <t>CEP DENTO PREMIUM GRAB ZZ SUA.14UND 6DSP</t>
  </si>
  <si>
    <t>a27088ae-ab46-4158-9f47-eea00fb373d0</t>
  </si>
  <si>
    <t>CEP DENTO GALAXY NIÑOS 14UND 6DSP</t>
  </si>
  <si>
    <t>9ad72bda-faab-4558-9295-a6892d86403a</t>
  </si>
  <si>
    <t>ENJ.BUCAL DENTO MENTA NATURAL 250ML 12UN</t>
  </si>
  <si>
    <t>27a9b635-7783-4905-a84b-f5b9da29a7c5</t>
  </si>
  <si>
    <t>ENJ.BUCAL DENTO GLACIAL 250ML 12UND</t>
  </si>
  <si>
    <t>36e6d1d9-4286-4f2a-976f-1a3f36324f1f</t>
  </si>
  <si>
    <t>ENJ.BUCAL DENTO EUCALIPTO 250ML 12UND</t>
  </si>
  <si>
    <t>b6a79505-facf-4607-882a-d35567c48228</t>
  </si>
  <si>
    <t>ENJ.BUCAL DENTITO TUTI FRUTI 250ML 12UND</t>
  </si>
  <si>
    <t>f8358e98-487d-4a01-99e6-5671524c4879</t>
  </si>
  <si>
    <t>ENJ.DENTITO CHICHA MORADA 250ML 12UND</t>
  </si>
  <si>
    <t>0313a452-faba-4686-ae81-a7253e267ad5</t>
  </si>
  <si>
    <t>ENJ.BUCAL DENTITO FRESA 250ML 12UND</t>
  </si>
  <si>
    <t>40e6d9c1-2413-44b4-b470-7d06a18b1208</t>
  </si>
  <si>
    <t>ENJ.BUCAL DENTO MENTA NATURAL 500ML 12UN</t>
  </si>
  <si>
    <t>67c7695c-46cc-41ae-8332-b161c10587c0</t>
  </si>
  <si>
    <t>ENJ.BUCAL DENTO MENTA GLACIAL 500ML 12UN</t>
  </si>
  <si>
    <t>7745ecde-38f4-4557-9fe2-852ad50e98c0</t>
  </si>
  <si>
    <t>ENJ.BUCAL DENTO EUCALIPTO 500ML 12UND</t>
  </si>
  <si>
    <t>fa206c9c-7cd5-4ac3-ad69-b0e4de051ff7</t>
  </si>
  <si>
    <t>ENJ.BUCAL DENTO XTRA COOL 500ML 12UND</t>
  </si>
  <si>
    <t>e86331c3-e793-498c-b7b2-ee8ea1b64bb2</t>
  </si>
  <si>
    <t>ENJ.BUCAL DENTO XTRA MINT 500ML 12UND</t>
  </si>
  <si>
    <t>9bdf6e05-7a5f-4d7d-a8d6-920425b0b5b3</t>
  </si>
  <si>
    <t>ENJ.BUCAL DENTO EUCALIPTO 980ML 6UND</t>
  </si>
  <si>
    <t>2548b141-cbd9-444b-abad-3e8a6b2913c0</t>
  </si>
  <si>
    <t>ENJ.BUCAL DENTO XTRA MINT 980ML 6UND</t>
  </si>
  <si>
    <t>98f05866-fb71-4140-9b37-afc9a1713d45</t>
  </si>
  <si>
    <t>ENJ.BUCAL DENTO MENTA GLACIAL 980ML 6UND</t>
  </si>
  <si>
    <t>a8ba3a61-269b-4d0b-bd05-5b47b4558330</t>
  </si>
  <si>
    <t>ENJ.BUCAL DENTO XTRA COOL 980ML 6UND</t>
  </si>
  <si>
    <t>5ce19696-f236-47cd-b7c1-cde60294bf35</t>
  </si>
  <si>
    <t>ENJ.BUCAL DENTO MENTA NATURAL 980ML 6UND</t>
  </si>
  <si>
    <t>57bdbb3f-b953-4f08-9641-9de2dc374531</t>
  </si>
  <si>
    <t>ENJ.BU DENTO MENT NATURAL 500ML 12UN BLV</t>
  </si>
  <si>
    <t>944ba62a-1439-42ab-9f16-b3032d431f0b</t>
  </si>
  <si>
    <t>ENJ.BU DENTO MENT GLACIAL 500ML 12UN BLV</t>
  </si>
  <si>
    <t>f36d5b56-4908-431a-acc5-faf7ae66d4a1</t>
  </si>
  <si>
    <t>ENJ.BUC DENTO EUCALIPTO 500ML 12UND BLV</t>
  </si>
  <si>
    <t>3de4a209-4a35-4753-af66-3964b848fb6b</t>
  </si>
  <si>
    <t>CEP DENTO PREMIUM GRAB RT SUA14UND 6DSP</t>
  </si>
  <si>
    <t>ae153987-203a-4762-8f63-1a9c50d944f8</t>
  </si>
  <si>
    <t>CEP DENTO LIMPIALEN RT MEDIO 14UND 6DSP</t>
  </si>
  <si>
    <t>9e2e1c9e-9dcd-429e-86d7-a6d362e836d0</t>
  </si>
  <si>
    <t>CEP DENTO LIMPIALEN RT DURO 14UND 6DSP</t>
  </si>
  <si>
    <t>8d8c5b9e-a36b-4ce0-9cfc-f8a9134c753d</t>
  </si>
  <si>
    <t>CEP DENTO PREM.GRAB ZZ SUA.X3 8BLS 6DSP</t>
  </si>
  <si>
    <t>904fd9b3-eae2-4be9-9a41-de213716cf8d</t>
  </si>
  <si>
    <t>CEP DENTO PREM.GRAB ZZ DURO X3 8BLS 6DSP</t>
  </si>
  <si>
    <t>35f07df6-5f49-4ab0-8e0c-adf1c714c454</t>
  </si>
  <si>
    <t>CEP DENTO LIMPIALEN ZZ MED.X3 8BLS 6DSP</t>
  </si>
  <si>
    <t>eedcaa96-e435-4f02-8df9-80e32ad136fc</t>
  </si>
  <si>
    <t>CEP DENTO LIMPIALEN ZZ DURO X3 8BLS 6DSP</t>
  </si>
  <si>
    <t>450113d5-c1b3-4852-88e3-b1d2e6cc3206</t>
  </si>
  <si>
    <t>CEP DENTO LIMPIALEN ZZ SUAV.X3 8BLS 6DSP</t>
  </si>
  <si>
    <t>13817f5f-8fa3-4285-8d27-af0ade70a01d</t>
  </si>
  <si>
    <t>CEP MAQ DENTO GALAXY NIÑOS 14UND 6DSP</t>
  </si>
  <si>
    <t>a3e58652-03bc-4ca4-b8bc-b1b6a20b23c1</t>
  </si>
  <si>
    <t>CEP MQ DENTO PRM. GRAB RT MED.14UND 6DSP</t>
  </si>
  <si>
    <t>da20690c-bfc9-43de-9c56-84701912d2ef</t>
  </si>
  <si>
    <t>CEP MQ DENTO PRM. GRAB RT DUR.14UND 6DSP</t>
  </si>
  <si>
    <t>a174e497-c4b8-49f5-ae9f-83ec3514120b</t>
  </si>
  <si>
    <t>DET LIQ LAVAROPA LIMÓN SAP. 1000M.12UND</t>
  </si>
  <si>
    <t>90c16cf3-19d6-4a5f-a04a-95e8a482b81b</t>
  </si>
  <si>
    <t>DET LÍQ LAVAROPA FLORES SAP.1000ML 12UND</t>
  </si>
  <si>
    <t>40d230b6-5f0e-4ab2-ba9a-c25d83612733</t>
  </si>
  <si>
    <t>DETER.SAPO LIQ.LAVARO LIMON 2000ML 6UND</t>
  </si>
  <si>
    <t>213f6af7-495c-4fc9-b3bf-986b2f0eb072</t>
  </si>
  <si>
    <t>DET LÍQ LAVAROPA FLORES SAP.2000ML 6UN</t>
  </si>
  <si>
    <t>91a3f09f-226b-4aba-96b8-3fe73875b5f8</t>
  </si>
  <si>
    <t>DET LÍQ LAVAROPA TERNURA SAP.2000ML 6UN</t>
  </si>
  <si>
    <t>a92a3c7e-72ba-4074-9bff-1376d4abe9b2</t>
  </si>
  <si>
    <t>DET.LIQUIDO FRESCO LIMON SAP. 5L 4UND</t>
  </si>
  <si>
    <t>e3c02b62-f15c-4473-8c37-1d578f3efd12</t>
  </si>
  <si>
    <t>DET.LIQUIDO FERIA DE FLORES SAP. 5L 4UND</t>
  </si>
  <si>
    <t>622157b7-d9b6-4e4b-9a37-2a6050cadef7</t>
  </si>
  <si>
    <t>DET.SAP.LIMON 450GR.20UND</t>
  </si>
  <si>
    <t>PQT</t>
  </si>
  <si>
    <t>8cbe7988-9bc1-406d-8391-a11ad49e75a9</t>
  </si>
  <si>
    <t>DETER.SAPOLIO FLORAL 450GR 20UND</t>
  </si>
  <si>
    <t>084bf449-a4f5-4f2d-86f5-4c94794a23e8</t>
  </si>
  <si>
    <t>DETER.SAPOLIO BEBE 450GR 20UND</t>
  </si>
  <si>
    <t>534ca5a0-7771-49b9-b533-f92f9282f592</t>
  </si>
  <si>
    <t>DETER.SAPO.AMD C/ASA FLORAL 4000GR 4UND</t>
  </si>
  <si>
    <t>cc179433-4b08-4f8d-8c07-2948d0b42e6d</t>
  </si>
  <si>
    <t>DETERG.AMDC/ASA FLORAL SAPOLIO 6KG 2UND</t>
  </si>
  <si>
    <t>582eee70-0aa2-4e73-8b29-315fcec36137</t>
  </si>
  <si>
    <t>DETER.SAPOLIO AMD C/ASA FLORAL 8KG 2UND</t>
  </si>
  <si>
    <t>93f4c42c-b200-411a-92e8-875f3cd3fbfd</t>
  </si>
  <si>
    <t>DETER.SAPOLIO AMD C/ASA BEBE 8KG 2UND</t>
  </si>
  <si>
    <t>e94691b8-5a40-4222-8ea7-6b8c6a16b205</t>
  </si>
  <si>
    <t>DETERG.AMDC/ASALIMON SAPOLIO 4000GR 4UND</t>
  </si>
  <si>
    <t>6ffbc314-0b79-41ca-b66d-ff4c9ce23443</t>
  </si>
  <si>
    <t>DET.PAT.LIMON 1600GR.6UND</t>
  </si>
  <si>
    <t>1ad8cd34-3de4-4657-8259-d23ff2c8ea04</t>
  </si>
  <si>
    <t>DETER.SAPOLIO AMD C/ASA BEBE 4000GR 4UND</t>
  </si>
  <si>
    <t>a50eaff1-8643-43bf-bacf-e8a4b8121f1f</t>
  </si>
  <si>
    <t>DET.SAP.LIMON 2KG.6UND</t>
  </si>
  <si>
    <t>53fbb0a1-5d17-49c0-af53-845f52778743</t>
  </si>
  <si>
    <t>DET.SAP.FLORAL 2KG.6UND</t>
  </si>
  <si>
    <t>00a83a4f-3065-4f70-8b93-cca7f8ebbf19</t>
  </si>
  <si>
    <t>DET.SAP.BEBE 2KG.6UND</t>
  </si>
  <si>
    <t>a369e318-f511-4c59-af1f-5c65fe3ff9b9</t>
  </si>
  <si>
    <t>DET.SAP.LIMON 800GR.15UND</t>
  </si>
  <si>
    <t>9994c7f6-f48e-467a-82b6-754d76f87b62</t>
  </si>
  <si>
    <t>DET.AMOR SUAVE ROPA DELICADA 800GR.15UND</t>
  </si>
  <si>
    <t>d3569ada-0172-49ce-94f3-886b407833f2</t>
  </si>
  <si>
    <t>DET.LIQUIDO FLORES SAP. JC 5GL 1UND</t>
  </si>
  <si>
    <t>a9fb6607-566d-4567-b7c9-dedb622bd0fc</t>
  </si>
  <si>
    <t>DET.PAT.LIMON 640GR.15UND</t>
  </si>
  <si>
    <t>29896f50-34c9-471a-a81e-6b998052b944</t>
  </si>
  <si>
    <t>DET.PAT.BEBE 1600GR.6UND</t>
  </si>
  <si>
    <t>c16c0956-cdd7-46a9-b4c2-8763ab5a93d6</t>
  </si>
  <si>
    <t>DET.PAT.LIMON 700GR.15UND</t>
  </si>
  <si>
    <t>8a7408fa-5645-44cf-9b13-b2e917b5d0b5</t>
  </si>
  <si>
    <t>DET.PATITO.BICARB BEBÉ 700GX15BOL</t>
  </si>
  <si>
    <t>99edca48-7cf3-4c6e-b003-79faddd60828</t>
  </si>
  <si>
    <t>DET.PATITO.BICARB FLORAL 700GX15BOL</t>
  </si>
  <si>
    <t>acd30f24-fb19-47e0-b244-d7387051c2d3</t>
  </si>
  <si>
    <t>DET.PATITO.BICARB LIMÓN 700GX15BOL</t>
  </si>
  <si>
    <t>ded8a718-7b5c-4677-bef0-ecaa0339b25e</t>
  </si>
  <si>
    <t>DET.PATITO BICARB.LAVANDA 5KG.1BALDE PE</t>
  </si>
  <si>
    <t>f6db40aa-9e4d-4af6-827d-3ce3caedd58f</t>
  </si>
  <si>
    <t>DET.PATITO BICARB.LIMON 5KG.1BALDE PE</t>
  </si>
  <si>
    <t>5a3e49c2-2245-46fe-af6a-6ee079c88030</t>
  </si>
  <si>
    <t>SUAV.A.BEBE AMOR 5L 4UND</t>
  </si>
  <si>
    <t>7f164107-e044-4787-b559-9bdf9edc6897</t>
  </si>
  <si>
    <t>LIBRE ENJUAGUE FLORES AMOR 2000ML 6UND</t>
  </si>
  <si>
    <t>623ad22c-75b2-479e-a278-d5d947297386</t>
  </si>
  <si>
    <t>LIBRE ENJUAGUE LAVANDA AMOR 2000ML 6UND</t>
  </si>
  <si>
    <t>1fa0895e-7474-49af-8e7b-442100846214</t>
  </si>
  <si>
    <t>SUAV.CLASICO F.NATUR AMOR 450ML 24UND</t>
  </si>
  <si>
    <t>456d6a42-88a5-4d2f-ad2f-91c8a9083ff7</t>
  </si>
  <si>
    <t>LIBRE ENJUA.B.FLORES AMOR 80ML 72UND</t>
  </si>
  <si>
    <t>eb2b217c-fdd4-4772-9885-db2e939d2c01</t>
  </si>
  <si>
    <t>LIBRE ENJUAGUE BEBE AMOR 2000ML 6UND</t>
  </si>
  <si>
    <t>1dc94a38-45a6-42a7-ba87-f7576b8a8f8e</t>
  </si>
  <si>
    <t>LIBRE ENJUAGUE FLORES AMOR 1000ML 12UND</t>
  </si>
  <si>
    <t>e6b61af2-abfb-46ca-84cf-cd276df8bbfe</t>
  </si>
  <si>
    <t>LIBRE ENJUAGUE LAVANDAAMOR 1000ML 12UND.</t>
  </si>
  <si>
    <t>067dc343-2d29-4913-b284-13f475badff6</t>
  </si>
  <si>
    <t>LIBRE ENJUAGUE BEBE AMOR 1000ML 12UND</t>
  </si>
  <si>
    <t>d94cc378-a5e5-4d9d-9032-f422cbf92724</t>
  </si>
  <si>
    <t>SUAV.LIB.ENJ LAVANDA AMOR 450ML 24UND</t>
  </si>
  <si>
    <t>d6940414-5495-47cc-b3a6-3bda84e2e18d</t>
  </si>
  <si>
    <t>SUAV. CLASICO C.BEBE AMOR 1000ML 12UND</t>
  </si>
  <si>
    <t>54009ca7-051a-4d40-a40f-8ecd9a72779d</t>
  </si>
  <si>
    <t>SUAV.ARRULLO BEBE AMOR 3785ML 4UND</t>
  </si>
  <si>
    <t>6ac39db7-45a5-4f77-8324-2dc20e502311</t>
  </si>
  <si>
    <t>AMOR LIBRE ENJUAGUE FLORES C/A/ 5L X 4</t>
  </si>
  <si>
    <t>b96442d5-b7d3-4a9c-b83a-705a62ed0a94</t>
  </si>
  <si>
    <t>AMOR LIBRE ENJUAGUE LAVANDA C/A 5L X4</t>
  </si>
  <si>
    <t>f9504df4-d9cb-470d-8d5e-12fdbf90c722</t>
  </si>
  <si>
    <t>AMOR LIBRE ENJUAGUE BEBE C/A 5L X4</t>
  </si>
  <si>
    <t>5ca9225f-77cb-4b98-b61e-c77df2761196</t>
  </si>
  <si>
    <t>AMOR SUAV. F.NATURAL FCO.3785MLX4</t>
  </si>
  <si>
    <t>96fd0dc6-7c85-4427-b10c-bbc73b38aedd</t>
  </si>
  <si>
    <t>SUAV.KLINTEX 3785ML 4UND</t>
  </si>
  <si>
    <t>2c91990a-c087-4253-a65b-f458bc038c53</t>
  </si>
  <si>
    <t>LAVAV.LIQ.UL LIMON SAPOLIO 350ML 24DPK</t>
  </si>
  <si>
    <t>41def0a9-6fc3-4f8a-a0a7-5d999ff85eb4</t>
  </si>
  <si>
    <t>LAVAV.LIQ.SAPOL LIMON 450ML 24DPK</t>
  </si>
  <si>
    <t>fe0fa33f-88f0-4dc4-875a-69bdc480df6c</t>
  </si>
  <si>
    <t>LAVAV.LIQ.UL MANZANA SAPOLIO 1250ML 6FCO</t>
  </si>
  <si>
    <t>df06cd8c-ede9-4571-a8ea-3d2cdd99c8ac</t>
  </si>
  <si>
    <t>LAVAVAJILLA LIMON SAPOLIO 900GR 6UND</t>
  </si>
  <si>
    <t>c905cbb7-2ca9-41cd-9c8e-1decdf11ad66</t>
  </si>
  <si>
    <t>LAVAVAJILLA LIMON SAPOLIO 360GR 12UND</t>
  </si>
  <si>
    <t>b1142c1a-8297-4c2b-98d2-01b31cc749c9</t>
  </si>
  <si>
    <t>LAVAVAJILLA MANZANA SAPOLIO 360GR 12UND</t>
  </si>
  <si>
    <t>9c9af45e-83c6-460b-b72f-04313d3e00af</t>
  </si>
  <si>
    <t>LAVAV.LIQ.UL MANZANA SAPOLIO 300ML 12FCO</t>
  </si>
  <si>
    <t>3577595c-3d35-4279-aa54-17ad3a3db1a2</t>
  </si>
  <si>
    <t>LAVAV.LIQ.UL LIMON SAPOLIO 750ML 12FCO</t>
  </si>
  <si>
    <t>fe3030e9-f993-47dd-ab86-139f0e90153e</t>
  </si>
  <si>
    <t>LAVAV.LIMON.MELL.CE SAPOLIO 180GRX2 12UN</t>
  </si>
  <si>
    <t>3a48820b-1ea0-4f27-b214-8a9cea8b7fb0</t>
  </si>
  <si>
    <t>LAV.T.FRUTI.MELL.CE SAPOLIO 180GRX2 12UN</t>
  </si>
  <si>
    <t>9ca2d573-38ed-433e-9572-51a42915e00d</t>
  </si>
  <si>
    <t>LAVAV.LIMON.MELL.CE SAPOLIO 360GRX2 6UN</t>
  </si>
  <si>
    <t>6690c3f6-83ee-409e-8890-50fd205a9715</t>
  </si>
  <si>
    <t>LAVAV.LIQ.UL LIMON SAPOLIO 5L 4FCO</t>
  </si>
  <si>
    <t>cd7aacbd-9eb7-4b02-b627-e93a202c143e</t>
  </si>
  <si>
    <t>LAVAVAJILLA LIMON SAPOLIO 180GR 24UND</t>
  </si>
  <si>
    <t>fda78922-e224-46d0-ac01-a2254e4bc8f3</t>
  </si>
  <si>
    <t>LAVAV.LIQ.UL LIMA LIMON SAP. 500ML 12FCO</t>
  </si>
  <si>
    <t>0a331e1e-dc70-4f80-8c9c-3515685cf8e1</t>
  </si>
  <si>
    <t>LAVAV.LIQ.UL MANZANA SAP.1250ML+ESP.6UND</t>
  </si>
  <si>
    <t>eb23da16-7eaf-4c8e-afc9-4b5e3006d205</t>
  </si>
  <si>
    <t>LAVAVAJILLA PATITO LIMÓN 1000G 6UND</t>
  </si>
  <si>
    <t>6daf671b-7022-43f2-8bfb-01a861f1b11b</t>
  </si>
  <si>
    <t>LAVAVAJILLA LIMON SAPOLIO 1000GR 6UND</t>
  </si>
  <si>
    <t>47077c2e-cf31-4064-9213-3f66c9b08cff</t>
  </si>
  <si>
    <t>LAVAVAJ.CREMA SAPOLIO NARANJA 360G 12UND</t>
  </si>
  <si>
    <t>915b8e5f-587a-4df5-83c1-8e527e40346a</t>
  </si>
  <si>
    <t>LAVAV.CREMA PATITO LIMÓN 900GR 6UND</t>
  </si>
  <si>
    <t>36bc3fe0-ab35-459f-8ded-cb24462513fa</t>
  </si>
  <si>
    <t>LAVAV.CREMA PATITO UVA 900GR 6UND</t>
  </si>
  <si>
    <t>c1e26a21-784f-44b8-89c8-6b87faca50e6</t>
  </si>
  <si>
    <t>LAVAV. PROF.SAPOLIO AB LIMON 1KG.6FCO</t>
  </si>
  <si>
    <t>747d2706-6b1c-4c02-9852-f5e2a5be5a39</t>
  </si>
  <si>
    <t>LAVAV.LIQ.UL PROF.SAP. LIMON 1.25L 6FCO</t>
  </si>
  <si>
    <t>04d3e5a5-79cf-4e74-a8d8-72fbf7a880b7</t>
  </si>
  <si>
    <t>LAVAV.LIQ.SAPOL.LIMON 300ML+ESP 12UND</t>
  </si>
  <si>
    <t>3d2a1976-1073-458b-87c7-1bfec284152e</t>
  </si>
  <si>
    <t>SAP.PROF.LAVAV. LIQ. LIMÓN 1.25L 6FCO</t>
  </si>
  <si>
    <t>f95aa266-774f-4cae-b5f6-38435a22f6a9</t>
  </si>
  <si>
    <t>SAP.PROF.LAVAV. LIQ. LIMÓN 5L 4FCO</t>
  </si>
  <si>
    <t>00acabde-ae81-4601-a023-49e113be0e4c</t>
  </si>
  <si>
    <t>SAP.PROF.LAVAV. LIQ. MANZANA 5L 4FCO</t>
  </si>
  <si>
    <t>69ad1845-1518-4182-8949-af4be6daa497</t>
  </si>
  <si>
    <t>LAVAV.SAPOL.LIMON.AB.MELL.360GRX2 6PCK</t>
  </si>
  <si>
    <t>580ecf93-2821-46cd-a392-a2d5d972f53b</t>
  </si>
  <si>
    <t>LAVAV.SAPOLIO LIMON 550GR 12UND</t>
  </si>
  <si>
    <t>b8178fc5-e38f-4fd4-9761-c7e042caab8d</t>
  </si>
  <si>
    <t>LAVAV. SAPOLIO LIMON 800GR 6UND.</t>
  </si>
  <si>
    <t>64c48fe5-ae1f-456b-b3e3-74c6554a3737</t>
  </si>
  <si>
    <t>LAVAV. SAPOLIO MANZANA 800GR 6UND.</t>
  </si>
  <si>
    <t>7e4cd714-efa3-4c19-a711-f71c00dad514</t>
  </si>
  <si>
    <t>LAVAV.SAPOL.LIMON ANTIB.800GR 6UND</t>
  </si>
  <si>
    <t>602bccbf-9ce8-42c2-b794-6140680d23cf</t>
  </si>
  <si>
    <t>LAVA. LIQ.SAPOLIO LIMÓN 450ML 24UND PE.</t>
  </si>
  <si>
    <t>a0eb4890-e22c-4c7a-9d13-8084d74865ee</t>
  </si>
  <si>
    <t>LAVAV. LIQ.SAPOLIO LIMÓN 300ML 12FCO PE</t>
  </si>
  <si>
    <t>321c69be-35a9-4228-bf79-7ad34fb98c27</t>
  </si>
  <si>
    <t>LAVAV. LIQ.SAPOLIO LIMÓN 500ML 12FCO PE</t>
  </si>
  <si>
    <t>b21af0af-4179-45fc-b922-2916a518000d</t>
  </si>
  <si>
    <t>LAVAV.LIQ.SAPOLIO MANZANA 500ML 12FCO PE</t>
  </si>
  <si>
    <t>53bf1287-850d-4b91-9b93-8dcfd77fd8c0</t>
  </si>
  <si>
    <t>LAVAV.LIQ.SAPOLIO LIMALIMÓN 500ML12FC PE</t>
  </si>
  <si>
    <t>330427b5-e2d8-4431-8797-b421951f0889</t>
  </si>
  <si>
    <t>LAVAV. LIQ.SAPOLIO LIMÓN 750ML 12FCO PE.</t>
  </si>
  <si>
    <t>25e3cb6e-334b-44bb-970f-a333e5038a29</t>
  </si>
  <si>
    <t>LAVAV. LIQ.SAPOLIO LIMÓN 1250ML 6FCO PE</t>
  </si>
  <si>
    <t>65f823a5-82fd-4367-b38a-4cde051232c7</t>
  </si>
  <si>
    <t>LAVAV.LIQ.SAPOLIO MANZANA 1250ML 6FCO PE</t>
  </si>
  <si>
    <t>448b5196-d1b3-4e3d-b69e-e39447797245</t>
  </si>
  <si>
    <t>LAVAV.LIQ.SAPOLIO LIMALIMÓN 1250ML6FC PE</t>
  </si>
  <si>
    <t>99f24a4e-9ef9-40a5-920e-c0c6e2825fda</t>
  </si>
  <si>
    <t>LAVAV.LIQ.SAPOLIO MANZANA 5L 4FCO PE</t>
  </si>
  <si>
    <t>6c288012-04e3-4d4e-b8ea-72387b0cd5b5</t>
  </si>
  <si>
    <t>LAVAV.LIQ.SAPOL.LIMON 300ML+ESP 12UND PE</t>
  </si>
  <si>
    <t>09f2270d-1ec3-43e5-ac82-151b52c7c82e</t>
  </si>
  <si>
    <t>LAVAV.LIQ.LIMON SAP.500ML+ESP.12UND PE</t>
  </si>
  <si>
    <t>1b8d33fa-aeef-48d4-8026-d22d3d423d2a</t>
  </si>
  <si>
    <t>LAVAV.LIQ. LIMON SAP.750ML+ESP.12UND PE</t>
  </si>
  <si>
    <t>530f232f-7dc1-451c-82ec-eaba4feff1cf</t>
  </si>
  <si>
    <t>LAVAV.LIQ. LIMON SAP.1250ML+ESP.6UND PE</t>
  </si>
  <si>
    <t>06276561-ff3a-417f-a153-f31d2341480d</t>
  </si>
  <si>
    <t>LAVA.LIQ.SAPOL.MANZANA 450ML 24UND PE</t>
  </si>
  <si>
    <t>d7405feb-f04f-4593-92b5-f0d88e58570d</t>
  </si>
  <si>
    <t>LAVAV.LIQ. MANZANA SAPOLIO 750ML 12FC PE</t>
  </si>
  <si>
    <t>82d25ea1-09aa-40e2-a93b-ac461458765e</t>
  </si>
  <si>
    <t>LAVAV. MANZANA SAPOLIO 1000GR 6UND PE</t>
  </si>
  <si>
    <t>7f7ef53f-ba07-4926-af1b-9b9b8af2f437</t>
  </si>
  <si>
    <t>LAVAV.LIQ.PROF SAPOLIO LIMON 5L 4FCO</t>
  </si>
  <si>
    <t>7a8764dd-ecb3-4e6a-bf11-0081d0af0255</t>
  </si>
  <si>
    <t>LAVAV.LIQ.PROF MANZANA 5L 4FCO</t>
  </si>
  <si>
    <t>fa975750-2fab-406b-ba47-c69a8df11893</t>
  </si>
  <si>
    <t>DET. VAJILLERO SAP. LIMÓN 500ML 12FCO</t>
  </si>
  <si>
    <t>f42623af-072c-4fc5-b2e5-e084e9498da0</t>
  </si>
  <si>
    <t>DET VAJILLERO SAP. MANZANA 500ML 12FCO</t>
  </si>
  <si>
    <t>07ff86a2-9d93-4272-a734-7b60965ec093</t>
  </si>
  <si>
    <t>DET.VAJILLERO SAP LIMALIMÓN 500ML 12FCO</t>
  </si>
  <si>
    <t>401cc479-6cc6-422e-bf33-e3bc230bf0f3</t>
  </si>
  <si>
    <t>DET. VAJILLERO SAP. LIMÓN 750ML 12FCO</t>
  </si>
  <si>
    <t>bfd0f159-985e-43a8-bb38-969f475d2800</t>
  </si>
  <si>
    <t>DET. VAJILLERO SAP. MANZANA 750ML 12FCO</t>
  </si>
  <si>
    <t>0ce8867a-5673-4116-b465-4faa39f6f5f9</t>
  </si>
  <si>
    <t>DET. VAJILLERO SAP. LIMÓN 1250ML 6FCO</t>
  </si>
  <si>
    <t>214a1d75-8d08-47dc-9805-27f61d251bc5</t>
  </si>
  <si>
    <t>DET. VAJILLERO SAP. MANZANA 1250ML 6FCO</t>
  </si>
  <si>
    <t>03d1dc70-37b4-4913-a9aa-9d759efd378d</t>
  </si>
  <si>
    <t>DET. VAJILLERO SAP. LIMÓN 5L 4FCO</t>
  </si>
  <si>
    <t>05ba729f-cce6-47d8-8e3e-8c7b4d687d95</t>
  </si>
  <si>
    <t>DET. VAJILLERO SAP. MANZANA 5L 4FCO</t>
  </si>
  <si>
    <t>fb3433f3-7aa4-4135-a4c4-ecb5b757550e</t>
  </si>
  <si>
    <t>DET.VAJILLERO SAP. LIMALIMÓN 1250ML 6FCO</t>
  </si>
  <si>
    <t>06bd5e38-e881-43ef-b90a-f9f6e208b973</t>
  </si>
  <si>
    <t>LAVAV. SAPOLIO LIMÓN 200GR 24UND.</t>
  </si>
  <si>
    <t>22a763de-5085-47cb-84bf-58bf50ac3f50</t>
  </si>
  <si>
    <t>LAVAV. SAPOLIO LIMÓN 330GR 12UND.</t>
  </si>
  <si>
    <t>6e0c0f6b-b526-42b6-b4ae-0971c02f5e85</t>
  </si>
  <si>
    <t>LAVAV. SAPOLIO LIMÓN 200GR 24UND. NV</t>
  </si>
  <si>
    <t>8612bdbe-f048-46a8-b0a6-8fad6db1d3ba</t>
  </si>
  <si>
    <t>LAVAV. SAPOLIO LIMÓN 330GR 12UND. NV</t>
  </si>
  <si>
    <t>c378c3c0-5977-4097-a98b-f56244ebec49</t>
  </si>
  <si>
    <t>LAVAV. SAPOLIO LIMON 800GR 6UND. NV</t>
  </si>
  <si>
    <t>e62a9a63-7b46-4a44-a748-25db7866b216</t>
  </si>
  <si>
    <t>LAVAV. SAPOLIO MANZANA 800GR 6UND.NV</t>
  </si>
  <si>
    <t>4b641902-4207-46bc-a90e-562aa7ba0990</t>
  </si>
  <si>
    <t>LAVAV. SAPOLIO LIMON 1000GR 6UND NV</t>
  </si>
  <si>
    <t>2015e259-7ceb-4cfe-a8dd-b38bda684251</t>
  </si>
  <si>
    <t>52825e75-75e1-4451-b384-f15a04713214</t>
  </si>
  <si>
    <t>LAVAVAJILLA PATITO LIMÓN 1000G 6UND NV</t>
  </si>
  <si>
    <t>ef4ca295-3370-4a15-a8b1-9e647f13c05a</t>
  </si>
  <si>
    <t>LAVAV. PROF.SAPOLIO AB LIMON 1KG.6FCO NV</t>
  </si>
  <si>
    <t>170ee48e-de82-4a5f-a489-885369eca76d</t>
  </si>
  <si>
    <t>LAVAV. SAPOLIO LIMON 1000GR 6UND NV BLV</t>
  </si>
  <si>
    <t>60f39f3c-1e16-4655-9919-e27b03945f5e</t>
  </si>
  <si>
    <t>SAP.PROF.LAVAV. LIQ. LIMÓN 4L 4FCO</t>
  </si>
  <si>
    <t>50fb899b-6435-494a-b737-945ef4855f22</t>
  </si>
  <si>
    <t>SAP.PROF.LAVAV. LIQ. MANZANA 4L 4FCO</t>
  </si>
  <si>
    <t>d65aa7b6-254f-469d-8eb9-703a353a649d</t>
  </si>
  <si>
    <t>LAVAVAJILLA PATITO UVA 1KG 6UND</t>
  </si>
  <si>
    <t>83cb1925-55c2-450c-b0b4-fdcdf6b15a6c</t>
  </si>
  <si>
    <t>SAP. LAVAV. LÍQ. LIMÓN EXP 5L 4FCO</t>
  </si>
  <si>
    <t>44b3e73c-a585-4939-bfa9-e0484fca2f10</t>
  </si>
  <si>
    <t>SAP. LAVAV. LIQ. MANZANA EXP 5L 4FCO</t>
  </si>
  <si>
    <t>6a5604ac-22e7-4a32-8b67-20a167070819</t>
  </si>
  <si>
    <t>LAVAV. LIQ. PATITO LIMÓM 750ML 12 FCO</t>
  </si>
  <si>
    <t>0b730962-09de-42f2-89b4-65bc8d3ef875</t>
  </si>
  <si>
    <t>LAV. LIQUIDO LAVAX DP LIMON TE180MLX36U</t>
  </si>
  <si>
    <t>b64981f5-2618-4ab7-95b2-d1112dbcd84c</t>
  </si>
  <si>
    <t>CREM LAVAVAJILLA LAVAX VERDE 700G X 12 U</t>
  </si>
  <si>
    <t>58302650-7022-46e7-84b7-58906b387f80</t>
  </si>
  <si>
    <t>CREMA LAVAVAJILLA LAVAX ROSADO 700 GX12U</t>
  </si>
  <si>
    <t>e679c9c2-f4a5-4665-9b02-6d566d21a8f8</t>
  </si>
  <si>
    <t>CREMA LAVAVAJILLA LAVAX UVA 700 G X 12 U</t>
  </si>
  <si>
    <t>03cd41a1-0657-45ee-a13c-68137c45af55</t>
  </si>
  <si>
    <t>CREMA LAVAVAJILLA LAVAX ALOE 850 G X 12U</t>
  </si>
  <si>
    <t>3b80317b-676f-4d0b-9211-280feef08182</t>
  </si>
  <si>
    <t>CREMA LAVAVAJILLA LAVAX VERDE 850G X 12U</t>
  </si>
  <si>
    <t>421a76b3-4370-4b32-ae4d-a70177b4701f</t>
  </si>
  <si>
    <t>CREMA LAVAVAJILLA LAVAX ROSADO 850 GX12U</t>
  </si>
  <si>
    <t>39bc4caf-4312-46a3-9bba-84d2c60f9d5e</t>
  </si>
  <si>
    <t>CREMA LAVAVAJILLA LAVAX UVA 850 G X 12U</t>
  </si>
  <si>
    <t>c9f8b71f-6510-40d0-9a89-606401a576ee</t>
  </si>
  <si>
    <t>CREMA LAVAVAJILLA LAVAX AVENA 850G X 12U</t>
  </si>
  <si>
    <t>130bb95b-934a-4b95-83ad-7a90357f19e5</t>
  </si>
  <si>
    <t>CREMA LAVAVAJILLA LAVAX VERDE 300G X 12U</t>
  </si>
  <si>
    <t>f8d3e16d-c61a-4e3f-8517-080d61a2fe0c</t>
  </si>
  <si>
    <t>LAV. LIQ LAVAX DP LIMON TE V. 1500MLX6U</t>
  </si>
  <si>
    <t>33b920f3-f4d1-4afd-9814-96bafddafd19</t>
  </si>
  <si>
    <t>LAV. LIQUIDO LAVAX DP SANDIA 1500MLX6U</t>
  </si>
  <si>
    <t>b7a5f459-7866-4489-b22c-fa75ef3dbf71</t>
  </si>
  <si>
    <t>LAV. LIQUIDO LAVAX DP SANDIA 450MLX12U</t>
  </si>
  <si>
    <t>5629849b-3986-4e6a-96a3-32bb4aaee7f5</t>
  </si>
  <si>
    <t>LAV. LIQ LAVAX DP LIMON TE V. 450MLX12U</t>
  </si>
  <si>
    <t>32d5212d-f436-4051-ac1d-86663e2c5589</t>
  </si>
  <si>
    <t>LAV. LIQ LAVAX DP SANDIA PEPIN 600MLX14U</t>
  </si>
  <si>
    <t>28ccbddd-fa4a-492d-97ef-106d64a3fc96</t>
  </si>
  <si>
    <t>LAV. LIQ LAVAX DP LIMON TE V. 600MLX14U</t>
  </si>
  <si>
    <t>ae17a2ef-77de-4aef-b9b4-ec5902b4d1b8</t>
  </si>
  <si>
    <t>CREMA LAVAVAJILLA LAVAX LIMON 200G X 36U</t>
  </si>
  <si>
    <t>0b80e793-1ab1-4345-8333-81fe150c4af8</t>
  </si>
  <si>
    <t>CREMA LAVAVAJILLA LAVAX LIMON 400G X 18U</t>
  </si>
  <si>
    <t>3807dda1-b6fd-4bd9-b8f5-20600531e7f0</t>
  </si>
  <si>
    <t>CREMA LAVAVAJILLA LAVAX LIMON 580G X 18U</t>
  </si>
  <si>
    <t>cfc32536-e9a9-46c8-895b-e730f08993eb</t>
  </si>
  <si>
    <t>CREMA LAVAVAJILLA LAVAX LIMON 850G X 12U</t>
  </si>
  <si>
    <t>6b0b272f-7513-4cf7-9ddf-82b1fae26c12</t>
  </si>
  <si>
    <t>CREMA LAVAVAJILLA LAVAX VERDE 175G X 15U</t>
  </si>
  <si>
    <t>ea888373-47ee-47c2-a3bb-e5e3a9de55ec</t>
  </si>
  <si>
    <t>CREMA LAVAVAJILLA LAVAX ROSADO 175GX15U</t>
  </si>
  <si>
    <t>489d4ca1-49e5-4bf8-b6b5-747dde8e5807</t>
  </si>
  <si>
    <t>CREMA LAVAVAJILLA LAVAX UVA 175G X 15U</t>
  </si>
  <si>
    <t>2777f2c8-0be0-4c79-a92f-2414270c557d</t>
  </si>
  <si>
    <t>CREMA LAVAVAJILLA LAVAX ROSADO 300GX12U</t>
  </si>
  <si>
    <t>9d4c11c0-22b6-4b51-ac2a-141ce6e199ba</t>
  </si>
  <si>
    <t>LAVAV. LIQ. PATITO LIMÓM 750ML 12 FCO SM</t>
  </si>
  <si>
    <t>760744c2-5e16-4a8a-96d9-097823e81d0d</t>
  </si>
  <si>
    <t>CREMA LAVAVAJILLAS POW LIMÓN 700G X 12 U</t>
  </si>
  <si>
    <t>81c2d45e-2421-4d1e-a5a1-d34b206faddd</t>
  </si>
  <si>
    <t>LAVAV. SAPOLIO MANZ 330GR 12UND. NV</t>
  </si>
  <si>
    <t>d8b69bb7-d596-45de-b578-96d29648cfa2</t>
  </si>
  <si>
    <t>LAVAV. SAPOLIO LIMON 800GR 6UND. MP</t>
  </si>
  <si>
    <t>f3a24385-d4e8-44e6-b31f-6c46a293ab8c</t>
  </si>
  <si>
    <t>CREMA LAVAVAJILLA LAVAX LIMÓN 175G X 15U</t>
  </si>
  <si>
    <t>3f150080-3704-41cb-bcf8-3827061f7ead</t>
  </si>
  <si>
    <t>PATITO LAVAVAJ. LIMÓN 1000G 6UND SMP</t>
  </si>
  <si>
    <t>dee1d7d6-0498-4688-a49b-9031e4723aab</t>
  </si>
  <si>
    <t>CREMA LAVAVAJILLA TOTTUS LIMÓN 900GX 12U</t>
  </si>
  <si>
    <t>e2dbc9df-fcf0-47b9-8548-faa396da72c9</t>
  </si>
  <si>
    <t>ROPA BLANCA SAPOLIO 600ML 12UND</t>
  </si>
  <si>
    <t>f7df26ce-659c-4b53-a8e9-e32866cb05c1</t>
  </si>
  <si>
    <t>ROPA BLANCA SAPOLIO 3785ML 4UND</t>
  </si>
  <si>
    <t>49156d57-52b6-449e-abc6-43bc443a9026</t>
  </si>
  <si>
    <t>QUITAM.ROPA COLOR SAPOLIO 3785ML 4UND</t>
  </si>
  <si>
    <t>e7b97c1f-42e4-4e07-a1ef-5a311f52d06d</t>
  </si>
  <si>
    <t>QUITAM. KLINTEX 3785ML 4UND</t>
  </si>
  <si>
    <t>a6e4086c-9d59-4127-a98f-569bd9750108</t>
  </si>
  <si>
    <t>ROPA COLOR SAPOLIO 265ML 24UND</t>
  </si>
  <si>
    <t>b8028c99-37be-445c-a953-445fdb0e50b8</t>
  </si>
  <si>
    <t>ROPA COLOR SAPOLIO 550ML 12UND</t>
  </si>
  <si>
    <t>aa359e84-504e-4a00-858c-543422c8a132</t>
  </si>
  <si>
    <t>QUITAM. ROPA COLOR SAPOLIO 1800ML 6UND</t>
  </si>
  <si>
    <t>65d3dc4c-1f09-4ce4-bde6-74b77fedfc6b</t>
  </si>
  <si>
    <t>ROPA BLANCA SAPOLIO 1800ML 6UND</t>
  </si>
  <si>
    <t>b1d57fbc-571e-4a5b-9923-9933472d68ff</t>
  </si>
  <si>
    <t>ROPA COLOR SAPOLIO 930ML 12UND</t>
  </si>
  <si>
    <t>86165ebd-9c94-4405-9e8b-0287f5bc4d1a</t>
  </si>
  <si>
    <t>ROPA COLOR SAPOLIO 580ML 12UND SP</t>
  </si>
  <si>
    <t>145fef8f-5b54-4a70-8fd7-9b103578d697</t>
  </si>
  <si>
    <t>ROPA COLOR SAPOLIO 292 ML 24UND SP</t>
  </si>
  <si>
    <t>31cbaeba-ceb6-4b5d-b7e8-29e97076a92f</t>
  </si>
  <si>
    <t>AROMA MANZAN.EN FLOR SAPOLIO 360ML 12UN</t>
  </si>
  <si>
    <t>610ac834-c6d9-473e-be6f-22ec71069fce</t>
  </si>
  <si>
    <t>NEUTRA.OLOR BAÑO SAPOLIO 360ML 12UND</t>
  </si>
  <si>
    <t>e15265ff-a566-4ffa-8d01-b1b1771d5ad9</t>
  </si>
  <si>
    <t>ARO.ELE.EMA.PLA.+RPTO LAVAN.SAP.40ML 6UN</t>
  </si>
  <si>
    <t>83ea5342-0c7c-4550-a457-cb05b52b6dec</t>
  </si>
  <si>
    <t>AROMA ELEC.REP.LAVANDA SAPOLIO 40ML 6UN</t>
  </si>
  <si>
    <t>3a63cb76-9d2c-43a9-b5aa-c5c6103e0f8c</t>
  </si>
  <si>
    <t>AROMA ELEC.REPUESTO A.BEBE SAP.40ML 6UN</t>
  </si>
  <si>
    <t>9d25700f-21c8-42ae-8f26-fb85d528a17c</t>
  </si>
  <si>
    <t>PERFUMADOR TELA LAVANDA SAP.300ML 12UN</t>
  </si>
  <si>
    <t>5dd87063-1bca-4681-be63-be62ce6f5f64</t>
  </si>
  <si>
    <t>PERFUMADOR TELA ROSAS SAPOLIO 300ML 12UN</t>
  </si>
  <si>
    <t>20d49607-136b-42aa-897f-f24a2c0a7ea1</t>
  </si>
  <si>
    <t>PERFUMADOR TELA BEBE SAPOLIO 300ML 12UND</t>
  </si>
  <si>
    <t>c440e675-29a2-492b-a6d4-157a19513ad7</t>
  </si>
  <si>
    <t>PERF.DISP 3 TIEMPOS+RPTO SAP.240ML 6UN</t>
  </si>
  <si>
    <t>28b5c1dd-6ca0-4b57-af1d-bded4e03fabe</t>
  </si>
  <si>
    <t>PERFUMATIC RPTO LAVANDA SAP.240ML 12UN</t>
  </si>
  <si>
    <t>862287e0-5581-4e7d-b581-1ace5b8690c9</t>
  </si>
  <si>
    <t>PERFUMATIC RPTO POTPOUR SAP.240ML 12UN</t>
  </si>
  <si>
    <t>679531ac-1880-4769-a6ef-b28ec3aea8c8</t>
  </si>
  <si>
    <t>PERFUMA.DISP PROG.+ RPTO SAP.240ML 6UN</t>
  </si>
  <si>
    <t>08b5fe6a-f487-4a10-b368-d690b982e073</t>
  </si>
  <si>
    <t>PERFU.RPTO F/FRESCA SAPOLIO 240ML 12UN</t>
  </si>
  <si>
    <t>f2224165-14c9-47dc-ab1f-c474489ba329</t>
  </si>
  <si>
    <t>PERFU.RPTO V/FRANCESA SAPOLIO 240ML 12UN</t>
  </si>
  <si>
    <t>6ab0756f-acfb-4a05-9db9-00fd2cc640a3</t>
  </si>
  <si>
    <t>PULSO RPTO LAVANDA SAPOLIO 12MLX2 12UND</t>
  </si>
  <si>
    <t>6200d9ce-afaa-4830-b2b3-717b88359069</t>
  </si>
  <si>
    <t>PULSO RPTO LAVANDA SAPOLIO 12MLX3 12UND</t>
  </si>
  <si>
    <t>de32db0a-fc49-4d26-b545-0c1b659e7169</t>
  </si>
  <si>
    <t>PULSO RPTO FLORES SAPOLIO 12MLX2 12UND</t>
  </si>
  <si>
    <t>352c07e3-23f5-40ce-baef-0254437daa7b</t>
  </si>
  <si>
    <t>AMBIE.SAPOL.PULSO RPTO J.ROSA 12MLX3 12P</t>
  </si>
  <si>
    <t>1cbb0f66-bde4-410a-b67c-8e0328ba5c32</t>
  </si>
  <si>
    <t>PULSO RPTO A.BEBE SAPOLIO 12MLX3 12UND</t>
  </si>
  <si>
    <t>eeda6cbe-f973-41e3-bd2b-622e69eb5bcc</t>
  </si>
  <si>
    <t>PULSO EM+RPT LAVANDA SAPOLIO 12ML 12UND2</t>
  </si>
  <si>
    <t>ac433832-dd71-48eb-8bf4-52b6417d73e5</t>
  </si>
  <si>
    <t>PULSO RPTO LAVANDA SAPOLIO 12ML 12UND</t>
  </si>
  <si>
    <t>2069d895-de98-409d-b869-957a8606025e</t>
  </si>
  <si>
    <t>PULSO RPTO P.FLORES SAPOLIO 12ML 12UND</t>
  </si>
  <si>
    <t>741c24b9-4802-4e48-8022-40bd6a1d036d</t>
  </si>
  <si>
    <t>PULSO EMA+RPT A.BEBE SAPOLIO 12ML 12UND</t>
  </si>
  <si>
    <t>b8c3c0b6-4bd2-4d69-9540-288bc4df4e97</t>
  </si>
  <si>
    <t>SAP.ARO.ELE.EMA.PLA.+RPT.P.FLOR.40MLX6UN</t>
  </si>
  <si>
    <t>f86a40da-20ea-4eaf-a5dd-a27a3d2bdaff</t>
  </si>
  <si>
    <t>PERFUMATIC RPTO A/BEBE SAP.240ML 12UND</t>
  </si>
  <si>
    <t>df4aadfb-2e11-465d-8769-90c83aec56b4</t>
  </si>
  <si>
    <t>PULSO RPTO A.BEBE SAP.12ML 12UND</t>
  </si>
  <si>
    <t>9aa9d49f-1266-4cbe-9882-9f19b89b2a2f</t>
  </si>
  <si>
    <t>PERFUMATIC DISP COMPUTARIZADO SAP+RPTOX4</t>
  </si>
  <si>
    <t>bb4041ad-fc02-4cca-8aaf-7571cb74215b</t>
  </si>
  <si>
    <t>PULSO RPTO FLORES SAP.12MLX3X12</t>
  </si>
  <si>
    <t>c0abaf8c-78f7-4a79-87f8-055d4e7b4b85</t>
  </si>
  <si>
    <t>AMBIENTADOR SAPOLIO LAVANDA 360ML 12UND</t>
  </si>
  <si>
    <t>c31234ee-a4ec-425b-8d24-229808b37d3d</t>
  </si>
  <si>
    <t>AMBIENT.SAPOLIO POTPOURRI 360ML 12UND</t>
  </si>
  <si>
    <t>8555b7dc-fc26-49d6-a90c-9086f9db999a</t>
  </si>
  <si>
    <t>AMBIENT.SAPOLIO JARDIN ROSAS 360ML 12UN</t>
  </si>
  <si>
    <t>13d0f61a-d7b2-4227-8535-5252a606edc2</t>
  </si>
  <si>
    <t>AMBIENT.SAPOL.FRUTAS FRESCAS 360ML 12UND</t>
  </si>
  <si>
    <t>fe866772-2da6-472a-996a-ae8d373a333a</t>
  </si>
  <si>
    <t>AMBIENT.SAPOLIO BRISA MARINA 360ML 12UND</t>
  </si>
  <si>
    <t>ba7c6404-b81a-4b45-aa0e-3e71b39bbb1b</t>
  </si>
  <si>
    <t>AMBIENT.SAPOL.AROMA DE BOSQUE 360ML 12UN</t>
  </si>
  <si>
    <t>047414c1-de51-4aca-8c01-36b86e8443f8</t>
  </si>
  <si>
    <t>AMBIENT.SAPOL.ARRULLO DE BEBE 360ML 12UN</t>
  </si>
  <si>
    <t>c6c8af0a-9963-4ef7-80e9-d7938d375c15</t>
  </si>
  <si>
    <t>AMBIENT.SAPOLIO ANTITABACO 360ML 12UND</t>
  </si>
  <si>
    <t>4d613b6b-85b5-48b7-8118-7c0d2a81e834</t>
  </si>
  <si>
    <t>AMBIENTADOR SAPOLIO VAINILLA 360ML 12UND</t>
  </si>
  <si>
    <t>d3e3ad82-3642-451d-a1de-96bdf4e2125f</t>
  </si>
  <si>
    <t>AMBIENT.SAPOL.MANZANA CANELA 360ML 12UND</t>
  </si>
  <si>
    <t>ae290e11-33f2-4f1d-aa3c-139542a118a7</t>
  </si>
  <si>
    <t>AMBIENTADOR SAPOLIO MELÓN 360ML 12UND</t>
  </si>
  <si>
    <t>5135e8de-c831-4567-bdac-abb3bafdce00</t>
  </si>
  <si>
    <t>AMBIE.SAPOLIO COCO 360ML 12UND</t>
  </si>
  <si>
    <t>e0b6da74-eb80-411e-85d5-d7ed815bb5ae</t>
  </si>
  <si>
    <t>AMBIENT SAPOLIO LAVANDA 360ML 12UND BLV</t>
  </si>
  <si>
    <t>abeb4334-4d5e-4960-9792-ad267c8d0d38</t>
  </si>
  <si>
    <t>AMBIE.SAPOLIO POTPOURRI 360ML 12UND BLV</t>
  </si>
  <si>
    <t>abcfd365-0f36-4b6e-a0a4-ed80ee047760</t>
  </si>
  <si>
    <t>AMBI.SAPOLIO JARDIN ROSAS 360ML 12UN BLV</t>
  </si>
  <si>
    <t>347894c1-e11a-4389-a489-5173e81ee7f1</t>
  </si>
  <si>
    <t>AMB.SAPOL.ARRULLO DE BEBE 360ML 12UN BLV</t>
  </si>
  <si>
    <t>7477e3ed-5001-4ada-bf35-7b431bd45858</t>
  </si>
  <si>
    <t>AMBIE.SAPOLIO ANTITABACO 360ML 12UND BLV</t>
  </si>
  <si>
    <t>46f9065f-84b5-4e19-9c9c-d9465243b383</t>
  </si>
  <si>
    <t>AMBIENT SAPOLIO VAINILLA 360ML 12UND BLV</t>
  </si>
  <si>
    <t>78665685-df58-4bd2-9f37-b09bdffa670c</t>
  </si>
  <si>
    <t>AMBIENTAD SAPOLIO MELÓN 360ML 12UND BLV</t>
  </si>
  <si>
    <t>37de9e86-d4ac-432b-8fec-c9b214914e89</t>
  </si>
  <si>
    <t>AMBIE.SAPOLIO COCO 360ML 12UND BLV</t>
  </si>
  <si>
    <t>a4035f10-4f77-46c3-b9c5-f9df3535b007</t>
  </si>
  <si>
    <t>AMB. SAPOLIO ANTITABACO RW 360ML 12UND</t>
  </si>
  <si>
    <t>496cf25c-83df-4503-8043-23bdecedbcb9</t>
  </si>
  <si>
    <t>REM.MAN.AMOR PLANCHA FACIL 500ML 24UND</t>
  </si>
  <si>
    <t>a351ce0b-21cd-4174-ad15-1a32b2d0ca80</t>
  </si>
  <si>
    <t>LIMPIAPARABRISA AUTO SAPOLIO 900ML 12UND</t>
  </si>
  <si>
    <t>4b99fe7e-5ef2-4425-9c2e-d2ba0d75f34a</t>
  </si>
  <si>
    <t>SILICONA AUTO PUMP SAPOLIO 250ML 6UND</t>
  </si>
  <si>
    <t>d4b87a00-5b4a-45f7-9c34-62db6b16b20c</t>
  </si>
  <si>
    <t>RENOV.LLANTA AUTO SAPOLIO 360ML 12UND</t>
  </si>
  <si>
    <t>d5dc33a0-645f-4d2d-9178-29ade709da98</t>
  </si>
  <si>
    <t>LIMPIATAPIZ AUTO SAPOLIO 360ML 12UND</t>
  </si>
  <si>
    <t>06434df4-0d2f-441c-953c-8780f3b792f0</t>
  </si>
  <si>
    <t>SILICO.360ML+CERA AUTO.200G SAPOLIO 12UN</t>
  </si>
  <si>
    <t>88c04408-6434-46dd-8fd5-01634b0daaf0</t>
  </si>
  <si>
    <t>CHAMPU CERA AUT.SAPOLIO 500ML.12UND 1CJA</t>
  </si>
  <si>
    <t>e0d4d1e6-cb70-4792-89c4-5f58b24545c0</t>
  </si>
  <si>
    <t>CERA CREMA AUTO SAPOLIO 200G 12UND</t>
  </si>
  <si>
    <t>14f65622-9ec5-4e27-893d-a9d9f088dcd4</t>
  </si>
  <si>
    <t>SILICONA CHERRY AUTO SAPOLIO 360ML 12UN</t>
  </si>
  <si>
    <t>71d55777-0da8-4baa-9571-d1f66be7ed4f</t>
  </si>
  <si>
    <t>SILICONA LAVANDA AUTO SAPOLIO 360ML 12UN</t>
  </si>
  <si>
    <t>73cc415e-af2f-4c56-83bd-c86bc6ed6e6a</t>
  </si>
  <si>
    <t>SILIC.PROTECTORA AUTO SAPOLIO 650ML 12UN</t>
  </si>
  <si>
    <t>dd71e029-eb91-440e-92b1-e9fafc38c272</t>
  </si>
  <si>
    <t>AUTO SILICONA SAP.ANTITA 360ML 12UND</t>
  </si>
  <si>
    <t>b5c6aa94-b1ad-4961-9dce-72a2f5edd744</t>
  </si>
  <si>
    <t>SILIC.AUTO CHICLE G. SAPOLIO 360ML 12UN</t>
  </si>
  <si>
    <t>41768481-a360-40f2-a47b-68324f6a0e9b</t>
  </si>
  <si>
    <t>CHAMPU AUTO SAP.CONCENT.FCO.500ML.12UND</t>
  </si>
  <si>
    <t>28bd1135-6b66-47f5-98a1-6bec706229da</t>
  </si>
  <si>
    <t>LIMPIAPARAB.SAP.AUTO GAL.C/A 5L.4UND</t>
  </si>
  <si>
    <t>c6b9765a-e80b-433d-baee-6fa312a4d105</t>
  </si>
  <si>
    <t>SAP. SILICONA AUTO CHICLE G 360ML12UN-MC</t>
  </si>
  <si>
    <t>073437f1-0c17-41eb-aaf0-a20c57584049</t>
  </si>
  <si>
    <t>CERA PASTA AMARILLA SAPOLIO 300ML 36UND</t>
  </si>
  <si>
    <t>028717d2-2674-49b6-b898-0bcff510d5da</t>
  </si>
  <si>
    <t>CERA PASTA ROJA SAPOLIO 300ML 36UND</t>
  </si>
  <si>
    <t>29db6feb-c488-4f2d-b569-6e888cd76d1f</t>
  </si>
  <si>
    <t>CERA PASTA NEUTRAL SAPOLIO 300ML 36UND</t>
  </si>
  <si>
    <t>9dc622c4-c7f5-4fa1-b3d6-6488bfa4edb6</t>
  </si>
  <si>
    <t>CERA SAPOL PASTA NEGRA 300ML 36UND</t>
  </si>
  <si>
    <t>2c43510e-da66-435e-b21c-a3502f303e69</t>
  </si>
  <si>
    <t>CERA AL AGUA LAV. SAPOLIO 3785ML 4UND</t>
  </si>
  <si>
    <t>50a07a32-c179-44c1-9544-05f7f276ba4a</t>
  </si>
  <si>
    <t>CERA AUTOB. AMAR. SAPOLIO 300ML 36UND</t>
  </si>
  <si>
    <t>2128c8c3-18ec-4c27-89fc-32f1e27c4efa</t>
  </si>
  <si>
    <t>CERA AUTOB. ROJA SAPOLIO 300ML 36UND</t>
  </si>
  <si>
    <t>498390ab-adc9-4e02-8d4e-6f43d6aec666</t>
  </si>
  <si>
    <t>CERA AUTOB. NEUTRAL SAPOLIO 300ML 36UND</t>
  </si>
  <si>
    <t>45df8fcd-547f-41f4-8e23-2cfbb396bbf3</t>
  </si>
  <si>
    <t>CERA SAPOL AUTOBR.NEGRA 300ML 36UND</t>
  </si>
  <si>
    <t>22849117-7e33-4fe5-b396-90ecf310d3f1</t>
  </si>
  <si>
    <t>CERA AUTOB. NEUTR SAPOLIO 3785ML 4UND</t>
  </si>
  <si>
    <t>9a69f9d6-248e-4b9a-a9fa-a453ffd7521c</t>
  </si>
  <si>
    <t>LIMPIAD.PISOS LAMIN. SAPOLIO 900ML 12UND</t>
  </si>
  <si>
    <t>29109eb3-a14f-46cf-bd47-9650c173dc91</t>
  </si>
  <si>
    <t>BETUN SAPOL.NEGRO N3 42ML 12UND 12DSP</t>
  </si>
  <si>
    <t>0c27ed6f-8b76-4a56-8e39-70e806b3f692</t>
  </si>
  <si>
    <t>BETUN SAPOL.NEGRO N4 88ML 12UND 12DSP</t>
  </si>
  <si>
    <t>b3c53814-43f7-4d24-bf55-c8f857a64401</t>
  </si>
  <si>
    <t>LUSTRAMUEBLE LAVANDA PREMIO 360ML 12UND</t>
  </si>
  <si>
    <t>b102a82d-8f60-4a08-8256-ddda1902f13c</t>
  </si>
  <si>
    <t>LUSTRAMUEBLE LIMON PREMIO 360ML 12UND</t>
  </si>
  <si>
    <t>15ae0c3f-d5c4-4f40-9200-918ac7469de1</t>
  </si>
  <si>
    <t>LUSTRAMUEBLE ACEITE PREMIO 300ML 12UND</t>
  </si>
  <si>
    <t>bd10ac3c-ac7e-4ffb-ba9d-7198c6ec6fb8</t>
  </si>
  <si>
    <t>LUSTRAMUEBLE LAVANDA PREMIO 280ML 12UND</t>
  </si>
  <si>
    <t>165e21ed-e74d-49f7-8b15-759b4f7fada4</t>
  </si>
  <si>
    <t>SAC.GRA. PRE LUSTR CREMLIMP 500ML 12UND</t>
  </si>
  <si>
    <t>f3d2a1ea-cf4d-44e5-b493-1b6f96ff8231</t>
  </si>
  <si>
    <t>LUSTRAMUEBLE ORIGINAL PREMIO 280ML 12UND</t>
  </si>
  <si>
    <t>4619a875-55ca-44fe-9ce8-337779980139</t>
  </si>
  <si>
    <t>LUSTRAMUEBLE ALMENDRA PREMIO 300ML 12UND</t>
  </si>
  <si>
    <t>2e6bbfb3-22dd-496b-afcb-abfbf6d430c7</t>
  </si>
  <si>
    <t>LUSTRAMUEBLE RASGUÑOS PREMIO 280ML 12UND</t>
  </si>
  <si>
    <t>9bfc1000-fd42-4914-989e-96aeb638bb50</t>
  </si>
  <si>
    <t>LUSTRAMUEBLE LIMON PREMIO 280ML 12UND</t>
  </si>
  <si>
    <t>b9cacb97-61a8-4a5b-a6bd-8f3f4c96f06a</t>
  </si>
  <si>
    <t>WC CANASTA LAVANDA SAPOLIO 35GR 6UND</t>
  </si>
  <si>
    <t>ae10f870-326d-40e0-b338-9a98ebd2d63e</t>
  </si>
  <si>
    <t>WC TANQUE AZUL SAPOLIO 45GRX2 12UND</t>
  </si>
  <si>
    <t>25536045-d8f1-4d7c-9422-199c1be40561</t>
  </si>
  <si>
    <t>SACG SAP LIM INOD FP PINO VER 450ML 24UN</t>
  </si>
  <si>
    <t>2d35521e-bfda-4eae-89b8-cfecb17781f6</t>
  </si>
  <si>
    <t>SAP LIM INOD FP LIM AMAR 450ML 24UN</t>
  </si>
  <si>
    <t>cd2113ce-f152-4f01-9e17-985b13b96b5f</t>
  </si>
  <si>
    <t>WC POWER MAX NEGRO SAPOLIO 500ML 12UND</t>
  </si>
  <si>
    <t>29d2f0b0-e880-4ec2-bb29-ac7487dcebac</t>
  </si>
  <si>
    <t>WC POWER PLUS AZUL SAPOLIO 750ML 12UND</t>
  </si>
  <si>
    <t>786d60cf-616e-4494-bf04-75a80ffeff12</t>
  </si>
  <si>
    <t>WC FRESH PLUS LIMON SAPOLIO 750ML 12UND</t>
  </si>
  <si>
    <t>748ca6a7-26e3-4768-acfa-a33b5a7cad06</t>
  </si>
  <si>
    <t>WC FRESH PLUS PINO SAPOLIO 750ML 12UND</t>
  </si>
  <si>
    <t>aa1a0628-594f-4b22-89b7-a1bbeacf7121</t>
  </si>
  <si>
    <t>WC POWER MAX NEGRO SAPOLIO 750ML 12UND</t>
  </si>
  <si>
    <t>0586ddb8-b199-41a1-96df-b57705fa9c8b</t>
  </si>
  <si>
    <t>WC POWER PLUS AZUL SAPOLIO 500ML 12UND</t>
  </si>
  <si>
    <t>b2bd23b1-5838-4504-9353-0b9e2a58d2d1</t>
  </si>
  <si>
    <t>WC FRESH PLUS LIMON SAPOLIO 500ML 12UND</t>
  </si>
  <si>
    <t>b7340ae4-e4f5-4492-a884-4c2a7335e617</t>
  </si>
  <si>
    <t>WC FRESH PLUS PINO SAPOLIO 500ML 12UND</t>
  </si>
  <si>
    <t>9af7e128-7c05-43a3-91d4-e9ad982b73c0</t>
  </si>
  <si>
    <t>WC POWER MAX NEGRO SAPOLIO 750MLX3 4UND</t>
  </si>
  <si>
    <t>f030d4b4-8e7d-49c3-aeb3-236d85e769b6</t>
  </si>
  <si>
    <t>WC TANQUE AZUL SAPOLIO 45GR 12UND</t>
  </si>
  <si>
    <t>563486f8-bfbb-4927-aec3-da86098cf961</t>
  </si>
  <si>
    <t>WC WATERMATIC AZUL SAPOLIO 110GR 6UND</t>
  </si>
  <si>
    <t>fdd694d3-3a43-42a5-8718-82a00a90ba0a</t>
  </si>
  <si>
    <t>LIMPIAHORNOS SAPOLIO 360ML 12UND</t>
  </si>
  <si>
    <t>18169c41-84f9-46dd-ac97-a392446c2dc8</t>
  </si>
  <si>
    <t>LIMPIAVIDRIOS LAVANDA SAPOLIO 5L 4UND</t>
  </si>
  <si>
    <t>a029e2f9-7024-4d3f-871b-2d71b61e813a</t>
  </si>
  <si>
    <t>SACAGRASA LIMON SAPOLIO 5L 4UND</t>
  </si>
  <si>
    <t>f4c599b6-6073-4695-9d89-9c6bd858f0ea</t>
  </si>
  <si>
    <t>LIMPIABAÑO C/CLO SAPOLIO GT 1000ML 12UND</t>
  </si>
  <si>
    <t>0f51e3c1-31d7-4c11-84c5-5c897375352b</t>
  </si>
  <si>
    <t>SACAGRASA NARANJA SAPOLIO 500ML 24DPK</t>
  </si>
  <si>
    <t>cbaabb85-8473-4c08-8974-3abc0706311e</t>
  </si>
  <si>
    <t>LIMPIAVIDRIOS SAP.DP 500ML 24DPK</t>
  </si>
  <si>
    <t>e075bdb4-2e63-49fb-ad64-023e06bb5987</t>
  </si>
  <si>
    <t>SACAGRASA LIMON SAPOLIO 500ML 24DPK</t>
  </si>
  <si>
    <t>b40a91e6-754a-453d-9fa4-6e18326f75ca</t>
  </si>
  <si>
    <t>ANTIHONGO SAPOLIO GT 650ML 12UND</t>
  </si>
  <si>
    <t>44eb38db-454b-425d-a27b-69099505344f</t>
  </si>
  <si>
    <t>LIMPIAVIDRIOS SAP GT 650ML 12UN</t>
  </si>
  <si>
    <t>80588e0c-9b01-4dc7-928a-d7010bef3e92</t>
  </si>
  <si>
    <t>SACAGRASA NARANJA SAPOLIO GT 650ML 12UND</t>
  </si>
  <si>
    <t>a16831d6-d1df-478f-bb18-ba639b4ee315</t>
  </si>
  <si>
    <t>SACAGRASA LIMON SAPOLIO GT 650ML 12UND</t>
  </si>
  <si>
    <t>66e5795d-f48f-457c-ade1-6073200b3953</t>
  </si>
  <si>
    <t>LIMPIALFOMBRA SAPOLIO CHAMPU 980ML 12UND</t>
  </si>
  <si>
    <t>2f00a1c8-6980-4025-91e4-6b6ad6958f3f</t>
  </si>
  <si>
    <t>LIMPIAMETAL LIQUIDO BRONCEX 280ML 12UND</t>
  </si>
  <si>
    <t>18a7ec51-7cb9-4c36-8909-9a3207853ead</t>
  </si>
  <si>
    <t>LIMPIALFOMBRA SAPOLIO CHAMPU 360ML 12UND</t>
  </si>
  <si>
    <t>f414cccd-311a-429d-b827-b24b422fecaa</t>
  </si>
  <si>
    <t>LIMPIAVIDRIOS SAP.JC 5 GL 1UND</t>
  </si>
  <si>
    <t>f71f0a5c-3b3c-438d-823b-aee1a1c44043</t>
  </si>
  <si>
    <t>WC CANASTA LAVANDA SAP.RTO 35GRX2 12UND</t>
  </si>
  <si>
    <t>676d2c28-5b8a-4653-8af0-1ed805b41e12</t>
  </si>
  <si>
    <t>LIMPIAMAYOLICA SAPOLIO GT 650ML 12UND</t>
  </si>
  <si>
    <t>fe48fdde-4b0a-48db-9b68-55d8d75d1bb0</t>
  </si>
  <si>
    <t>LIMPIAMUEBLE CREMA LD PREMIO 360ML 12UND</t>
  </si>
  <si>
    <t>6a19e1ca-d236-4598-b632-7280f30a6d08</t>
  </si>
  <si>
    <t>SACAGRASA LIMON SAPOLIO PROF 5L 4UND</t>
  </si>
  <si>
    <t>31cdd790-1065-42ca-9b2d-db6de62ee215</t>
  </si>
  <si>
    <t>LIMPIAVIDRIOS SAPOLIO PROFESIONAL 5L 4UN</t>
  </si>
  <si>
    <t>97bc947c-0a49-44f9-a712-5f70848ab973</t>
  </si>
  <si>
    <t>SACAGRASA SAPOL.PROF.LIMON 1800ML 6UND</t>
  </si>
  <si>
    <t>b2d49a82-c85a-4edb-b4b2-1af13883d2bd</t>
  </si>
  <si>
    <t>LIMPIAVIDRIOS SAPOLIO PROF. 1.8L 6UND</t>
  </si>
  <si>
    <t>a5fdeed6-dd24-4a96-a61b-2ad089a18729</t>
  </si>
  <si>
    <t>WC TANQUE AZUL SAPOLIO 45GRX2 12UND NV.</t>
  </si>
  <si>
    <t>e80253b1-6900-4176-97f7-0fcf5e636969</t>
  </si>
  <si>
    <t>LIMPIAVIDRIOS SAP GT 650ML 12UN BLV</t>
  </si>
  <si>
    <t>3c6e8fe9-9217-4abd-b4cd-08662149399d</t>
  </si>
  <si>
    <t>SACAG NARANJA SAPOLIO GT 650ML 12UND BLV</t>
  </si>
  <si>
    <t>ce5196e5-181d-4040-96ac-0bc20d7de08d</t>
  </si>
  <si>
    <t>SACAGRA LIMON SAPOLIO GT 650ML 12UND BLV</t>
  </si>
  <si>
    <t>43f50851-31f9-4ec6-8af1-34d125b2e73a</t>
  </si>
  <si>
    <t>SACAGRASA LIMON SAPOLIO PROF 4L 4UND</t>
  </si>
  <si>
    <t>699e0b36-dee3-42f1-8491-ac85373811f7</t>
  </si>
  <si>
    <t>LIMPIAVIDRIOS SAPOLIO PROF. 4L 4UN</t>
  </si>
  <si>
    <t>7691a503-b07c-4b31-b3f9-dbb2264c97c6</t>
  </si>
  <si>
    <t>LIMPIAVIDRIOS GT 300ML 12UND</t>
  </si>
  <si>
    <t>a4359d38-bbd5-42dc-be37-9ec6db06065f</t>
  </si>
  <si>
    <t>SACAGRASA LIMON SAPOLIO GT 300ML 12UND</t>
  </si>
  <si>
    <t>3cc25adf-47ff-44b8-ae34-85889e7f3a54</t>
  </si>
  <si>
    <t>SAP PROF EVOLUTION MULTIQUAT 1.8L 6UND</t>
  </si>
  <si>
    <t>e82789f1-624c-40b3-9f62-5d363d829f9b</t>
  </si>
  <si>
    <t>SAP PROF EVOLUTION POWER G 1.8L 6UND</t>
  </si>
  <si>
    <t>466888d2-622f-43eb-9023-ba22c6e3a786</t>
  </si>
  <si>
    <t>SAP PROF EVOLUTION ULTRACLOR 1.8L 6UND</t>
  </si>
  <si>
    <t>f9464a10-0d22-4b8e-84f4-7b08b921e488</t>
  </si>
  <si>
    <t>SAP PROF EVOLUTION GRASFORT 1.8L 6UND</t>
  </si>
  <si>
    <t>4016ad44-d5e4-42fa-981a-6660fca454c4</t>
  </si>
  <si>
    <t>PREMIO LUSTRAMUEBLES CREMA 500ML 12UND</t>
  </si>
  <si>
    <t>a4e12f34-e9f8-4efc-b070-b9b736862113</t>
  </si>
  <si>
    <t>BRONCEX LÍQ. BRILLA METAL 280ML 12UND</t>
  </si>
  <si>
    <t>febeb65f-c96c-4403-8da3-7732a4265137</t>
  </si>
  <si>
    <t>DESINF.LIMON SAPOLIO 900ML 12UND</t>
  </si>
  <si>
    <t>8958d373-8ae5-4b5d-bafd-e5da89a0319b</t>
  </si>
  <si>
    <t>DESINF.LAVANDA SAPOLIO 900ML 12UND</t>
  </si>
  <si>
    <t>7271b402-3186-4cbb-b43a-da93b37b8997</t>
  </si>
  <si>
    <t>DESINF.LIMON SAPOLIO 1800ML 6UND</t>
  </si>
  <si>
    <t>420cc7ca-95dd-4d5f-a8b1-edaa3e2a7dba</t>
  </si>
  <si>
    <t>DESINF.MANZANA SAPOLIO 1800ML 6UND</t>
  </si>
  <si>
    <t>0321f0ee-7392-42f6-ab67-749b7d5a48d0</t>
  </si>
  <si>
    <t>DESINF.PINO NATURAL SAPOLIO 900ML 12UND</t>
  </si>
  <si>
    <t>43006ce4-b807-40a7-8803-9492ebb97dcf</t>
  </si>
  <si>
    <t>DESINF.MANZANA SAPOLIO 900ML 12UND</t>
  </si>
  <si>
    <t>13efde43-3f1c-471c-85c1-c2fde99e1ce7</t>
  </si>
  <si>
    <t>DESINF.LAVANDA SAPOLIO 5L 4UND</t>
  </si>
  <si>
    <t>2bf5e3ad-9aa2-4e86-8fa4-606748d17056</t>
  </si>
  <si>
    <t>DESINF.PINO NATURAL SAPOLIO 1800ML 6UND</t>
  </si>
  <si>
    <t>7ea59928-339a-4ae2-b281-217649f52d23</t>
  </si>
  <si>
    <t>DESINF.LAVANDA SAPOLIO 1800ML 6UND</t>
  </si>
  <si>
    <t>affb60fd-0486-401b-a09e-38fe471e485f</t>
  </si>
  <si>
    <t>DESINF.PINO NATURAL SAPOLIO 3785ML 4UND</t>
  </si>
  <si>
    <t>ee0aefb0-aad0-4965-8a8a-5394fa45a493</t>
  </si>
  <si>
    <t>DESINF.LIMON SAPOLIO 3785ML 4UND</t>
  </si>
  <si>
    <t>4dd5f605-e914-4051-b473-a7a4b06109bc</t>
  </si>
  <si>
    <t>DESINF.LAVANDA SAPOLIO 3785ML 4UND</t>
  </si>
  <si>
    <t>eb00b203-ee92-4920-9ef5-357067f1b37c</t>
  </si>
  <si>
    <t>DESATORADOR COCINA SAPOLIO 980ML 12UND</t>
  </si>
  <si>
    <t>49f728a9-3e8f-4e68-905f-bd8cf58d5f19</t>
  </si>
  <si>
    <t>DESATORADOR BAÑO SAPOLIO 980ML 12UND</t>
  </si>
  <si>
    <t>f14c5f43-b0fd-4d32-b716-44504db60c6f</t>
  </si>
  <si>
    <t>DESATORADOR COCINA SAPOLIO 1893ML 6UND</t>
  </si>
  <si>
    <t>86c4db0b-aee9-445d-9116-962b0a1d847d</t>
  </si>
  <si>
    <t>SACASARRO SAPOLIO 500ML 12UND</t>
  </si>
  <si>
    <t>147cc1b9-5dfc-487d-a2f5-b66df4469ffc</t>
  </si>
  <si>
    <t>LIMP.ACIDO SACASARRO SAPOLIO 980ML 12UND</t>
  </si>
  <si>
    <t>80afe13a-0bc3-4c24-a1f6-08c02030edf6</t>
  </si>
  <si>
    <t>LIMP.ACIDO SACASARRO SAPOLIO 1800ML 6UND</t>
  </si>
  <si>
    <t>ff6494db-fa02-40e3-93e0-c44521e629a9</t>
  </si>
  <si>
    <t>LIMP.ACIDO SACASARRO SAPOLIO 3600ML 4UND</t>
  </si>
  <si>
    <t>998320e2-9461-4aef-8f4d-711b34711e70</t>
  </si>
  <si>
    <t>LIMPIAD.REP.POLVO COCINA SAP.450GR 24UN</t>
  </si>
  <si>
    <t>7a7f681c-8fc2-4a39-a5ae-88c672ddbc7c</t>
  </si>
  <si>
    <t>LIMPIAD.REP POLVO BAÑO SAP.450GR 24UND</t>
  </si>
  <si>
    <t>c96bdd23-4411-44f5-b110-d33873b8abbf</t>
  </si>
  <si>
    <t>LIMPIADOR CREMOSO SAPOLIO 750GR 12UND</t>
  </si>
  <si>
    <t>a6e6648a-c599-4ab0-9153-ec2614dcbca5</t>
  </si>
  <si>
    <t>LIMPIAD.TUB.POLVO COCINA SAP.450GR 12UN</t>
  </si>
  <si>
    <t>b0dfe8a1-fb94-4d38-8905-616404a72b5c</t>
  </si>
  <si>
    <t>LIMPIADOR TUB. POLVO BAÑO SAP.450GR 12UN</t>
  </si>
  <si>
    <t>ae7f6429-95d1-42aa-b400-31eaf1cbfe76</t>
  </si>
  <si>
    <t>DESINFECTANTE PINO SAPOLIO JC 5GL 1UND</t>
  </si>
  <si>
    <t>d6b8e326-01c5-425c-849c-5cb59b3fc9ff</t>
  </si>
  <si>
    <t>DESINF.MANZANA SAP.3785ML 4UND</t>
  </si>
  <si>
    <t>cb9cd772-f686-4b94-a9cd-d96f744900c6</t>
  </si>
  <si>
    <t>DESINF.SAPOL.CÍTRICO 360ML 12UND</t>
  </si>
  <si>
    <t>4bb25cc1-697d-4fdb-b24b-968b752bb6d3</t>
  </si>
  <si>
    <t>DESINF.SAPOL.ORIGINAL 360ML 12UND</t>
  </si>
  <si>
    <t>16e35080-8fdf-451e-a499-83af1e69dd1d</t>
  </si>
  <si>
    <t>DESINF.SAPOLIO ACC.TOTAL 24H 600ML 12UND</t>
  </si>
  <si>
    <t>dad0e32f-46e6-48ab-ac8c-9641ce4b2bde</t>
  </si>
  <si>
    <t>DESINF.SAPOLIO PINO 300ML 15UND</t>
  </si>
  <si>
    <t>a4eb4816-a58e-48f3-8b4e-a2f9687f6bab</t>
  </si>
  <si>
    <t>DESINF.SAPOLIO PINO 600ML 15UND</t>
  </si>
  <si>
    <t>39792dc4-25fb-4ecf-80f0-6f9748df9dcc</t>
  </si>
  <si>
    <t>DESINF.SAPOL.LAVANDA 360ML 12UND</t>
  </si>
  <si>
    <t>46beb673-4465-4a69-991e-8c290a17a1f0</t>
  </si>
  <si>
    <t>DESINFECTANTE PINO SAPOLIO PROF 5L 4UND</t>
  </si>
  <si>
    <t>5a582576-fb0e-4f00-97cc-e80b3e1ac620</t>
  </si>
  <si>
    <t>ESINF. SAPOLIO PROF LIMÓN 5L 4UND</t>
  </si>
  <si>
    <t>405d140d-1787-4708-84b9-f1ec20265c49</t>
  </si>
  <si>
    <t>DESINFECTANTE PINO SAPOL. PROF 4L 4UND</t>
  </si>
  <si>
    <t>c3fa3c98-c165-4bb8-9075-931159e6fdc7</t>
  </si>
  <si>
    <t>LIMPIATODO FLORAL SAPOLIO 900ML 12UND</t>
  </si>
  <si>
    <t>a89f6dba-61c8-4df6-9e49-eeaa81ee9b75</t>
  </si>
  <si>
    <t>LIMPIATODO LIMON SAPOLIO 1800ML 6UND</t>
  </si>
  <si>
    <t>32f9dd58-9ab5-4fa6-8c5b-a6b3206c1368</t>
  </si>
  <si>
    <t>LIMPIATODO LAVANDA SAPOLIO 250ML 24UND</t>
  </si>
  <si>
    <t>8a27dfd2-e11d-401c-9a6b-f3890e49ef0f</t>
  </si>
  <si>
    <t>LIMPIATODO FLORAL SAPOLIO 250ML 24UND</t>
  </si>
  <si>
    <t>92083b71-9771-4128-9053-ffa1dd47546f</t>
  </si>
  <si>
    <t>LIMPIATODO BEBE SAPOLIO 250ML 24UND</t>
  </si>
  <si>
    <t>b70fe0a1-9bb8-4db0-ab75-828414b94f0d</t>
  </si>
  <si>
    <t>LIMPIATODO LIMON SAPOLIO 3785ML 4UND</t>
  </si>
  <si>
    <t>28d027e3-5a78-467c-a835-8732afa21517</t>
  </si>
  <si>
    <t>LIMPIATODO BEBE SAPOLIO 3785ML 4UND</t>
  </si>
  <si>
    <t>96da63e3-fc7b-413a-aa54-bb6e934bcfde</t>
  </si>
  <si>
    <t>LIMPIATODO LAVANDA SAPOLIO 900ML 12UND</t>
  </si>
  <si>
    <t>2eed082d-bae2-4311-9e28-b0ef0a718e30</t>
  </si>
  <si>
    <t>LIMPIATODO ROSAS SAPOLIO 900ML 12UND</t>
  </si>
  <si>
    <t>2f2ea04a-0f82-4f09-8b09-691072bc1794</t>
  </si>
  <si>
    <t>LIMPIATODO ORQUIDEA SAPOLIO 900ML 12UND</t>
  </si>
  <si>
    <t>4fb08ad9-566e-4187-80d0-0944ac8848fb</t>
  </si>
  <si>
    <t>LIMPIATODO MANZANA SAPOLIO 900ML 12UND</t>
  </si>
  <si>
    <t>4d524a15-7a12-4347-a4e5-e184759d775b</t>
  </si>
  <si>
    <t>LIMPIATODO LIMON SAPOLIO 900ML 12UND</t>
  </si>
  <si>
    <t>06ac9c33-bab7-4a1f-8daf-24c56b61fdc5</t>
  </si>
  <si>
    <t>LIMPIATODO MARINO SAPOLIO 900ML 12UND</t>
  </si>
  <si>
    <t>7c7ac54e-0b76-4b78-99d8-f2cd185ed679</t>
  </si>
  <si>
    <t>LIMPIATODO BEBE SAPOLIO 900ML 12UND</t>
  </si>
  <si>
    <t>aa7cf4b9-8232-4994-aeff-5296b0eceb28</t>
  </si>
  <si>
    <t>LIMP.TOD.SAPOL.AB FLORAL 900MLX2 6PCK</t>
  </si>
  <si>
    <t>640a7528-c93e-4862-ab5c-98d5d48168df</t>
  </si>
  <si>
    <t>LIMP.TOD.SAPOL.AB BEBE 900MLX2 6PCK</t>
  </si>
  <si>
    <t>ad014f0a-0b92-479f-91e4-4ea500297139</t>
  </si>
  <si>
    <t>LIMPIATODO MANZYCAN SAPOL.900ML 12UND EX</t>
  </si>
  <si>
    <t>a3ad7f0e-b673-4b2f-8f9d-0045d865316c</t>
  </si>
  <si>
    <t>LIMPIATODO PINO SAPOLIO 900ML 12UND EXP</t>
  </si>
  <si>
    <t>05db7cf4-c74b-4129-ab8c-1b95acad2a5d</t>
  </si>
  <si>
    <t>LIMPIATODO LAVANDA SAPOLIO 1800ML 6UND</t>
  </si>
  <si>
    <t>dc133f38-6649-436d-8593-a11545e521fc</t>
  </si>
  <si>
    <t>LIMPIATODO FLORAL SAPOLIO 1800ML 6UND</t>
  </si>
  <si>
    <t>11bda2af-da8e-483d-8f17-d2d96f51172d</t>
  </si>
  <si>
    <t>LIMPIATODO BEBE SAPOLIO 1800ML 6UND</t>
  </si>
  <si>
    <t>928590ca-327d-43e6-a0e9-8b85863bea9f</t>
  </si>
  <si>
    <t>LIMPIATODO LAVANDA SAPOLIO 3785ML 4UND</t>
  </si>
  <si>
    <t>a1e85b1d-4497-4214-8e04-bccf66d4b5aa</t>
  </si>
  <si>
    <t>LIMPIATODO FLORAL SAPOLIO 3785ML 4UND</t>
  </si>
  <si>
    <t>1478da41-53b0-4e40-903d-ec0aa5c74e0f</t>
  </si>
  <si>
    <t>LIMPIATODO LAVANDA SAPOLIO 5L 4UND</t>
  </si>
  <si>
    <t>93502056-421e-4007-b4e5-793545a85e70</t>
  </si>
  <si>
    <t>LIMPIATODO FLORAL SAPOLIO 5L 4UND</t>
  </si>
  <si>
    <t>2f2b3713-8a31-4251-98fb-42e4bc415c81</t>
  </si>
  <si>
    <t>LIMPIATODO BEBE SAPOLIO 5L 4UND</t>
  </si>
  <si>
    <t>df32f522-de45-42e5-a74c-45d61e8defb5</t>
  </si>
  <si>
    <t>LIMPIATODO LIMON SAPOLIO 5L 4UND</t>
  </si>
  <si>
    <t>d833e429-1839-406d-8fde-fbb863d76ed5</t>
  </si>
  <si>
    <t>LIMPIATODO ROSAS SAPOLIO 5L 4UND</t>
  </si>
  <si>
    <t>9ddaec37-f0d6-4676-9351-db90b53f03f4</t>
  </si>
  <si>
    <t>LIMP.TOD.SAPOL.LAVANDA JC 5GL 1UND</t>
  </si>
  <si>
    <t>bee18780-af51-4e84-8eca-f97362d09a7f</t>
  </si>
  <si>
    <t>LIMPIATODO LAVANDA SAPOLIO 648ML 15UND</t>
  </si>
  <si>
    <t>ea8c7580-f9d3-4e70-899a-310202a60907</t>
  </si>
  <si>
    <t>LIMPIATODO FLORAL SAPOLIO 648ML 15UND</t>
  </si>
  <si>
    <t>e27a37ba-5f87-4027-ab28-7bd09a37804a</t>
  </si>
  <si>
    <t>LIMPIATODO BEBE SAPOLIO 648ML 15UND</t>
  </si>
  <si>
    <t>a66c7aca-4fe2-4a74-89fb-94433080514d</t>
  </si>
  <si>
    <t>LIMPIATODO ROSAS SAPOLIO 3785ML 4UND</t>
  </si>
  <si>
    <t>e7a2b887-dd3b-496c-bcb5-c008a2847c4c</t>
  </si>
  <si>
    <t>LIMPIATODO PROF.SAP. LAVANDA 1.8L 6UND</t>
  </si>
  <si>
    <t>f9e61808-b55e-4794-aa92-1886f5f2bda4</t>
  </si>
  <si>
    <t>LIMPIATODO PROF.SAP. LAVANDA 3.8L 4UND</t>
  </si>
  <si>
    <t>aa2340a0-a35a-477d-8d8a-79252392b591</t>
  </si>
  <si>
    <t>SAP. LIMPIA TODO FLORAL AB 900ML 12UND</t>
  </si>
  <si>
    <t>cf116966-74bc-4251-a1b5-5b56b5f01ac9</t>
  </si>
  <si>
    <t>SAP. LIMPIA TODO LAVANDA AB 900ML 12UND</t>
  </si>
  <si>
    <t>5f4a3372-3487-45f7-95c2-4e7457dfed90</t>
  </si>
  <si>
    <t>LIMPIATODO SAPOL.FLORAL 900ML 12FCO EXP</t>
  </si>
  <si>
    <t>ca96eb47-fc7d-4648-bd42-a0231a25b70b</t>
  </si>
  <si>
    <t>LIMPIATODO SAPOL.LAVANDA 900ML 12FCO EXP</t>
  </si>
  <si>
    <t>3e1bed9a-524a-46a6-aef0-f5952ebbb931</t>
  </si>
  <si>
    <t>LIMPIATODO SAPOL.ROSAS 900ML 12FCO EXP</t>
  </si>
  <si>
    <t>2691e3fc-012e-46fa-a700-e15922932d93</t>
  </si>
  <si>
    <t>LIMPIATODO SAPOL.ORQUID.900ML 12FCO EXP</t>
  </si>
  <si>
    <t>c3a1b9cf-8f33-4b47-b5ff-851c78158dbd</t>
  </si>
  <si>
    <t>LIMPIATODO SAPOL.MANZANA 900ML 12FCO EXP</t>
  </si>
  <si>
    <t>9829cd9d-5ee8-4138-875c-1523c4760ce2</t>
  </si>
  <si>
    <t>LIMPIATODO SAPOL.LIMON 900ML 12FCO EXP</t>
  </si>
  <si>
    <t>bbc9c158-506b-4abf-a629-0f4f606bebf8</t>
  </si>
  <si>
    <t>LIMPIATODO SAPOL.BEBE 900ML 12FCO EXP</t>
  </si>
  <si>
    <t>4b5a0a6b-2e07-45ea-948e-988f5184e2d8</t>
  </si>
  <si>
    <t>SAP. LIMPIA TODO AB COCO 900ML 12UND</t>
  </si>
  <si>
    <t>2f8d2f4e-ae92-479c-b860-f62b41fba098</t>
  </si>
  <si>
    <t>LIMPIATODO SAPOL.LIMON 1.8L 6FCO EXP</t>
  </si>
  <si>
    <t>001ac982-349c-4aa0-af72-9d4a363f2102</t>
  </si>
  <si>
    <t>LIMPIATODO SAPOL.LAVANDA 1.8L 6FCO EXP</t>
  </si>
  <si>
    <t>4dfedb55-823b-43cb-981b-8faacfe7f39e</t>
  </si>
  <si>
    <t>LIMPIATODO SAPOL.FLORAL 1.8L 6FCO EXP</t>
  </si>
  <si>
    <t>f6b5b01e-f119-4c48-8e16-a83f5852833c</t>
  </si>
  <si>
    <t>LIMPIATODO SAPOL.BEBE 1.8L 6FCO EXP</t>
  </si>
  <si>
    <t>b1483f70-944e-4f55-8649-9cac8bf9f99b</t>
  </si>
  <si>
    <t>LIMPIATODO SAPOL.LAVANDA 5L 4FCO EXP</t>
  </si>
  <si>
    <t>1a22067f-12b4-454b-8429-769dc7ff2f95</t>
  </si>
  <si>
    <t>LIMPIATODO SAPOL.FLORAL 5L 4FCO EXP</t>
  </si>
  <si>
    <t>166728d2-36fb-4bc4-aa65-882ee7aa2046</t>
  </si>
  <si>
    <t>LIMPIATODO SAPOL.BEBE 5L 4FCO EXP</t>
  </si>
  <si>
    <t>2e813883-f746-4381-af52-bfa9f8fedf9f</t>
  </si>
  <si>
    <t>LIMPIATODO SAPOL.LIMON 5L 4FCO EXP</t>
  </si>
  <si>
    <t>2963aae1-302f-4f95-b0bd-a3a8d6b3fe38</t>
  </si>
  <si>
    <t>DESINF.MULT.SAP.FLORAL.AB.648ML 15UN EC</t>
  </si>
  <si>
    <t>2b0a5318-2287-4fbe-b838-a6e1efb632e2</t>
  </si>
  <si>
    <t>LIMPIATODO SAPOLIO AB COCO 648ML 15UND</t>
  </si>
  <si>
    <t>97b7c6ea-2f32-4d59-a35b-965355695cfe</t>
  </si>
  <si>
    <t>LIMPIATODO SAPOLIO AB MELON 648ML 15UND</t>
  </si>
  <si>
    <t>e6f935a8-d4ba-4fea-810c-cb996a07532a</t>
  </si>
  <si>
    <t>LIMPIATODO SAPOLIO AB COCO 900ML 12UND</t>
  </si>
  <si>
    <t>531d6f7e-9e97-480a-880a-8ba8c3f323e7</t>
  </si>
  <si>
    <t>LIMPIATODO SAPOLIO AB MELON 900ML 12UND</t>
  </si>
  <si>
    <t>34a548db-69bf-4623-a54f-01b7b6226e97</t>
  </si>
  <si>
    <t>LIMPIATODO SAPOLIO AB MELON 1.8L 6UND</t>
  </si>
  <si>
    <t>91d92bc6-556b-466c-b0e6-6c5eb33c745e</t>
  </si>
  <si>
    <t>LIMPIATODO SAPOLIO AB COCO 5L 4UND</t>
  </si>
  <si>
    <t>ceda6fd5-a17f-4d54-aa5e-5cad350ec831</t>
  </si>
  <si>
    <t>LIMPIATODO SAPOLIO AB MELON 5L 4UND</t>
  </si>
  <si>
    <t>b9696d5d-2453-4c08-bec0-20f5c1bd4f29</t>
  </si>
  <si>
    <t>LIMP. SAPOLIO PROF LIMÓN 5L 4UND</t>
  </si>
  <si>
    <t>17e07c41-baa2-4914-9d62-28ad715edc7e</t>
  </si>
  <si>
    <t>LIMP. SAPOLIO PROF FLORAL 5L 4UND</t>
  </si>
  <si>
    <t>f3a9ab59-a424-41bb-9b5d-0b15e656f298</t>
  </si>
  <si>
    <t>LIMP. SAPOLIO PROF BEBÉ 5L 4UND</t>
  </si>
  <si>
    <t>4d384e0c-982b-45a7-b602-044c6ff398c0</t>
  </si>
  <si>
    <t>LIMP. SAPOLIO PROF LAVANDA 5L 4UND</t>
  </si>
  <si>
    <t>71e6dfba-aada-4a40-ac51-a21aea67047f</t>
  </si>
  <si>
    <t>SAP. LIMPIA TODO AB LAVANDA 4.9L FR 4UND</t>
  </si>
  <si>
    <t>61bf691f-616e-49ba-b43a-546e93b2fee2</t>
  </si>
  <si>
    <t>SAP. LIMPIA TODO AB FLORAL 4.9L FR 4UND</t>
  </si>
  <si>
    <t>cb79abb5-bb3b-430f-aa2d-259a8bd4613d</t>
  </si>
  <si>
    <t>SAP. LIMPIA TODO AB BEBÉ 4.9L FR 4UND</t>
  </si>
  <si>
    <t>2a233c2a-020e-4d2a-a27f-338c6c38f530</t>
  </si>
  <si>
    <t>SAP. LIMPIA TODO AB LIMÓN 4.9L FR 4UND</t>
  </si>
  <si>
    <t>7a8469e9-96bf-4ee0-9bb6-2f6e56a7325c</t>
  </si>
  <si>
    <t>SAP. LIMPIA TODO AB MELÓN 4.9L FR 4UND</t>
  </si>
  <si>
    <t>388b5022-3f21-453f-a031-d67ac46f7416</t>
  </si>
  <si>
    <t>SAP. LIMPIA TODO AB COCO 4.9L FR 4UND</t>
  </si>
  <si>
    <t>457ee165-0f67-4c3e-b216-ab6f8b805193</t>
  </si>
  <si>
    <t>LIMP. SAPOLIO PROF BEBÉ 3.79L 4UND</t>
  </si>
  <si>
    <t>7005313e-e1fc-4364-8768-27c39cc41f18</t>
  </si>
  <si>
    <t>LIMP. SAPOLIO PROF BEBÉ 4.9L 4UND</t>
  </si>
  <si>
    <t>57c23119-a64d-44ad-9392-3b1217acfdbe</t>
  </si>
  <si>
    <t>LIMP. SAPOLIO PROF FLORAL 4.9L 4UND</t>
  </si>
  <si>
    <t>d750b619-341e-4ffd-ba2a-f711df2103b6</t>
  </si>
  <si>
    <t>LIMP. SAPOLIO PROF LAVANDA 4.9L 4UND</t>
  </si>
  <si>
    <t>fb6c6eb2-a165-4682-b888-d7207442bafb</t>
  </si>
  <si>
    <t>LIMP. SAPOLIO PROF LIMÓN 4.9L 4UND</t>
  </si>
  <si>
    <t>91232e82-b03b-403c-b667-7af77320ead4</t>
  </si>
  <si>
    <t>SAP. LIMPIA TODO LAVANDA 4.9L FRX4</t>
  </si>
  <si>
    <t>60e8052f-bb11-4fed-b318-9640fc42ee37</t>
  </si>
  <si>
    <t>SAP. LIMPIA TODO FLORAL 4.9L FRX4</t>
  </si>
  <si>
    <t>95636c0d-9ba8-45af-af3d-d060fdb494d8</t>
  </si>
  <si>
    <t>SAP. LIMPIA TODO BEBÉ 4.9L FRX4</t>
  </si>
  <si>
    <t>e32451d8-abb3-49ac-8d02-a04fc8e8242b</t>
  </si>
  <si>
    <t>SAP. LIMPIA TODO LIMÓN 4.9L FRX4</t>
  </si>
  <si>
    <t>8bd2ea14-6d8a-4940-9b94-e97df07e13b9</t>
  </si>
  <si>
    <t>SACASARRO SAPOLIO 500ML 12UND BLV</t>
  </si>
  <si>
    <t>16710435-52d0-4c91-ae7d-6b07fd6b3cc4</t>
  </si>
  <si>
    <t>LIMP.REP.POLVO COCINA SAP.450GR 24UN BLV</t>
  </si>
  <si>
    <t>7da85cb0-382e-4e61-afd0-aa68c68d4c9e</t>
  </si>
  <si>
    <t>LIMPIATD FLORAL SAPOLIO 900ML 12UND BLV</t>
  </si>
  <si>
    <t>3fc74e7c-0a0c-49e6-870d-56c83a87419f</t>
  </si>
  <si>
    <t>LIMPIATD LAVANDA SAPOLIO 900ML 12UND BLV</t>
  </si>
  <si>
    <t>50bec2c3-505d-4b2b-9b29-a62ba5cb2794</t>
  </si>
  <si>
    <t>LIMPIATD LAVANDA SAPOLIO 1800ML 6UND BLV</t>
  </si>
  <si>
    <t>cab69cc2-727d-4680-b861-4dd180ddb31c</t>
  </si>
  <si>
    <t>LIMPIATD FLORAL SAPOLIO 1800ML 6UND BLV</t>
  </si>
  <si>
    <t>6b06d5f1-3c2d-4372-adba-184697d1d6f2</t>
  </si>
  <si>
    <t>LIMPIATD SAPOLIO AB COCO 900ML 12UND BLV</t>
  </si>
  <si>
    <t>f0f35afc-72a9-4008-9b28-35ce360070b3</t>
  </si>
  <si>
    <t>LIMPIAT SAPOLIO AB MELON 900ML 12UND BLV</t>
  </si>
  <si>
    <t>b68a4a2b-b08c-4d2f-b5e7-e9e27153ee65</t>
  </si>
  <si>
    <t>SAP LIMP TOD AB LAVANDA 4.9L FR 4UND BLV</t>
  </si>
  <si>
    <t>1b282c5d-3129-44e6-b056-e6497fdd6e6f</t>
  </si>
  <si>
    <t>SAP.LIMP TODO AB FLORAL 4.9L FR 4UND BLV</t>
  </si>
  <si>
    <t>e1e6d8a0-9485-4d87-9da8-28252793deba</t>
  </si>
  <si>
    <t>SAP. LIMP TODO AB LIMÓN 4.9L FR 4UND BLV</t>
  </si>
  <si>
    <t>66bc4349-1722-405d-a679-e28de2b6a495</t>
  </si>
  <si>
    <t>SAP.LIMP TODO AB COCO 4.9L FR 4UND BLV</t>
  </si>
  <si>
    <t>2b45df84-41e1-41bb-a093-ab58b160660b</t>
  </si>
  <si>
    <t>SAP.LIMPIA TODO AB BEBÉ 4.9L FR 4UND BLV</t>
  </si>
  <si>
    <t>e86228c0-4b79-48fd-8d65-bad7e0d6eef8</t>
  </si>
  <si>
    <t>SAP PROF LIMP.TOD.DESINF COCO 3.8L 4UND</t>
  </si>
  <si>
    <t>50d6b79f-eb9d-4baf-939a-0d3be40db861</t>
  </si>
  <si>
    <t>SAP PROF LIMP.TOD. DESINF COCO 4.9L 4UND</t>
  </si>
  <si>
    <t>1a3d07f6-2990-42b0-8f86-41c308100359</t>
  </si>
  <si>
    <t>LIMP. SAPOLIO PROF BEBE 4.2L 4UND</t>
  </si>
  <si>
    <t>e6e4bf57-53ce-49d1-b706-f0765be5e460</t>
  </si>
  <si>
    <t>LIMP. SAPOLIO PROF FLORAL 4.2L 4UND</t>
  </si>
  <si>
    <t>4c793822-89d0-49bc-afe2-d83225f22691</t>
  </si>
  <si>
    <t>LIMP. SAPOLIO PROF LIMÓN 4.2L 4UND</t>
  </si>
  <si>
    <t>08e1a027-7fb7-4d0f-a9ab-78a1dde4954b</t>
  </si>
  <si>
    <t>LIMP. SAPOLIO PROF COCO 4.2L 4UND</t>
  </si>
  <si>
    <t>22d2e4e9-a849-49ac-86bb-37bc1e5efa37</t>
  </si>
  <si>
    <t>LIMP. SAPOLIO PROF LAVANDA 4.2L 4UND</t>
  </si>
  <si>
    <t>94ad7a54-0b20-4cc2-9bc1-d47e0e2b45cf</t>
  </si>
  <si>
    <t>LIMP. SAPOLIO PROF MANZANA 4.2L 4UND</t>
  </si>
  <si>
    <t>a4d1beb8-d83d-49d2-b3a3-3c02542d8308</t>
  </si>
  <si>
    <t>SAP LIMP TODO LAVAN CREM 900ML 12UND BO</t>
  </si>
  <si>
    <t>0305f2d4-79c2-45de-92f4-8f3f249f9d51</t>
  </si>
  <si>
    <t>SAP LIMPIA TODO BEBÉ 4.9L 4UND BO</t>
  </si>
  <si>
    <t>d767863f-b6d4-4ff0-962c-ec9a4f290f4a</t>
  </si>
  <si>
    <t>SAP LIMPIA TODO LIMÓN 4.9L 4UND BO</t>
  </si>
  <si>
    <t>bc34fe9d-208a-4be0-9436-8726e4408cc5</t>
  </si>
  <si>
    <t>SAP LIMPIA TODO MELON 900ML 12UND BO</t>
  </si>
  <si>
    <t>a12aac7c-1dd5-419a-9f2f-32310cbc4376</t>
  </si>
  <si>
    <t>SAP LIMPIA TODO COCO 4.9L 4UND BO</t>
  </si>
  <si>
    <t>dc271345-ae1a-46cc-9a0b-934ddb7fe151</t>
  </si>
  <si>
    <t>SAP LIMPIA TODO COCO 900ML 12UND BO</t>
  </si>
  <si>
    <t>cd4ecbfc-cdfc-4052-a16d-d58714ce9bcf</t>
  </si>
  <si>
    <t>SAP LIMPIA TODO FLORAL 4.9L 4UND BO</t>
  </si>
  <si>
    <t>2bb4d346-1aeb-49fb-8dbb-76a5fdd40a18</t>
  </si>
  <si>
    <t>SAP LIMPIA TODO FLORAL 1800ML 6UND BO</t>
  </si>
  <si>
    <t>ffcad525-7249-4f00-8ae0-3762036d5bf3</t>
  </si>
  <si>
    <t>SAP LIMPIA TODO FLORAL 900ML 12UND BO</t>
  </si>
  <si>
    <t>2a0760ed-8da4-4e1c-8996-7ef418dbaeba</t>
  </si>
  <si>
    <t>SAP. LIMPIA TODO LAVANDA 4.9L 4UND BO</t>
  </si>
  <si>
    <t>ac4160b3-3783-43df-94a4-3f2bf8a50902</t>
  </si>
  <si>
    <t>SAP LIMPIA TODO LAVANDA 1800ML 6UND BO</t>
  </si>
  <si>
    <t>597c2186-d892-4e08-b3c9-6d3418b46d5d</t>
  </si>
  <si>
    <t>SAP. LIMPIA TODO LAVANDA 900ML 12UND BO</t>
  </si>
  <si>
    <t>05847082-4fc8-4df7-ab95-1298eb13f8d1</t>
  </si>
  <si>
    <t>SAP LIMP TODO LAVAN CREM 1800ML 6UND BO</t>
  </si>
  <si>
    <t>1eb1c7cd-0abe-4220-83d0-2408ef95fd15</t>
  </si>
  <si>
    <t>SAP LIMPIA TODO LAVANDA 4.2L 4UND BO</t>
  </si>
  <si>
    <t>c83de83b-f852-4dd8-b493-c1ede135ffdb</t>
  </si>
  <si>
    <t>SAP LIMPIA TODO BEBÉ 4.2L 4UND BO</t>
  </si>
  <si>
    <t>10a1c949-51dc-4ac3-9322-fe683213444f</t>
  </si>
  <si>
    <t>SAP LIMPIA TODO FLORAL 4.2L 4UND BO</t>
  </si>
  <si>
    <t>0276d244-99c3-4b67-807a-4979a8704c7d</t>
  </si>
  <si>
    <t>SAP LIMPIA TODO LIMÓN 4.2L 4UND BO</t>
  </si>
  <si>
    <t>f287f6e3-cba3-4ed8-b07d-0aaae977d2da</t>
  </si>
  <si>
    <t>SAP LIMPIA TODO COCO 4.2L 4UND BO</t>
  </si>
  <si>
    <t>00aa8691-0d5e-42f6-81e4-15ca8e271046</t>
  </si>
  <si>
    <t>SAP. LIMPIA TODO AB COCO 4.2L 4UND</t>
  </si>
  <si>
    <t>b9df0bb7-1047-410c-afc1-e6ab114f8630</t>
  </si>
  <si>
    <t>SAP. LIMPIA TODO AB BEBÉ 4.2L 4UND</t>
  </si>
  <si>
    <t>93848713-ea39-4e34-bc54-132134b938ef</t>
  </si>
  <si>
    <t>SAP. LIMPIA TODO AB FLORAL 4.2L 4UND</t>
  </si>
  <si>
    <t>9828e6a7-ce0f-4220-90fb-dc52f53960f9</t>
  </si>
  <si>
    <t>SAP. LIMPIA TODO AB LAVANDA 4.2L 4UND</t>
  </si>
  <si>
    <t>c8bd1087-ea17-42b0-9d8a-a6e945523741</t>
  </si>
  <si>
    <t>JABON LIQ.LAVANDA AVAL 400ML 12UND</t>
  </si>
  <si>
    <t>2f484ee6-6fa8-42ec-abc6-aad47e907720</t>
  </si>
  <si>
    <t>JABON LIQ.P.ROSAS AVAL 400ML 12UND</t>
  </si>
  <si>
    <t>ef84130d-adba-4e74-b74a-71b2c338a2f5</t>
  </si>
  <si>
    <t>JABON LIQ.LIMON AVAL 400ML 12UND</t>
  </si>
  <si>
    <t>677d0cd2-5398-48fa-a025-eabe5515d07b</t>
  </si>
  <si>
    <t>JABON LIQ.MANZ. AVAL 400ML 12UND</t>
  </si>
  <si>
    <t>cff5b996-156b-445d-b4ae-a67a4e0b42f8</t>
  </si>
  <si>
    <t>JABON LIQ.TROPICAL AVAL 400ML 12UND EXP</t>
  </si>
  <si>
    <t>eb7456e3-2e91-45f6-916b-5a6e427935c9</t>
  </si>
  <si>
    <t>JAB.LIQ.ANTIB.FRES.EUCAL.AVAL 400ML 12UN</t>
  </si>
  <si>
    <t>e45f1748-bbc4-4461-8aed-31552aafab79</t>
  </si>
  <si>
    <t>JAB.LIQ.ANTIBA.M.VAIN.AVAL 400ML 12UN</t>
  </si>
  <si>
    <t>e87d41b8-02b3-44f1-a6ab-71b48d647b3f</t>
  </si>
  <si>
    <t>JAB.LIQ.ANTIBA.FRUT ROJ.AVAL 400ML 12UN</t>
  </si>
  <si>
    <t>275b8553-adbb-4a8f-a4de-62d2b984b6de</t>
  </si>
  <si>
    <t>JAB.LIQ.ANTIB.PAS.CITRIC.AVAL 400ML 12UN</t>
  </si>
  <si>
    <t>e9e5e93a-1495-4754-bf17-6302eb98880c</t>
  </si>
  <si>
    <t>JAB.LIQ.ANTIB.FRES.EUCALIPT.AVAL 5L 4UN</t>
  </si>
  <si>
    <t>a046f071-dc7f-4441-9464-72123531f7a4</t>
  </si>
  <si>
    <t>JAB.LIQ.ANTIB. M.VAINILLA AVAL 5L 4UND</t>
  </si>
  <si>
    <t>73e321d1-2152-4526-a6c9-7690a60c6e77</t>
  </si>
  <si>
    <t>JAB.LIQ.CLASICO LAVANDA AVAL 5L 4UND</t>
  </si>
  <si>
    <t>4726ecd0-afd8-409e-bfc4-63fb1fee0df3</t>
  </si>
  <si>
    <t>JAB.LIQ.AVAL CLASI LAV.800ML 12DPK</t>
  </si>
  <si>
    <t>b6f0293a-ed41-4ba6-8f24-00b7b0da91b1</t>
  </si>
  <si>
    <t>JAB LIQ CLASI P.ROSA AVAL 800ML 12UND</t>
  </si>
  <si>
    <t>526b49bf-a3f8-4893-8759-d1904e05f23c</t>
  </si>
  <si>
    <t>JAB LIQ CLASI F.LIMON AVAL 800ML 12UND</t>
  </si>
  <si>
    <t>c9bcb45a-d3c5-4093-95a8-33e608a849cf</t>
  </si>
  <si>
    <t>JAB LIQ ANTIB M.VAINI AVAL 800ML 12UND</t>
  </si>
  <si>
    <t>394cee7d-ff7b-4f10-95c6-72dd7a27f694</t>
  </si>
  <si>
    <t>JAB LIQ ANTIB F.ROJOS AVAL 800ML 12UND</t>
  </si>
  <si>
    <t>b594d319-ffee-4354-a939-5159664af399</t>
  </si>
  <si>
    <t>JAB LIQ ANTIB F.EUCAL AVAL 800ML 12UND</t>
  </si>
  <si>
    <t>05203b22-72d1-45d5-9ffc-477de07e6950</t>
  </si>
  <si>
    <t>JAB LIQ CLASI MANZANA AVAL 800ML 12UND</t>
  </si>
  <si>
    <t>ffedfae7-92f8-4b74-b1a8-cbf2cd02e429</t>
  </si>
  <si>
    <t>JAB LIQ ANTIB PAS CITR AVAL 800ML 12UND</t>
  </si>
  <si>
    <t>d9a5d540-c4d5-4578-a187-5554d53ffb23</t>
  </si>
  <si>
    <t>JABON LIQ. LAVANDA AVAL 1000ML 6UND</t>
  </si>
  <si>
    <t>837915ad-a40d-4662-b0b6-fbb2759328ba</t>
  </si>
  <si>
    <t>JAB.LIQ.ANTIB.FRUT.ROJ. AVAL 1000ML 6UN</t>
  </si>
  <si>
    <t>efbac051-0ee3-443e-804e-9bc1e672ad7c</t>
  </si>
  <si>
    <t>JABON LIQ.ANTIB.EUCALIP.AVAL 1000ML 6UN</t>
  </si>
  <si>
    <t>77591f7e-7729-4460-90bc-68d66dbfc2c5</t>
  </si>
  <si>
    <t>JAB.LIQ.AVAL ANTIB.AQ.MARIN 1000ML 6UND</t>
  </si>
  <si>
    <t>ffaa1680-cadc-4b4a-8ee5-2d8e4daa4a87</t>
  </si>
  <si>
    <t>JAB.LIQ.ANT.FERIA D FLOR AVAL 1000ML 6UN</t>
  </si>
  <si>
    <t>5dcfd3fa-7c3f-48dd-9d6b-082b7e5e94ba</t>
  </si>
  <si>
    <t>JAB.LIQ.ANTIBA.FRUT.ROJ AVAL 260ML 12UND</t>
  </si>
  <si>
    <t>3acb44c0-4f6e-4c68-8ba2-ce60208b5c55</t>
  </si>
  <si>
    <t>JAB.LIQ.ANTIBA.FRES.EUC AVAL 260ML 12UND</t>
  </si>
  <si>
    <t>20277175-052e-47db-a3a6-9fab8f10380c</t>
  </si>
  <si>
    <t>JAB.LIQ.AVAL ANTIBA.AQUA MAR.400ML 12FCO</t>
  </si>
  <si>
    <t>f3edd4b5-b124-4240-8455-16ff6d33cd6c</t>
  </si>
  <si>
    <t>JAB.LIQ.AVAL ANTIB.FERIA FLO.400ML 12FCO</t>
  </si>
  <si>
    <t>1dc72dee-4e2f-4d6c-8e1b-d8ad2b0cab39</t>
  </si>
  <si>
    <t>JAB.LIQ.AVAL ANTIBA.AQUA MAR.800ML 12DPK</t>
  </si>
  <si>
    <t>bbf91f59-4f4e-4627-9fff-6a9b37577476</t>
  </si>
  <si>
    <t>JAB.LIQ.AVAL ANTIB.FERIA FLO.800ML 12DPK</t>
  </si>
  <si>
    <t>f7198bd5-2777-4e3c-9f3b-7987f5b74dce</t>
  </si>
  <si>
    <t>JAB.LIQ.AVAL FRUTOS ROJOS 5L 4FCO</t>
  </si>
  <si>
    <t>03e54085-43ee-4d2e-9e9f-52c2a77bd7c9</t>
  </si>
  <si>
    <t>JAB.TOC.AB.AVAL AVENA NUTR.120GR 90UND</t>
  </si>
  <si>
    <t>ebbf0d17-33da-426c-900f-dd11f74c12dd</t>
  </si>
  <si>
    <t>JAB.TOC.AB.AVAL AVENA.NUTR.3X120GR</t>
  </si>
  <si>
    <t>22ff8516-c7f2-4c02-84ab-6472059d5720</t>
  </si>
  <si>
    <t>JAB.TOC.AB.AVAL LIMP.HIDRAT.120GR 90UND</t>
  </si>
  <si>
    <t>4fa73a99-d621-4f63-878d-dbbcd10167da</t>
  </si>
  <si>
    <t>JAB.TOC.AB.AVAL FRESCURA NAT.120GR.90UND</t>
  </si>
  <si>
    <t>1bfd5bb8-d0d0-4582-be1f-557dfedb9895</t>
  </si>
  <si>
    <t>JAB.LI.AVAL ANTIB.RIT.REFRESC.400ML 12UN</t>
  </si>
  <si>
    <t>16193cb6-a8d3-4f98-af99-030993b95d81</t>
  </si>
  <si>
    <t>JAB.LI.AVAL ANTIB.RIT.RELAJAN.400ML 12UN</t>
  </si>
  <si>
    <t>ebadadfb-ae73-4ff8-89be-a99bc3d61739</t>
  </si>
  <si>
    <t>JAB.LI.AVAL ANTIB.RIT REFRES.800ML 12DPK</t>
  </si>
  <si>
    <t>aa545597-44e3-4580-bc71-122fbdd5568a</t>
  </si>
  <si>
    <t>JAB.LI.AVAL.ANTIB.RIT.RELAJA.800ML 12DPK</t>
  </si>
  <si>
    <t>317f6078-a35d-4907-98bb-11f8e4750a77</t>
  </si>
  <si>
    <t>JAB.LI.AVAL ANTIB.FRUT.ROJOS 200ML 12UND</t>
  </si>
  <si>
    <t>31e9882b-7904-476a-8cc8-62b80021af5b</t>
  </si>
  <si>
    <t>JAB.LI.AVAL ANTB.FRESC.EUCAL.200ML 12UND</t>
  </si>
  <si>
    <t>653961fa-e3aa-40a1-862e-8c05c00562c4</t>
  </si>
  <si>
    <t>JAB.LIQ. TROPICAL AVAL 400ML 12UND NVO</t>
  </si>
  <si>
    <t>fd7819ff-ac0c-428c-9a6a-3bbb1068d8f6</t>
  </si>
  <si>
    <t>JAB.LIQ. P. ROSAS AVAL 400ML 12UND NVO</t>
  </si>
  <si>
    <t>a4490eaf-a434-4117-8b6a-dfcda7251629</t>
  </si>
  <si>
    <t>JAB.LIQ. MANZ. AVAL 400ML 12UND NVO</t>
  </si>
  <si>
    <t>2efbd0ce-8865-4ab3-8900-a3483bb2e718</t>
  </si>
  <si>
    <t>JAB.LIQ. LAVANDA AVAL 400ML 12UND NVO</t>
  </si>
  <si>
    <t>9a9dd2dc-3441-4374-944b-60eff615facc</t>
  </si>
  <si>
    <t>JAB.LIQ. LIMON AVAL 400ML 12UND NVO</t>
  </si>
  <si>
    <t>230da487-f885-4f77-bc27-6d95da42842a</t>
  </si>
  <si>
    <t>JAB.LIQ. P. ROSAS AVAL 800ML 12UND NVO</t>
  </si>
  <si>
    <t>04727d7a-26f6-458e-bf6d-8620639ce57b</t>
  </si>
  <si>
    <t>JAB.LIQ. LAVANDA AVAL 800ML 12UND NVO</t>
  </si>
  <si>
    <t>a104b9fb-57c7-4b23-a4f1-9d74d12066b6</t>
  </si>
  <si>
    <t>JAB.LIQ. F.LIMON AVAL 800ML 12UND NVO</t>
  </si>
  <si>
    <t>2a03e248-cddb-4aa5-836b-b77126bd007f</t>
  </si>
  <si>
    <t>JAB.LIQ. LAVANDA AVAL 1000ML 6UND NVO</t>
  </si>
  <si>
    <t>cd08b092-5b9c-4a61-84f3-cfbb7a1cdc2b</t>
  </si>
  <si>
    <t>JAB.LIQ. LAVANDA AVAL 5L 4UND NVO</t>
  </si>
  <si>
    <t>e5c387d4-0c0d-4354-9bad-f2f9548bc344</t>
  </si>
  <si>
    <t>JAB.LIQ.AB.FRE EUCA AVAL 400ML 12UND NVO</t>
  </si>
  <si>
    <t>7192bb57-d3f7-44ce-93d5-0e7868be7863</t>
  </si>
  <si>
    <t>JAB.LIQ.AB.M. VAIN AVAL 400ML 12UND NVO</t>
  </si>
  <si>
    <t>6810e6ac-4e97-49b1-8608-9604428ebb68</t>
  </si>
  <si>
    <t>JAB.LIQ.AB.FRUT ROJ AVAL 400ML 12UND NVO</t>
  </si>
  <si>
    <t>3f6333d4-c576-4fca-b540-ebba8398e29b</t>
  </si>
  <si>
    <t>JAB.LIQ.AB.PAS CITR AVAL 400ML 12UND NVO</t>
  </si>
  <si>
    <t>bdc48f97-5dd9-491c-bb04-5bab95236d1d</t>
  </si>
  <si>
    <t>JAB.LIQ.AB.FERI FLO AVAL 400ML 12UND NVO</t>
  </si>
  <si>
    <t>1e23a0a2-b728-4aec-8ae7-fd7985e1f070</t>
  </si>
  <si>
    <t>JAB.LIQ.AB.AQ MARIN AVAL 400ML 12UND NVO</t>
  </si>
  <si>
    <t>4397e43e-2a16-4607-9752-169514e342cd</t>
  </si>
  <si>
    <t>JAB.LIQ.AB.FRE EUCA AVAL 800ML 12UND NVO</t>
  </si>
  <si>
    <t>95ce3555-7404-4bb9-b145-0226954d4e71</t>
  </si>
  <si>
    <t>JAB.LIQ.AB.M. VAIN AVAL 800ML 12UND NVO</t>
  </si>
  <si>
    <t>7e8b5728-a7a2-4430-90f9-319c9db17358</t>
  </si>
  <si>
    <t>JAB.LIQ.AB.FRUT ROJ AVAL 800ML 12UND NVO</t>
  </si>
  <si>
    <t>b50ad581-bca0-4b16-b10e-35a217f79fb0</t>
  </si>
  <si>
    <t>JAB.LIQ.AB.PAS CITR AVAL 800ML 12UND NVO</t>
  </si>
  <si>
    <t>4aa1841e-f7b1-44cb-ac1a-5f76acea1692</t>
  </si>
  <si>
    <t>JAB.LIQ.AB.FERI FLO AVAL 800ML 12UND NVO</t>
  </si>
  <si>
    <t>157c5034-7c43-4d22-90fa-285865f0e71f</t>
  </si>
  <si>
    <t>JAB.LIQ.AB.AQ MARIN AVAL 800ML 12UND NVO</t>
  </si>
  <si>
    <t>73d21d65-79d5-4c9a-b1be-38e1d7eaacb1</t>
  </si>
  <si>
    <t>JAB.LIQ.AB.FRE EUCA AVAL 1000ML 6UND NVO</t>
  </si>
  <si>
    <t>e007f1c9-c8a2-4829-b90b-8d720768a508</t>
  </si>
  <si>
    <t>JAB.LIQ.AB.FRUT ROJ AVAL 1000ML 6UND NVO</t>
  </si>
  <si>
    <t>53903c5f-a951-4d90-9573-b8c4a6539092</t>
  </si>
  <si>
    <t>JAB.LIQ.AB.FERI FLO AVAL 1000ML 6UND NVO</t>
  </si>
  <si>
    <t>08749f21-b6b2-4b13-941f-b46521ed08a0</t>
  </si>
  <si>
    <t>JAB.LIQ.AB.AQ MARIN AVAL 1000ML 6UND NVO</t>
  </si>
  <si>
    <t>f0962ff2-57d8-4061-9cc3-aba870b35adb</t>
  </si>
  <si>
    <t>JAB.LIQ.AB.FRE EUCA AVAL 5L 4UND NVO</t>
  </si>
  <si>
    <t>3fe490eb-5f47-4f3e-9977-7f144d5208a0</t>
  </si>
  <si>
    <t>JAB.LIQ.AB.M. VAIN AVAL 5L 4UND NVO</t>
  </si>
  <si>
    <t>08a79216-625d-4cf3-b9d0-a2a4514dcd99</t>
  </si>
  <si>
    <t>JAB.LIQ.AB.FRUT ROJ AVAL 5L 4UND NVO</t>
  </si>
  <si>
    <t>8683ff13-bcfe-48f0-a388-d4ea86c3b5de</t>
  </si>
  <si>
    <t>SH. F.REFR.CAB.NORMAL GEOMEN 350ML 12UN</t>
  </si>
  <si>
    <t>3b3d41a5-5e08-42f4-93de-6392be1d5b59</t>
  </si>
  <si>
    <t>SHAMPOO GEOMEN CABELLO GRASO 350ML 12UND</t>
  </si>
  <si>
    <t>8f88dafd-1fbc-41e4-a80e-98802f31ab76</t>
  </si>
  <si>
    <t>SH. F.HIDRAT. CAB.SECO GEOMEN 350ML 12UN</t>
  </si>
  <si>
    <t>6b466913-14fe-4343-a521-d99464a7aa3a</t>
  </si>
  <si>
    <t>SHAMPOO 2EN1 GEOMEN 350ML 12UND</t>
  </si>
  <si>
    <t>d0b8d34a-3406-40bd-beb4-94677c41b936</t>
  </si>
  <si>
    <t>LACA EXTRA FIRME AVAL 300ML 12UND</t>
  </si>
  <si>
    <t>4cea2512-3349-4628-bd22-f25ed3ea892a</t>
  </si>
  <si>
    <t>LACA P/PELO FIRME AVAL 300ML 12UND</t>
  </si>
  <si>
    <t>c92725bd-82d6-4d83-b1b4-9f4f254737e4</t>
  </si>
  <si>
    <t>AVAL LACA P/PELO SUAVE SP.300ML X12</t>
  </si>
  <si>
    <t>cde5331c-483e-49c8-9b0c-9241bb7f6552</t>
  </si>
  <si>
    <t>SHAMPOO REPARADOR AMARAS 12FCO 700 ML</t>
  </si>
  <si>
    <t>782acbf4-aa7c-420c-8ecd-3cda99a48b61</t>
  </si>
  <si>
    <t>SHAMPOO REPARADOR AMARAS 12FCO 400ML</t>
  </si>
  <si>
    <t>775003d2-1ded-4230-bf0c-06e87f4c5862</t>
  </si>
  <si>
    <t>SHAMPOO REPARADOR AMARAS 10TIR12SCT35ML</t>
  </si>
  <si>
    <t>836086ae-0a29-4e93-9ccc-0261220372c0</t>
  </si>
  <si>
    <t>ACOND REPARADOR AMARAS 12FCO 475 ML</t>
  </si>
  <si>
    <t>bde7a0f4-e374-4219-a29e-08941b1ea228</t>
  </si>
  <si>
    <t>SHAMP22ML+ ACO10ML REPARA AMARAS 10X12</t>
  </si>
  <si>
    <t>313ad1e6-e92d-419a-8359-2e223fa9e069</t>
  </si>
  <si>
    <t>SHAMPOO SIN SULF AMARAS 12FCO 700 ML</t>
  </si>
  <si>
    <t>b019bb93-3ad5-4fbd-beac-feda5fc016ef</t>
  </si>
  <si>
    <t>SHAMPOO SIN SULF AMARAS 12FCO 400 ML</t>
  </si>
  <si>
    <t>6ac85a53-c2a7-42ae-aab0-d66b6266ac3a</t>
  </si>
  <si>
    <t>ACOND HIDRATANTE AMARAS 12FCO 475ML</t>
  </si>
  <si>
    <t>fbe807ac-0d08-472d-a334-b41ec1e33eca</t>
  </si>
  <si>
    <t>ACONDICIONADOR AMARAS RIZOS 260 ML</t>
  </si>
  <si>
    <t>a57de426-5607-4414-9cab-7244dffb4ce2</t>
  </si>
  <si>
    <t>CREMA DE PEINAR AMARAS RIZOS 12FCO 300ML</t>
  </si>
  <si>
    <t>d1b0743e-0f75-4e31-84dd-22db54fe029b</t>
  </si>
  <si>
    <t>CREMA PEINAR AMARAS RIZOS 12FCO 120 ML</t>
  </si>
  <si>
    <t>731afd95-1277-4cdc-9155-4a28ae23815c</t>
  </si>
  <si>
    <t>CREMA PEINAR RIZOS AMARAS 10X12X25ML</t>
  </si>
  <si>
    <t>cf5d9429-6172-4401-8125-5e4df3b19c38</t>
  </si>
  <si>
    <t>SHAMP 22ML+CREMA 10ML RIZOS AMARAS 10X12</t>
  </si>
  <si>
    <t>55a7e081-6e80-4538-ae14-3be67b438871</t>
  </si>
  <si>
    <t>TRATAMIENTO REPARADOR AMARAS 12FCO 300ML</t>
  </si>
  <si>
    <t>4d7e171e-99aa-40f3-bd8f-1fb387a47917</t>
  </si>
  <si>
    <t>TRATAMIENTO REPARADOR AMARAS 10X12X30ML</t>
  </si>
  <si>
    <t>b9c7d95a-376b-4bdd-af91-0d37cb325338</t>
  </si>
  <si>
    <t>OLEO REPARA PUNTAS AMARAS 12FCO 60ML</t>
  </si>
  <si>
    <t>2b8d3657-0a91-4a99-8295-36be25211cc6</t>
  </si>
  <si>
    <t>TTO PURIFICADOR BCLIMA AMARAS 12FCO300ML</t>
  </si>
  <si>
    <t>0c637666-9c47-44f5-907c-49f24aeb068c</t>
  </si>
  <si>
    <t>SERUM ANTIFRIZZ AMARAS 12FCO 120ML</t>
  </si>
  <si>
    <t>0281fd07-29c8-4171-837d-71db2d639c6f</t>
  </si>
  <si>
    <t>SHAMPOO CTRL HUMEDAD AMARAS 12FCO 700ML</t>
  </si>
  <si>
    <t>d2ec5020-4cc1-447f-a999-1fffaf3809a3</t>
  </si>
  <si>
    <t>SHAMPOO CTRL HUMEDAD AMARAS 12FCO 400ML</t>
  </si>
  <si>
    <t>6529ebb5-9dd6-4982-ad1a-eb0cb2fa5385</t>
  </si>
  <si>
    <t>SHAMPOO CTRL HUMEDAD AMARAS 10X12X35ML</t>
  </si>
  <si>
    <t>73f2db06-3831-461d-adf2-6b752bca773d</t>
  </si>
  <si>
    <t>ACOND CTRL HUMEDAD AMARAS 12FCO 475ML</t>
  </si>
  <si>
    <t>8aafb685-bb73-41f2-9055-df527b09b3d0</t>
  </si>
  <si>
    <t>SHAMP 22ML+ACO 10ML CTRL HUMED AMARAS</t>
  </si>
  <si>
    <t>fd2b2a5d-be46-4e95-a662-df9d51d9bb91</t>
  </si>
  <si>
    <t>ACOND REPARADOR AMARAS 12TUB 260 ML</t>
  </si>
  <si>
    <t>1a9c63a5-f395-40c5-9e9f-87349d20a618</t>
  </si>
  <si>
    <t>ACOND CTRL HUMEDAD AMARAS 12TUB 260ML</t>
  </si>
  <si>
    <t>73b448db-d474-4285-984a-69fbe3af69e5</t>
  </si>
  <si>
    <t>TRATAMIENTO AMARAS REPARA 30ML SAMPL</t>
  </si>
  <si>
    <t>15c222ca-41d8-41d7-bc7b-6d026d486d04</t>
  </si>
  <si>
    <t>SHAMPOO MAGIA ANDINA AMARAS 12FCO 700 ML</t>
  </si>
  <si>
    <t>b0b1117a-0834-4c3a-aefb-1792fd3d0f43</t>
  </si>
  <si>
    <t>SHAMPOO MAGIA ANDINA AMARAS 12FCO 400ML</t>
  </si>
  <si>
    <t>5ee00ed8-469a-44ab-98d1-92ed546acf50</t>
  </si>
  <si>
    <t>SHAMPOO MAGIA AND AMARAS 10TIR12SCT35ML</t>
  </si>
  <si>
    <t>aa30322d-77a0-4b93-bdd0-9fb907eccf2d</t>
  </si>
  <si>
    <t>TRATAMIENTO MAGIA AND AMARAS 12FCO 300ML</t>
  </si>
  <si>
    <t>b59775be-35c5-4230-83d4-9d64bb87cc92</t>
  </si>
  <si>
    <t>ACONDICIONADOR MAGIA AND AMARAS 12X260ML</t>
  </si>
  <si>
    <t>38b19289-5feb-4f3d-80e8-c60a6f9a4b4e</t>
  </si>
  <si>
    <t>ACONDIC MAGIA ANDINA AMARAS 12FCO 475ML</t>
  </si>
  <si>
    <t>592b58a2-ea96-49f7-930d-ccb4807127f6</t>
  </si>
  <si>
    <t>TRATAMIENTO MAGIA ANDI AMARAS 10X12X30ML</t>
  </si>
  <si>
    <t>d030549d-eb90-4dc1-9395-c16f345181db</t>
  </si>
  <si>
    <t>SHAMP 22ML+ACO 10ML MAGIA AND AMARAS</t>
  </si>
  <si>
    <t>26b6eb41-f0e0-465b-b950-35c7c0f189cb</t>
  </si>
  <si>
    <t>TRAT AMPOLLETA MAGIA AMARAS 12TBO 90ML</t>
  </si>
  <si>
    <t>00f9454f-8dda-43b3-8996-426af5f47867</t>
  </si>
  <si>
    <t>CREMA PEINAR ONDA AMARAS RIZOS 12FC300ML</t>
  </si>
  <si>
    <t>e6816b45-a716-40ba-966f-43e5de7c0c0e</t>
  </si>
  <si>
    <t>TRATAMIENTO AMARAS RIZOS 12FCO 300ML</t>
  </si>
  <si>
    <t>d807959d-2781-475e-bf5b-712ae1c4fa89</t>
  </si>
  <si>
    <t>CO-WASH AMARAS RIZOS 12FC400ML</t>
  </si>
  <si>
    <t>5eb717e6-4441-4fef-a2b2-fd93f8e9b989</t>
  </si>
  <si>
    <t>OLEO VERANO AMARAS 12FCO 60ML</t>
  </si>
  <si>
    <t>91c7a13b-82a1-4a42-8415-a722c3844c96</t>
  </si>
  <si>
    <t>TRATAMIENTO VERANO AMARAS 12FCO 300ML</t>
  </si>
  <si>
    <t>e7d15c79-c5b6-4451-bec6-253864fcfe31</t>
  </si>
  <si>
    <t>SHAMP22ML+ ACO10ML VERANO AMARAS 10X12</t>
  </si>
  <si>
    <t>32373e3e-c3e2-475f-ab36-6ebb4d98ab1d</t>
  </si>
  <si>
    <t>SPRAY 5 EN 1 AMARAS VERANO 12 FCOX120ML</t>
  </si>
  <si>
    <t>bc7560d4-1cc7-4b35-a184-aad04835ca0a</t>
  </si>
  <si>
    <t>ACONDICIONADOR AMARAS VERANO 12 FCO260ML</t>
  </si>
  <si>
    <t>6bf09fc1-df1f-4eb4-9a85-6f8427569f3c</t>
  </si>
  <si>
    <t>SHAMPOO AMARAS VERANO 12 FCO400ML</t>
  </si>
  <si>
    <t>c080f4ac-d28e-4972-9fe1-2c6a312500cf</t>
  </si>
  <si>
    <t>NU SHAMP20ML + ACO10ML VER AMARAS 10X12</t>
  </si>
  <si>
    <t>575247a3-35e8-4424-a13c-72e631d5e5fb</t>
  </si>
  <si>
    <t>SERUM AMARAS RAICES Y PUNTAS 12FCO 60ML</t>
  </si>
  <si>
    <t>6b6952ba-c034-45cd-80a7-b3d47d9c65b6</t>
  </si>
  <si>
    <t>ACONDI AMARAS RAICES Y PUNTAS 12TUB260ML</t>
  </si>
  <si>
    <t>7ebfd772-6e55-4c13-b8ce-19679b1e43a1</t>
  </si>
  <si>
    <t>SHAMP. AMARAS RAICES Y PUNTAS 12FCO400ML</t>
  </si>
  <si>
    <t>d740a277-8455-48be-b765-2da55d2f84e4</t>
  </si>
  <si>
    <t>SHAMP. AMARAS RAICES Y PUNTAS 12FCO700ML</t>
  </si>
  <si>
    <t>dee90828-198e-4fb2-b89f-0cae7d33b2a1</t>
  </si>
  <si>
    <t>SHAMP. SACHETON AMARAS R Y P 10X12X40ML</t>
  </si>
  <si>
    <t>fff99879-46c7-43cd-aa05-49b5aea300b8</t>
  </si>
  <si>
    <t>ACONDI AMARAS RAICES Y PUNTAS 12FCO475ML</t>
  </si>
  <si>
    <t>93e633a0-31bd-495f-a770-4819faad607f</t>
  </si>
  <si>
    <t>PRE SHAMPOO AMARAS RYP 12FCO 300ML</t>
  </si>
  <si>
    <t>fb014f49-633a-47c5-a4dd-d9df10bce42e</t>
  </si>
  <si>
    <t>NUEVO SHAMPOO AMARAS VERANO 12 FCO400ML</t>
  </si>
  <si>
    <t>78a7efac-2bbd-4d9a-8239-9098b86a8867</t>
  </si>
  <si>
    <t>NUEVO OLEO VERANO AMARAS 12 FCO 60ML</t>
  </si>
  <si>
    <t>68f9b3a8-dc7a-430d-8ca2-3cbfe131df45</t>
  </si>
  <si>
    <t>NUEVO ACONDICI AMARAS VERANO 12 FCO260ML</t>
  </si>
  <si>
    <t>318af2c3-6bd7-4ab8-9ff0-943b4950795a</t>
  </si>
  <si>
    <t>NUE SPRAY 5 EN 1 AMAR VERAN 12 FCOX120ML</t>
  </si>
  <si>
    <t>2ef2e834-1780-4e65-a049-4ba690dccbb2</t>
  </si>
  <si>
    <t>NUE TRATAMIENT VERANO AMARAS 12FCO 300ML</t>
  </si>
  <si>
    <t>cd71ce6a-4e05-4806-b09e-b65bf41727da</t>
  </si>
  <si>
    <t>N.CREMA PEINAR RIZOS AMARAS 10X12X25ML</t>
  </si>
  <si>
    <t>d07e5dd8-c9c4-4574-8297-9aa8f48c0066</t>
  </si>
  <si>
    <t>N.SHAMP 20ML+CREM10ML RIZOS AMARAS10X12</t>
  </si>
  <si>
    <t>31bc1604-3d1c-4b37-869f-b608fea84a97</t>
  </si>
  <si>
    <t>N.SHAMP20ML+ ACO10ML REPAR AMARAS 10X12</t>
  </si>
  <si>
    <t>cc7d481e-c38b-46e4-9c23-18f2a3ee7e0b</t>
  </si>
  <si>
    <t>N.SHAMP 20ML+ACO 10ML MAGIA AND AMARAS</t>
  </si>
  <si>
    <t>ac64073c-cc1e-46e1-b3d0-87ef0e43f2b9</t>
  </si>
  <si>
    <t>SHAMP. SACHETON AMARAS REPARA 10X12X40ML</t>
  </si>
  <si>
    <t>cde5a622-9527-4826-a82a-ece771c78573</t>
  </si>
  <si>
    <t>SH. SACHETON AMARAS MAGIA ANDIN 10X12X40</t>
  </si>
  <si>
    <t>479fcf45-c714-4fe3-80aa-d780497d8487</t>
  </si>
  <si>
    <t>CREMA PEINAR AMARAS LARGO 12FCO300ML</t>
  </si>
  <si>
    <t>44b33082-edfc-4669-b709-d338dd3ea893</t>
  </si>
  <si>
    <t>ACONDI AMARAS LARGO 12FCO475ML</t>
  </si>
  <si>
    <t>1e9fdde6-7d3e-4d3c-825f-4d4c2244d313</t>
  </si>
  <si>
    <t>SHAMPOO AMARAS LARGO 12FCO700ML</t>
  </si>
  <si>
    <t>484a2251-e791-44f1-bab5-311a5f7e82c4</t>
  </si>
  <si>
    <t>SHAMPOO AMARAS LARGO 12FCO400ML</t>
  </si>
  <si>
    <t>ba2e8580-cb52-421b-9174-ea58430a2fe3</t>
  </si>
  <si>
    <t>MASCARILLA AMARAS LARGO 12FCO300ML</t>
  </si>
  <si>
    <t>1f62757d-8a22-4074-a333-e5a1a7cc2272</t>
  </si>
  <si>
    <t>ACONDI AMARAS LARGO 12FCO260ML</t>
  </si>
  <si>
    <t>8167d05c-5af1-4f33-a3bd-97554389fbbb</t>
  </si>
  <si>
    <t>SHAMPOO REPARADOR AMARAS 12FCO 380ML</t>
  </si>
  <si>
    <t>69546855-a210-4333-9430-4517f562e0f1</t>
  </si>
  <si>
    <t>ACOND. MAGIA ANDINA 1L X 12FCO CAJA</t>
  </si>
  <si>
    <t>6eae9076-e659-43ab-b087-c0763e3ea899</t>
  </si>
  <si>
    <t>SHAMPOO MAGIA ANDINA 1L X 12FCO CAJA</t>
  </si>
  <si>
    <t>7f7a1d0c-e053-43e8-85c1-11f5e3e1c366</t>
  </si>
  <si>
    <t>ACOND. REPARACIÓN DIV. 1L X 12FCO CAJA</t>
  </si>
  <si>
    <t>767fc1c9-0292-4736-b9c0-6f1881587209</t>
  </si>
  <si>
    <t>SH. REPARACIÓN DIVINA. 1L X 12FCO CAJA</t>
  </si>
  <si>
    <t>0c7efa59-b06a-417a-bb5a-ed82a726543d</t>
  </si>
  <si>
    <t>SHAMPOO AMARAS VERANO ADV 12 X 400ML</t>
  </si>
  <si>
    <t>9f78baa1-9cc2-4323-a3ab-ec72f08bac8b</t>
  </si>
  <si>
    <t>ACONDICIONADOR AMARAS VERANO ADV 12X260</t>
  </si>
  <si>
    <t>1a72b596-4824-47a1-9e37-53424f966f67</t>
  </si>
  <si>
    <t>MASCARILLA AMARAS VERANO ADV 6 X 300ML</t>
  </si>
  <si>
    <t>4646bd7d-05ec-4285-b723-3faf3003317e</t>
  </si>
  <si>
    <t>OLEO AMARAS VERANO ADV 6 X60ML</t>
  </si>
  <si>
    <t>08184733-b5a2-4489-89b5-57c7581017f1</t>
  </si>
  <si>
    <t>SPRAY AMARAS VERANO ADV 6 X 120ML</t>
  </si>
  <si>
    <t>feff176c-d834-4bba-b0fd-8f1de866e67e</t>
  </si>
  <si>
    <t>PERFUME AMARAS VERANO ADV 6 X 50ML</t>
  </si>
  <si>
    <t>c0f2f1c8-3751-4118-9de5-019a657721b6</t>
  </si>
  <si>
    <t>DEOCOLOGNE SPORT AVAL 160ML 12UND</t>
  </si>
  <si>
    <t>d58664c2-1abc-4d9d-b6aa-c0c5c79ff5e5</t>
  </si>
  <si>
    <t>DEO XTREME MISTERIO AVAL 160ML 12UND</t>
  </si>
  <si>
    <t>6ac9dc7e-3dc8-49b5-909a-d3f1cc05ae6f</t>
  </si>
  <si>
    <t>DEO XTREME ROMANCE AVAL 160ML 12UND</t>
  </si>
  <si>
    <t>5d412c30-f62b-404d-a572-6f5db146df01</t>
  </si>
  <si>
    <t>AVAL DEO XTREME SEXY SP.160ML X12</t>
  </si>
  <si>
    <t>9b56248d-8298-4dd1-9c5c-527b64dd76ef</t>
  </si>
  <si>
    <t>DEOCOL.XTREME AVAL SPORT 150ML 12UND</t>
  </si>
  <si>
    <t>96d47719-9214-4020-bfd0-75380dc708b1</t>
  </si>
  <si>
    <t>DEOCOL.XTREME AVAL ELEGANT 150ML 12UND</t>
  </si>
  <si>
    <t>f238ae8a-df95-4893-8588-0209ab26b367</t>
  </si>
  <si>
    <t>DEOCOL.XTREME AVAL MISTERIO 150ML 12UND</t>
  </si>
  <si>
    <t>b42b873a-ba3a-4962-8786-0530855222cb</t>
  </si>
  <si>
    <t>DEOCOL.XTREME AVAL ROMANCE 150ML 12UND</t>
  </si>
  <si>
    <t>083abbfe-d321-4a38-89f8-9bb56569c7e1</t>
  </si>
  <si>
    <t>DEOCOL.XTREME AVAL FANTASY 150ML 12UND</t>
  </si>
  <si>
    <t>b7f131e7-a60c-4586-a60b-e9422bdd12a3</t>
  </si>
  <si>
    <t>DEOCOL.XTREME AVAL SENSUAL 150ML 12UND</t>
  </si>
  <si>
    <t>01997e60-e206-4b3b-b198-fe164a79692e</t>
  </si>
  <si>
    <t>DEOCOL.XTREME AVAL SEXY 150ML 12UND</t>
  </si>
  <si>
    <t>a59a2df5-cbee-475d-b27a-173fc6473566</t>
  </si>
  <si>
    <t>DEOCOL.XTREME AVAL COOL 150ML 12UND</t>
  </si>
  <si>
    <t>422f1189-4c8e-4c2a-ab8d-63b05f7b404d</t>
  </si>
  <si>
    <t>INSEC.MATACUCARACHA SAPOLIO 360ML 12UND</t>
  </si>
  <si>
    <t>d50c6fb5-7b0e-4bd1-83b0-1afe7c052ca6</t>
  </si>
  <si>
    <t>INSEC.MATAMOSCA SAPOLIO 360ML 12UND</t>
  </si>
  <si>
    <t>d70ed84b-bdb3-4071-9714-a265eeaa5895</t>
  </si>
  <si>
    <t>INSEC.CASA&amp;JARDIN SAPOLIO 360ML 12UND</t>
  </si>
  <si>
    <t>da5edd34-4a03-49c8-baeb-e03d7e707592</t>
  </si>
  <si>
    <t>INSEC.MATAPULGAS SAPOLIO 360ML 12UND</t>
  </si>
  <si>
    <t>20c3fd83-88c3-49eb-b753-a4bd7e5d8739</t>
  </si>
  <si>
    <t>INSEC.MATAPOLILLAS SAPOLIO 360ML 12UND</t>
  </si>
  <si>
    <t>f5a1eff2-1549-40f6-8ce0-1090cf460fa0</t>
  </si>
  <si>
    <t>INSEC.MATATERMITAS SAPOLIO 360ML 12UND</t>
  </si>
  <si>
    <t>b14b71f9-19cb-47ee-ae66-ed03637e39af</t>
  </si>
  <si>
    <t>INSEC.MATAARAÑAS SAPOLIO 360ML 12UND</t>
  </si>
  <si>
    <t>9a59a119-b2ba-4618-a791-809f62874bce</t>
  </si>
  <si>
    <t>INSEC.MATAACAROS SAPOLIO 360ML 12UND</t>
  </si>
  <si>
    <t>0a1403e5-81ef-453f-8237-75fa243c6548</t>
  </si>
  <si>
    <t>INSEC.MATATODO CONTROL 360ML 12UND</t>
  </si>
  <si>
    <t>8c239cbe-b255-45c8-a7b2-afc479c0eb75</t>
  </si>
  <si>
    <t>ELEC.ZANCUDOS PASTILLA SAPOLIO 12UND</t>
  </si>
  <si>
    <t>afbcc9e6-da18-4086-830d-914b36e09ecb</t>
  </si>
  <si>
    <t>ELEC.ZANCU.EMANADR+PAST+LIQ SAP.40ML 6UN</t>
  </si>
  <si>
    <t>5713b472-40bb-4864-b30a-6c2ae9c81b8f</t>
  </si>
  <si>
    <t>ELEC.ZANCUDOS LIQ.RPTO SAPOLIO 40ML 12UN</t>
  </si>
  <si>
    <t>42aff8ee-77fa-464e-ab4d-b3ba2ee3739e</t>
  </si>
  <si>
    <t>ELEC.ZANCUDOS EMANADOR+PASTILLA SAP.6UN</t>
  </si>
  <si>
    <t>c81f216d-044c-45e6-b295-287ab072f318</t>
  </si>
  <si>
    <t>INSEC.MATATODO SAPOLIO 360ML 12UND</t>
  </si>
  <si>
    <t>aa8d58df-12c6-41d4-9d2a-2160ad3ea7d4</t>
  </si>
  <si>
    <t>INSEC.SAP.MATA PULGAS SP.360ML.12UND ECU</t>
  </si>
  <si>
    <t>48e40427-7edb-43e5-8ea7-4afc34a62e9c</t>
  </si>
  <si>
    <t>INSEC.SAP.MAT.CUCARA. SP.360ML.12UND ECU</t>
  </si>
  <si>
    <t>49b19d59-97b5-4edb-b0c0-a73dab8deb9f</t>
  </si>
  <si>
    <t>INSEC.SAP.MATA MOSCA SP.360ML.12UND ECU</t>
  </si>
  <si>
    <t>43fb47ba-4b64-4308-bf34-e834d109400f</t>
  </si>
  <si>
    <t>INSEC.SAP.CASA&amp;JARDIN SP.360ML.12UND ECU</t>
  </si>
  <si>
    <t>c2ed297e-ee89-4d4b-8df7-a28330654235</t>
  </si>
  <si>
    <t>INSEC.SAP.CUCARA.OMS IV SP.360ML.12UND</t>
  </si>
  <si>
    <t>8647e33e-7d0b-4be1-ac27-d91c060fb85a</t>
  </si>
  <si>
    <t>INSEC.SAP.MOSCAS OMS IV SP.360ML.12UND</t>
  </si>
  <si>
    <t>7f5a4251-9311-40a5-ab67-50e45cb93968</t>
  </si>
  <si>
    <t>INSEC.SAP.MATATODO OMS IV SP.360ML.12UND</t>
  </si>
  <si>
    <t>e3939584-7b51-47e4-8924-12412b9d21b0</t>
  </si>
  <si>
    <t>INSEC.SAP.CASA&amp;JARD.OMS IV SP.360ML.12UN</t>
  </si>
  <si>
    <t>bdc5834d-d578-42ea-a0df-d3aca80a8c7a</t>
  </si>
  <si>
    <t>INSEC.SAPOL.CUCARA+MOSCA</t>
  </si>
  <si>
    <t>4c901bd4-fe95-4e5d-b306-f7fa19533671</t>
  </si>
  <si>
    <t>INSEC.CASA&amp;JARDIN SAPOLIO 2A 360ML 12UND</t>
  </si>
  <si>
    <t>1dd04a71-49eb-42db-81df-2a524293b313</t>
  </si>
  <si>
    <t>INSEC.MATAACAROS SAPOLIO 2A 360ML 12UND</t>
  </si>
  <si>
    <t>cde04d37-7bd7-4235-a6f0-40c8416334c0</t>
  </si>
  <si>
    <t>INSEC.SAPOL.MATAMOSCAS 360MLX2 6PCK</t>
  </si>
  <si>
    <t>PCK</t>
  </si>
  <si>
    <t>bfc7acc6-67aa-4bcd-8b1c-93c769d93950</t>
  </si>
  <si>
    <t>INSEC.SAP.MATA ACAROS SP.360ML.12UND ECU</t>
  </si>
  <si>
    <t>c7180731-1e6a-4ad5-be54-cf1eaae9f68c</t>
  </si>
  <si>
    <t>INSEC. SAP. MATA CUC&amp;HORM 360ML 12UND</t>
  </si>
  <si>
    <t>b83a097a-9218-4355-bb9f-0483a02339c1</t>
  </si>
  <si>
    <t>INSEC. SAP. MATA MOS Y ZANC 360ML 12UND</t>
  </si>
  <si>
    <t>1200a7a7-86f5-4715-adc0-9cbc1e55cb9a</t>
  </si>
  <si>
    <t>INSE. SAP. MAT MOS Y ZANC BO 360ML 12UND</t>
  </si>
  <si>
    <t>1f6eb41a-b48a-46c8-ae72-e8782bee1dd0</t>
  </si>
  <si>
    <t>INSE.SAP.MOSC.360ML+ DETERG 200G 6PCK</t>
  </si>
  <si>
    <t>f1de2dd2-6fb6-4430-b37b-25af013aaef1</t>
  </si>
  <si>
    <t>ELEC.ZANCUDOS PASTILLA SAPOLIO 2A 12UND</t>
  </si>
  <si>
    <t>34053edc-6a89-4730-9f7a-280587c93af3</t>
  </si>
  <si>
    <t>ELEC.ZANCUD LIQ.RPTO SAP 40ML 2A 12UN</t>
  </si>
  <si>
    <t>374b1b14-6cb2-4a02-bd9c-2de59136628e</t>
  </si>
  <si>
    <t>ELEC.ZANC EMANADOR+6UN PASTILLA SAP. 2A</t>
  </si>
  <si>
    <t>2328a333-12db-437c-916c-becf39d80747</t>
  </si>
  <si>
    <t>ELEC.ZANC.EMAN+6UN PAST+LIQ SAP.40ML 2A</t>
  </si>
  <si>
    <t>b91bffee-cb91-4615-bc63-3fba887e7d05</t>
  </si>
  <si>
    <t>INSEC.MATATERMITAS SAPOLIO 2A 360ML 12UN</t>
  </si>
  <si>
    <t>8cb24c02-cae2-4520-8765-21dd95d2af33</t>
  </si>
  <si>
    <t>INSEC.MATAARAÑAS SAPOLIO 2A 360ML 12UND</t>
  </si>
  <si>
    <t>93245bcf-af71-49e5-bb31-76b3d17ef92c</t>
  </si>
  <si>
    <t>INSEC.MATATODO SAPOLIO 2A 360ML 12UND</t>
  </si>
  <si>
    <t>8818eefb-c8a9-4dab-8bde-b134137dea17</t>
  </si>
  <si>
    <t>INSEC.MATATODO CONTROL 2A 360ML 12UND</t>
  </si>
  <si>
    <t>abc9dfe8-329d-4a69-9991-07761895ea3a</t>
  </si>
  <si>
    <t>INSEC.MATAPULGAS SAPOLIO 2A 360ML 12UND</t>
  </si>
  <si>
    <t>3079bb91-81fc-4de7-b5d1-67371263eed8</t>
  </si>
  <si>
    <t>INSEC.MATAPOLILLAS SAPOLIO 2A 360ML 12UN</t>
  </si>
  <si>
    <t>79edb2fb-741a-4602-8fb6-ef8271cd32df</t>
  </si>
  <si>
    <t>INSE.SAP.CUCAR360ML+200G CITRUS 6PCK</t>
  </si>
  <si>
    <t>a5d8be0c-f017-4ac2-8ebb-011b2e347b5e</t>
  </si>
  <si>
    <t>INSECT. MATAARAÑAS SAPOL.2ARE 360ML 12UN</t>
  </si>
  <si>
    <t>75e4e07c-9693-4240-8905-5e5d99b1b245</t>
  </si>
  <si>
    <t>ELEC.ZANC.EMAN+6UN PAST+LIQ SAP.40ML2ARE</t>
  </si>
  <si>
    <t>63fd0878-3d46-4807-a686-2ee0c3b17496</t>
  </si>
  <si>
    <t>ELEC.ZANC EMANADOR+6UN PASTILLA SAP.2ARE</t>
  </si>
  <si>
    <t>f0699d5e-32aa-479e-a983-e58ccaed9f35</t>
  </si>
  <si>
    <t>ELEC.ZANCUD LIQ.RPTO SAP 40ML 2ARE 12UN</t>
  </si>
  <si>
    <t>d0fd410e-fcdf-4506-8220-7b5f7d8a2c60</t>
  </si>
  <si>
    <t>ELEC.ZANCUDOS PASTILLA SAPOLIO 2ARE 12UN</t>
  </si>
  <si>
    <t>fa9f4c87-e05a-4188-8a97-9b68bae3a559</t>
  </si>
  <si>
    <t>INSEC.SAP.M.CUCARACHA.NVO.360ML.12UN ECU</t>
  </si>
  <si>
    <t>bcdbe967-5067-4def-aeab-d21b59bbd566</t>
  </si>
  <si>
    <t>INSEC.SAP.M.MOSCAS.NVO.SP.360ML.12UN ECU</t>
  </si>
  <si>
    <t>65699ecb-ffdf-4810-a064-74fda5149a3b</t>
  </si>
  <si>
    <t>INSEC.SAP.M.PULGAS.NVO.SP.360ML.12UN ECU</t>
  </si>
  <si>
    <t>06ddff37-29cb-4853-8d4b-e10a4cb0a7c8</t>
  </si>
  <si>
    <t>INSEC.SAP.CASA&amp;JARDÍN.NVO.360ML.12UN ECU</t>
  </si>
  <si>
    <t>182db4ca-74c7-43ae-89ea-025e99ea4060</t>
  </si>
  <si>
    <t>INSEC.SAP.M.ÁCAROS.NVO.SP.360ML.12UN ECU</t>
  </si>
  <si>
    <t>172be7a9-6182-41a6-8197-7a0464cfd24a</t>
  </si>
  <si>
    <t>INS SAP MAT CUCARACHA 230ML 12UN MAQ-ECU</t>
  </si>
  <si>
    <t>534c3b8b-5281-4357-ae34-a042cc6a8aba</t>
  </si>
  <si>
    <t>INSEC SAP MATA MOSCAS 230ML 12UN MAQ-ECU</t>
  </si>
  <si>
    <t>ce752ba6-f7e6-4ddb-b95b-8bba25aa9c9d</t>
  </si>
  <si>
    <t>INSECT MATA CUCARACHAS SAP.RE 360ML 12UN</t>
  </si>
  <si>
    <t>64ec37f8-d806-4942-8051-8493db3246d4</t>
  </si>
  <si>
    <t>INSECT. MATA TODO CONTROL RE 360ML12UN</t>
  </si>
  <si>
    <t>cb72df4d-622a-4586-97c9-91c4e2609c7a</t>
  </si>
  <si>
    <t>INSEC. MATA ACAROS SAPOLIO RE 360ML 12UN</t>
  </si>
  <si>
    <t>12fedf3b-ad1f-4a02-90da-99ca745b568b</t>
  </si>
  <si>
    <t>INSEC MATA POLILLAS SAPOLIO RE 360ML12UN</t>
  </si>
  <si>
    <t>20ce5eca-6dc1-404e-b43e-2e289a0df5a4</t>
  </si>
  <si>
    <t>INSEC MATA TERMITAS SAPOLIO RE 360ML12UN</t>
  </si>
  <si>
    <t>439dd386-3bd7-4077-99ae-d7eb692c247f</t>
  </si>
  <si>
    <t>INS. SAPOLIO CASA &amp; JARDÍN COL 360ML12UN</t>
  </si>
  <si>
    <t>af1f1ebd-6ae7-4cf8-b159-8c5fc5531e5f</t>
  </si>
  <si>
    <t>INSEC SAP. MATA CUCARACHAS COL 360ML12UN</t>
  </si>
  <si>
    <t>6e163f5f-b37a-4dd8-b4d8-2ff5e82b9144</t>
  </si>
  <si>
    <t>INS SAP M MOSCAS Y ZANCUDO COL 360ML12UN</t>
  </si>
  <si>
    <t>ca915fc9-52db-4db6-836f-3e5f35016180</t>
  </si>
  <si>
    <t>INSEC CASA &amp; JARDÍN SAPOLIO RE 360ML12U</t>
  </si>
  <si>
    <t>99697324-67e3-4a50-8c5d-a28addbe3ed9</t>
  </si>
  <si>
    <t>DENTAL POLAR ICE 60ML.24UND</t>
  </si>
  <si>
    <t>e7c1817b-6b1d-4b94-9799-461c95ededf9</t>
  </si>
  <si>
    <t>GEL DENTITO CHICHA MORADA 85GR 12UN12PCK</t>
  </si>
  <si>
    <t>811db99f-f7fa-46bc-abb6-64a780f0c845</t>
  </si>
  <si>
    <t>CR.DENTO HERBAL 180G + CEPILLO 6UND 8PCK</t>
  </si>
  <si>
    <t>bcf7c298-6a03-42d6-8a4e-d0877314ad36</t>
  </si>
  <si>
    <t>CR.DENTO T.ACC.150ML + CEPILLO 6UND 8PCK</t>
  </si>
  <si>
    <t>a77ad15f-f6f1-4f46-bb36-a34b46800682</t>
  </si>
  <si>
    <t>CREMA DENTAL POLAR ICE 150ML 6UND 6PCK</t>
  </si>
  <si>
    <t>82467889-7b0c-4ade-8de1-41ea2364a943</t>
  </si>
  <si>
    <t>CR.DENTO MENTA 150ML+CEP GRAT.6UND 8PCK</t>
  </si>
  <si>
    <t>48648807-46af-4e9c-8c01-e5b530a9fa09</t>
  </si>
  <si>
    <t>CR.DENTO MAXIMA BLANCURA 75ML 6UND 4PCK</t>
  </si>
  <si>
    <t>3ba01757-34d3-4312-ab9e-b95882710dbd</t>
  </si>
  <si>
    <t>CR.DENTO MAXI.BLANCURA BIPACK 75ML 12PCK</t>
  </si>
  <si>
    <t>da67b772-5864-4b84-b8bb-74ebbbabb17f</t>
  </si>
  <si>
    <t>CR.DENTO BLANCURA NATUR.75ML 12UND 12PCK</t>
  </si>
  <si>
    <t>f39ee3fa-4d75-4878-9842-5fedd4f85884</t>
  </si>
  <si>
    <t>CR.DENTO BLANCURA NATU.TRIPACK 75ML24PCK</t>
  </si>
  <si>
    <t>84b8cebc-d011-4673-b6d6-eb11012e967c</t>
  </si>
  <si>
    <t>CR.DENTO BLANCURA NATU.SIXPACK 75ML12PCK</t>
  </si>
  <si>
    <t>71f13b3f-5d00-49b0-b9ca-aa01fb16a9a8</t>
  </si>
  <si>
    <t>CR.DENTO TOTAL TRIPACK 75ML 8PCK</t>
  </si>
  <si>
    <t>663ee6e9-e1c9-4394-99e9-7f24e7bc20b2</t>
  </si>
  <si>
    <t>CR.DENTO TOTAL 75ML 6UND 4PCK</t>
  </si>
  <si>
    <t>c3f2bc97-38c3-41c4-85e0-4b3e947ad8b8</t>
  </si>
  <si>
    <t>CR.DENTO MENTA TRIPACK 80GR 24PCK</t>
  </si>
  <si>
    <t>04a1fc3d-3908-4a50-8d30-ee30874dfed0</t>
  </si>
  <si>
    <t>CR.DENTO MENTA SIXPACK 80GR 12PCK.</t>
  </si>
  <si>
    <t>d75ef66d-3d9c-4d2d-b5a3-45466cf8a0d7</t>
  </si>
  <si>
    <t>CR.DENTO MENTA 80GR 6UND 24PCK</t>
  </si>
  <si>
    <t>9c32b43d-5961-48f9-8b1f-1ff40c1f8fee</t>
  </si>
  <si>
    <t>PD DENTO TA TRIPACK 80G 24PCK ARY</t>
  </si>
  <si>
    <t>e01cc331-9225-48d1-8a10-217b69bbfe7b</t>
  </si>
  <si>
    <t>CR.DENTO T.ACC.80GR 6UND 24PCK</t>
  </si>
  <si>
    <t>017a87d4-6a62-4f57-aace-4c8d53f429df</t>
  </si>
  <si>
    <t>CR.DENTO MENTA 75ML 13UND 8PCK</t>
  </si>
  <si>
    <t>806e82b6-a468-4fc9-a9f3-672edf00d37a</t>
  </si>
  <si>
    <t>CR.DEN.POLAR M.BENEFI.TRIPACK 60ML 24PCK</t>
  </si>
  <si>
    <t>87c5badf-cb16-4ddb-baec-8d381b4f077d</t>
  </si>
  <si>
    <t>GEL DENT. CHI. GLOBO 85G 12UND 1100PPM</t>
  </si>
  <si>
    <t>a953944a-b9cf-4c94-9857-de5ef31b0ad9</t>
  </si>
  <si>
    <t>GEL DENT.CHICHA MORADA 85GR 12UND1100PPM</t>
  </si>
  <si>
    <t>5486a831-b547-4468-b53b-6051e938e84b</t>
  </si>
  <si>
    <t>CR.DENTO T.ACC.ICE 75ML 6UND 12PCK</t>
  </si>
  <si>
    <t>7859d318-4a98-45b3-81c1-2e5f4719e9e4</t>
  </si>
  <si>
    <t>CR.DENTO BLANC. NAT. 75ML 6UND 12PCK</t>
  </si>
  <si>
    <t>144708a6-0110-433d-a6f9-23b1522f672b</t>
  </si>
  <si>
    <t>CR.DENTO HERBAL 90GR 6UND 12PCK</t>
  </si>
  <si>
    <t>99ad365c-da0f-4d93-8497-a2ef6b65a85a</t>
  </si>
  <si>
    <t>CR.DENTO MENTA SIXPACK 80GR 12PCK</t>
  </si>
  <si>
    <t>73f8c9e9-bc65-489f-82be-a21ecc171f26</t>
  </si>
  <si>
    <t>PD DENTO TA SIXPACK 80G 12PCK ARY</t>
  </si>
  <si>
    <t>ce9491c7-ca4b-4c18-99fb-6e3bc8e2a307</t>
  </si>
  <si>
    <t>CR.DENTO MENTA 150ML 6UND 8PCK</t>
  </si>
  <si>
    <t>7624bf61-5787-4771-a4df-43acc2a5c692</t>
  </si>
  <si>
    <t>CR.DENTO T.ACC. 150ML 6UND 8PCK</t>
  </si>
  <si>
    <t>3f710a72-00a2-424e-8ccd-86e59353b1dd</t>
  </si>
  <si>
    <t>CR.DENTO HERBAL 180GR 6UND 8PCK</t>
  </si>
  <si>
    <t>fe75b77f-ba2d-4fbe-ae09-4de49a333ca2</t>
  </si>
  <si>
    <t>CR.DENTO MENTA 80GR 6UND 12PCK</t>
  </si>
  <si>
    <t>66df764f-eee0-478d-89cb-47507437eccc</t>
  </si>
  <si>
    <t>CR.DENTO T ACC. 80GR 6UND 12PCK</t>
  </si>
  <si>
    <t>c264fbc6-516f-42e3-b854-0873bc3b6c61</t>
  </si>
  <si>
    <t>CREMA DENTAL DENTIMAX MENTA 90ML 24UND</t>
  </si>
  <si>
    <t>f0390a6c-45d2-41d9-8a71-91a7fe0b8706</t>
  </si>
  <si>
    <t>CR.DENTOTAL 60ML 24UND</t>
  </si>
  <si>
    <t>7f4d347a-ef5c-43bc-baea-1d6490d5c7d1</t>
  </si>
  <si>
    <t>CR.DENTOTAL 150ML 24UND</t>
  </si>
  <si>
    <t>be6cc698-7d82-4df2-9d26-a236ee376aa7</t>
  </si>
  <si>
    <t>PD DENTO TA 80G 6UND 12PCK ARY</t>
  </si>
  <si>
    <t>3fcbe93b-710a-4e9b-9c4a-b9156c525e0b</t>
  </si>
  <si>
    <t>CR.DENTO BLANCURA NATUR.80GR 6UND 12PCK</t>
  </si>
  <si>
    <t>e934b0c0-c743-4cf1-a864-cd6a3a5ae736</t>
  </si>
  <si>
    <t>CR.DENTO BLANCURA NATU.TRIPACK 80GR24PCK</t>
  </si>
  <si>
    <t>3cf745d1-83c6-4337-b618-031e926721a9</t>
  </si>
  <si>
    <t>CR.DENTO BLANCURA NATU.SIXPACK 80GR12PCK</t>
  </si>
  <si>
    <t>a50be9ba-3e2b-4043-8c56-d824bc8bbd38</t>
  </si>
  <si>
    <t>CR.DENTO T.ACC.ICE 80GR 6UND 12PCK</t>
  </si>
  <si>
    <t>2bd26382-a997-4c42-93da-f35f7eaf8059</t>
  </si>
  <si>
    <t>CR.DENTO T.ACC.ICE SIXPACK 80GR 12PCK</t>
  </si>
  <si>
    <t>f5b9e0c9-bdd2-4ee2-a12b-697da3b0ef68</t>
  </si>
  <si>
    <t>CR.DENTO MENTA 20GR 20UND 12DSP</t>
  </si>
  <si>
    <t>ca940389-e34b-40fe-95b0-2a696a76414a</t>
  </si>
  <si>
    <t>CR.DENTO ANTICARIES 80GR 6UND 12PCK</t>
  </si>
  <si>
    <t>34332e95-736b-4b64-99c7-8696e23926b1</t>
  </si>
  <si>
    <t>CR.DENTO ANTICARIES TRIPACK 80GR 24PCK</t>
  </si>
  <si>
    <t>03c595e2-ff25-46ac-a892-75b469642b75</t>
  </si>
  <si>
    <t>CR.DENTO ANTICARIES SIXPACK 80GR 12PCK</t>
  </si>
  <si>
    <t>c6fff82f-635b-45ac-b491-85d9b07f1ace</t>
  </si>
  <si>
    <t>CR.DENTO ANTICARIES 150ML+CEP 6UND 8PCK</t>
  </si>
  <si>
    <t>62e31668-661d-40d9-b477-1557644bb95a</t>
  </si>
  <si>
    <t>CR.DENTO ANTICARIES 150ML 6UND 8PCK</t>
  </si>
  <si>
    <t>49f58617-32f3-4d25-adb8-3605dd90f8a5</t>
  </si>
  <si>
    <t>CR.DENTO HERBAL 180G + CEP 6UND 8PCK NV</t>
  </si>
  <si>
    <t>0d8ffbc6-af40-46e1-856f-f499c2575520</t>
  </si>
  <si>
    <t>CR.DENTO HERBAL 90GR 6UND 12PCK NV</t>
  </si>
  <si>
    <t>ed3193f3-927e-44e6-a932-cff629279b95</t>
  </si>
  <si>
    <t>CR.DENTO T.ACC.ICE TRIPACK 80GR 24PCK</t>
  </si>
  <si>
    <t>f6341167-4a32-45a0-986e-217d82690662</t>
  </si>
  <si>
    <t>CR.DENTO HERBAL TRIPACK 90GR 24PCK</t>
  </si>
  <si>
    <t>8e107c79-3c79-476e-b42b-1e13e7148f0a</t>
  </si>
  <si>
    <t>GEL DENT.CHI.GLOBO 85G 12UND 1100PPM BLV</t>
  </si>
  <si>
    <t>41138815-0a12-47ac-b88a-8d5ec2fdd9f9</t>
  </si>
  <si>
    <t>CR.DENTO T.ACC. 150ML 6UND 8PCK BLV</t>
  </si>
  <si>
    <t>0e5fb565-2d3b-4aad-be64-609c767dcd19</t>
  </si>
  <si>
    <t>CR.DENTO T ACC. 80GR 6UND 12PCK NV BLV</t>
  </si>
  <si>
    <t>9e5948c8-c3ef-4a7a-9127-f1a3ee199658</t>
  </si>
  <si>
    <t>CR.DENTO ANTICARIES 80GR 6UND 12PCK BLV</t>
  </si>
  <si>
    <t>cd807323-86e7-4d73-98f3-4ea34a4145b7</t>
  </si>
  <si>
    <t>PD DENTO TA 150ML+CEP LL 6UND 8PCK AR</t>
  </si>
  <si>
    <t>ad066724-c2cf-4728-b009-a4805b883f2d</t>
  </si>
  <si>
    <t>PD DENTO TA 150ML 6UND 8PCK AR</t>
  </si>
  <si>
    <t>54145484-684b-41be-9b25-e0c43ea19ee7</t>
  </si>
  <si>
    <t>PD DENTOTAL PROTECCION 150ML 24UND IF</t>
  </si>
  <si>
    <t>8ba0fabe-cd5c-4d59-a34c-4d28559d27c2</t>
  </si>
  <si>
    <t>PD DENTOTAL PROTECCION 60ML 24UND IF</t>
  </si>
  <si>
    <t>1d413210-0641-4028-8a14-8d95619f58a9</t>
  </si>
  <si>
    <t>PD DENTO TRIPLE ACCION 180G 6UND 8PCK</t>
  </si>
  <si>
    <t>f6ce98e3-4e6e-4223-9d77-1d4747019a9d</t>
  </si>
  <si>
    <t>PD DENTO MENTA ANTICARIES 180G 6UND 8PCK</t>
  </si>
  <si>
    <t>d888107f-889a-42ca-9657-c9d7bc697333</t>
  </si>
  <si>
    <t>GEL DENTITO CHICLE GLOBO 50G 6X12UND</t>
  </si>
  <si>
    <t>59fd242c-98cc-4f3c-81ae-3c6fd4e76e5b</t>
  </si>
  <si>
    <t>PD DENTO TA 200G 6UND 8PCK ARY</t>
  </si>
  <si>
    <t>a76dca7c-0cd9-46c6-bb24-fae53d315963</t>
  </si>
  <si>
    <t>PD DENTO TA 180G+CEP LL 6UND 8PCK ARY</t>
  </si>
  <si>
    <t>9a78c21f-4372-48f4-a1fd-37b74502a098</t>
  </si>
  <si>
    <t>PD DENTO TA TRIPACK 133G 24PCK ARY</t>
  </si>
  <si>
    <t>1439afd5-88ea-4b8c-a049-6af8628dab3e</t>
  </si>
  <si>
    <t>DETER. BOLIV NEGROS INTENSOS 2.6KG 7BOL</t>
  </si>
  <si>
    <t>2bc04389-da4c-4d48-8cd0-973a54b1b871</t>
  </si>
  <si>
    <t>DETER. BOLIV TEC.ACTIVEDU FL 150GR 60BOL</t>
  </si>
  <si>
    <t>b7bbfb5c-24ee-4243-9023-9d5c1163ef34</t>
  </si>
  <si>
    <t>DETER. BOLIV TEC.ACTIVEDU FL 1.5KG 8BOL</t>
  </si>
  <si>
    <t>0e4e5267-c694-44c1-ac46-cae58ad6f70e</t>
  </si>
  <si>
    <t>DETER. BOLIV TEC.ACTIVEDU FL 2.6KG 7BOL</t>
  </si>
  <si>
    <t>b4da6358-b840-45a9-8cdb-2126085ad934</t>
  </si>
  <si>
    <t>DETER. BOLIV TEC.ACTIVEDU FL 5.8KG 3BOL</t>
  </si>
  <si>
    <t>0ab0bd2e-6043-409d-95a2-38299a37bdcf</t>
  </si>
  <si>
    <t>DETER. BOLIV COLORES VIVOS 2.6KG 7BOL</t>
  </si>
  <si>
    <t>5210bb14-c099-4459-8ab5-e1ed6924ff2f</t>
  </si>
  <si>
    <t>DETER. BOLIV COLORES VIVOS 4.5KG 4BOL</t>
  </si>
  <si>
    <t>a33673d7-77d1-43a9-b17a-8cf8bc7ea247</t>
  </si>
  <si>
    <t>DET.BOLIVAR MATIC 350GR.30BOL</t>
  </si>
  <si>
    <t>a4372985-dfd3-457e-8042-c1be2764c7b7</t>
  </si>
  <si>
    <t>DETER. BOLIV MATIC 2.6KG 7BOL</t>
  </si>
  <si>
    <t>20be8fa4-6466-45c9-a443-60dcdd7b1eb0</t>
  </si>
  <si>
    <t>DETER. BOLIV FLORAL 9KG 1BOL</t>
  </si>
  <si>
    <t>07069e8a-e844-4747-ad2c-ac3ae700fa4a</t>
  </si>
  <si>
    <t>DET.UNO ARMONIA FLORAL 3.8KGX4BOL</t>
  </si>
  <si>
    <t>079b1679-000c-46e7-acd4-f0941968daa8</t>
  </si>
  <si>
    <t>DET.UNO FRESCURA LIMON 3.8 KGX4BOL</t>
  </si>
  <si>
    <t>4465f3b5-2d41-4663-a08d-17e3a0672861</t>
  </si>
  <si>
    <t>DETER. BOLIV TEC.ANTIPER.FL 780GR 15BOL</t>
  </si>
  <si>
    <t>f534e7ee-8b58-49d8-a63e-72e396e7f7ec</t>
  </si>
  <si>
    <t>DET. UNO 5 EN 1 ARM.FLORAL 700GX15BOL</t>
  </si>
  <si>
    <t>508815ba-872e-4ec3-a846-23de903ca650</t>
  </si>
  <si>
    <t>DET. UNO 5 EN 1 LIMON 700GX15BOL</t>
  </si>
  <si>
    <t>162b062e-19eb-4c73-9717-7539814b79cb</t>
  </si>
  <si>
    <t>DET. UNO 5 EN 1 COCO 700GX15BOL</t>
  </si>
  <si>
    <t>bba08046-4f05-4bc4-b786-da21a321d0a5</t>
  </si>
  <si>
    <t>DET. UNO 5 EN 1 FRESCURA FL 700GX15BOL</t>
  </si>
  <si>
    <t>dd88bd83-d594-435a-9cba-ab8637d34e0d</t>
  </si>
  <si>
    <t>DET. UNO 5 EN 1 ARM. FLORAL 6BOL 2KG</t>
  </si>
  <si>
    <t>19dd6c0c-5310-4cda-b907-1f1146b1d60f</t>
  </si>
  <si>
    <t>DET. UNO 5 EN 1 LIMON 6BOL 2KG</t>
  </si>
  <si>
    <t>dbde27c6-caaf-4f87-ae22-c07ff0eba432</t>
  </si>
  <si>
    <t>DETER. BOLIV MATIC 780GR 15BOL</t>
  </si>
  <si>
    <t>7c20f792-97b8-481c-885e-6beafd2bd23f</t>
  </si>
  <si>
    <t>DET. UNO 5 EN 1 ARM. FLORAL 3.8KGX4BOL</t>
  </si>
  <si>
    <t>65f22385-0847-4be3-9f16-c8d5ce5de490</t>
  </si>
  <si>
    <t>DET. UNO 5 EN 1 LIMON 3.8 KGX4BOL</t>
  </si>
  <si>
    <t>0222c6f6-4bdb-4145-a34c-ea1dfdeb71e6</t>
  </si>
  <si>
    <t>DET. UNO 5 EN 1 ARM.FLORAL 2BOL 5KG</t>
  </si>
  <si>
    <t>8574942d-d394-41f4-995e-85960fd7d47d</t>
  </si>
  <si>
    <t>DET. UNO 5 EN 1 LIMON 2BOL 5KG</t>
  </si>
  <si>
    <t>c392dee8-defb-4dea-a9b2-2f3ab1012d35</t>
  </si>
  <si>
    <t>DET. UNO 5 EN 1 COCO 2BOL 5KG</t>
  </si>
  <si>
    <t>23471c0b-1338-44b3-81d0-50422a37f49a</t>
  </si>
  <si>
    <t>DET. UNO 5 EN 1 FRESCURA FL 2BOL 5KG</t>
  </si>
  <si>
    <t>aa3eeb87-86b8-4e4a-90a9-6f2f51ba1b97</t>
  </si>
  <si>
    <t>DETER. BOLIV EVOLUTION 350GR 30BOL</t>
  </si>
  <si>
    <t>89d03723-c874-4666-9261-0f9ed233142f</t>
  </si>
  <si>
    <t>DETER. BOLIV EVOLUTION 500GR 24BOL</t>
  </si>
  <si>
    <t>37cecd85-28bb-4947-9564-221596dc11e6</t>
  </si>
  <si>
    <t>DETER. BOLIV EVOLUTION 2.6KG 7BOL</t>
  </si>
  <si>
    <t>798f691a-bda4-491a-bb74-67acfe3e5768</t>
  </si>
  <si>
    <t>DETER. BOLIV EVOLUTION 4.5KG 4BOL</t>
  </si>
  <si>
    <t>ad5ef326-0b8f-4300-9107-b94894fa8bbf</t>
  </si>
  <si>
    <t>DET. BOLIVAR BABY 750GR.16BOL</t>
  </si>
  <si>
    <t>0263261c-f4d4-4fb1-b551-379b5ab12994</t>
  </si>
  <si>
    <t>DET. BOLIVAR BABY 1.5KG.8BOL</t>
  </si>
  <si>
    <t>6de1d4c7-99b3-4fcb-a21e-75396bdbdab0</t>
  </si>
  <si>
    <t>DETER. BOLIV LIQUID. EVOLUT 1900ML 6FCO</t>
  </si>
  <si>
    <t>c4bc88fe-ed23-48ea-8357-32be34ba3524</t>
  </si>
  <si>
    <t>DETER. BOLIV LIQUID. FLORAL2 1900ML 6FCO</t>
  </si>
  <si>
    <t>e034160b-c840-420c-a876-af5bdbfa9a1a</t>
  </si>
  <si>
    <t>DET. LIQUIDO BOLIVAR MATIC2 1900ML.6FCO</t>
  </si>
  <si>
    <t>1b520f39-e806-47a5-b463-404963165ac5</t>
  </si>
  <si>
    <t>DET. LIQ.BOLIVAR FLORAL RENA 1.9L 6FCO</t>
  </si>
  <si>
    <t>7535670c-ba80-4e31-872f-575b26c409c8</t>
  </si>
  <si>
    <t>DET.LIQ BOLIVAR FLORAL RENA 3L 4DPK</t>
  </si>
  <si>
    <t>8491afda-81c8-4523-89ac-5e0248464142</t>
  </si>
  <si>
    <t>DET. BOLIVAR MATIC 2KGX6BOL EX.BOL</t>
  </si>
  <si>
    <t>4507429e-72db-4d81-82b7-c9dd5f4272d1</t>
  </si>
  <si>
    <t>DET. BOLIVAR MATIC 700GX15BOL EX.BOL</t>
  </si>
  <si>
    <t>dd233f1a-8cca-4e01-9bd5-4a225914e3ac</t>
  </si>
  <si>
    <t>DET.BOL.C.UN.TOQU.DE SUAV.700GX15BOL BOL</t>
  </si>
  <si>
    <t>5c6970fd-cf76-4754-9347-e4aab42b25ee</t>
  </si>
  <si>
    <t>DET.BOL.C.UN.TOQUE DE SUAV.2KG 6BOL EXBO</t>
  </si>
  <si>
    <t>fe39282f-ac77-4366-9461-b0811a10f05e</t>
  </si>
  <si>
    <t>DET.OPAL ULTRA FLORAL 2KG 6BOL</t>
  </si>
  <si>
    <t>8d715b43-0e1c-4db9-be2c-e27fd5cea4f7</t>
  </si>
  <si>
    <t>DET.OPAL ULTRA FLORAL 3.8KG 4BOL</t>
  </si>
  <si>
    <t>779a5c1d-ea9e-448f-aca4-70555a43a5ab</t>
  </si>
  <si>
    <t>DET. LIQUIDO BOLIVAR FLORAL 3000ML 4DPK</t>
  </si>
  <si>
    <t>f6981ac3-5dac-43a6-b4be-426d302dc334</t>
  </si>
  <si>
    <t>DET. LIQUIDO BOLIVAR MATIC 1400ML.8DPK</t>
  </si>
  <si>
    <t>d410466f-df3f-4320-b0ff-2e375ae8f501</t>
  </si>
  <si>
    <t>DET. LIQUIDO BOLIVAR MATIC 3000ML.4DPK</t>
  </si>
  <si>
    <t>1925faed-990b-409b-a0de-7a63b0f979fb</t>
  </si>
  <si>
    <t>DET. BOLIVAR ACTIVE CARE FL. 330GR.30BOL</t>
  </si>
  <si>
    <t>c4c02bc1-ec27-42f7-9924-a1b0e287f240</t>
  </si>
  <si>
    <t>DET. BOLIVAR ACTIVE CARE FL. 480GR.24BOL</t>
  </si>
  <si>
    <t>d3bcda30-ad34-413a-b2b6-3fd1b3d3c3c4</t>
  </si>
  <si>
    <t>DETER. OPAL ULTRA 330GR.30BOL</t>
  </si>
  <si>
    <t>a1df016d-685f-4218-9ac4-6ce2453d4f19</t>
  </si>
  <si>
    <t>DETER. OPAL ULTRA 480GR.24BOL</t>
  </si>
  <si>
    <t>6e886ecd-34a9-43e5-b1f4-53e3b99d81b2</t>
  </si>
  <si>
    <t>DETER. BOLIVAR AROM SUAVIDAD 330GR 30BOL</t>
  </si>
  <si>
    <t>5c4d6519-aa3f-4872-8b42-e6dba12af4bc</t>
  </si>
  <si>
    <t>DETER. BOLIVAR EVOLUTION 330GR.30BOL</t>
  </si>
  <si>
    <t>c96ec244-5e80-47b9-a15c-c754c348f16b</t>
  </si>
  <si>
    <t>DETER. UNO FLORAL 2BOL 5KG</t>
  </si>
  <si>
    <t>a5dfc632-7991-44d8-88e5-5444fe9e3095</t>
  </si>
  <si>
    <t>DETER. UNO LIMON 2BOL 5KG</t>
  </si>
  <si>
    <t>c17c8976-a929-4ce6-b483-132e7510b05e</t>
  </si>
  <si>
    <t>DETER. UNO FLORAL 6BOL 2KG</t>
  </si>
  <si>
    <t>fa06e358-1ad5-4c6d-8c52-1895e659a820</t>
  </si>
  <si>
    <t>DETER. UNO LIMON 6BOL 2KG</t>
  </si>
  <si>
    <t>56dd6bec-e860-4fb5-8de9-64831d3da5cd</t>
  </si>
  <si>
    <t>DET.BOLIVAR AROM SUAVIDAD 450GR 24BOL</t>
  </si>
  <si>
    <t>49196262-01a3-4c56-8cfc-70032197170a</t>
  </si>
  <si>
    <t>DET.BOLIVAR AROM SUAVIDAD 750GR.15BOL</t>
  </si>
  <si>
    <t>b4ea73d3-a29f-4690-be1d-1c66228e13ee</t>
  </si>
  <si>
    <t>DET.BOLIVAR AROM SUAVIDAD 2.4KG.6BOL</t>
  </si>
  <si>
    <t>782c65d5-ae1b-409d-b0f2-1013fab42964</t>
  </si>
  <si>
    <t>DET.BOLIVAR AROM SUAVIDAD 4.2KG.4BOL</t>
  </si>
  <si>
    <t>925fbfa0-b479-460d-995e-9a0e1189adfe</t>
  </si>
  <si>
    <t>DET. BOLIVAR ACTIVE CARE FL. 4.2KG.4BOL</t>
  </si>
  <si>
    <t>1b03ba78-76d4-4718-a28b-58650cf6fdd2</t>
  </si>
  <si>
    <t>DETER.MARSELLA PETALOS RELAJ 450GR.24BOL</t>
  </si>
  <si>
    <t>c36e92cf-c3e4-4ea9-b51f-a1d43037440a</t>
  </si>
  <si>
    <t>DET MARSELLA PETALOS RELAJ 750GR.15BOL</t>
  </si>
  <si>
    <t>2173482d-68f7-4a3b-a124-086de183baf6</t>
  </si>
  <si>
    <t>DETER.MARSELLA ALEGRIA TROP 450GR.24BOL</t>
  </si>
  <si>
    <t>7eaeeba3-5165-4b02-a2a8-f3cfc2923e5b</t>
  </si>
  <si>
    <t>DET MARSELLA ALEGRIA TROP 750GR.15BOL</t>
  </si>
  <si>
    <t>f029ccb7-12f4-4194-b884-49047939304e</t>
  </si>
  <si>
    <t>DET.OPAL MANCHAS IMPOSIBLES 330GR.30BOL</t>
  </si>
  <si>
    <t>24d5fd6a-f780-42ef-a5e9-3a66c5b51d84</t>
  </si>
  <si>
    <t>DET.OPAL MANCHAS IMPOSIBLES 4.2KG.4BOL</t>
  </si>
  <si>
    <t>1d855a12-d52e-41a7-877a-38c0448ab3b1</t>
  </si>
  <si>
    <t>DET.OPAL MANCHAS IMPOSIBLES 450GR.24BOL</t>
  </si>
  <si>
    <t>9574e689-404d-4837-b29b-15abc9e26ddb</t>
  </si>
  <si>
    <t>DET.OPAL MANCHAS IMPOSIBLES 750GR.15BOL</t>
  </si>
  <si>
    <t>44897c08-b74d-435e-a964-cbde6256317a</t>
  </si>
  <si>
    <t>DET.OPAL MANCHAS IMPOSIBLES 2.5KG.6BOL</t>
  </si>
  <si>
    <t>54ae45bf-30a0-4e4b-978d-bc1275065f37</t>
  </si>
  <si>
    <t>DET.OPAL ANTIBACTERIAL PLUS 450GR.24BOL</t>
  </si>
  <si>
    <t>9f39cf12-b650-4852-93c9-5be789dd771b</t>
  </si>
  <si>
    <t>DET.OPAL ANTIBACTERIAL PLUS 750GR.15BOL</t>
  </si>
  <si>
    <t>6839143f-5008-4396-a9f2-d064b63fcf0c</t>
  </si>
  <si>
    <t>DET.OPAL ANTIBACTERIAL PLUS 2.4KG.6BOL</t>
  </si>
  <si>
    <t>ea77b79a-ceb7-4e50-8982-b3b69229725a</t>
  </si>
  <si>
    <t>DET.OPAL ANTIBACTERIAL PLUS 4.2KG.4BOL</t>
  </si>
  <si>
    <t>c16fbcba-2751-40d1-966c-95fd3ac704a7</t>
  </si>
  <si>
    <t>DET. BOLIVAR ACTIVE CARE 140GR60BOL</t>
  </si>
  <si>
    <t>d5c37eee-bc7f-4757-940a-1348fa9568a7</t>
  </si>
  <si>
    <t>DET. BOLIVAR BABY &amp; KIDS 140GR.60BOL</t>
  </si>
  <si>
    <t>ac5f744a-dead-4562-b23f-78fcc95a4939</t>
  </si>
  <si>
    <t>DET. BOLIVAR ACTIVE CARE 450GR.24BOL</t>
  </si>
  <si>
    <t>c43d693e-f255-4ee2-abb5-da57441f0784</t>
  </si>
  <si>
    <t>DET. BOLIVAR EVOLUTION 450GR.24BOL</t>
  </si>
  <si>
    <t>5d2a6e2a-8a03-45fe-9a55-c720a15b0116</t>
  </si>
  <si>
    <t>DET. BOLIVAR EVOLUTION 750GR.15BOL</t>
  </si>
  <si>
    <t>0956012a-439f-40ca-b4ce-c2e19ae0c2d7</t>
  </si>
  <si>
    <t>DET. BOLIVAR EVOLUTION 2.4KG.6BOL</t>
  </si>
  <si>
    <t>23e05d69-830b-40d7-bf8d-c36c1a11d448</t>
  </si>
  <si>
    <t>DET. BOLIVAR ACTIVE CARE 2.4KG.6BOL</t>
  </si>
  <si>
    <t>e29840d0-1d1d-4f10-b733-9fd0f12b4312</t>
  </si>
  <si>
    <t>DET. BOLIVAR MATIC 2.4KG.6BOL</t>
  </si>
  <si>
    <t>28f77fe0-6dbf-4556-b06f-b613e270e817</t>
  </si>
  <si>
    <t>DET. BOLIVAR MATIC 4.2KG.4BOL</t>
  </si>
  <si>
    <t>5080bd75-541b-4bfa-bcc9-f86cfa31cfc0</t>
  </si>
  <si>
    <t>DET. BOLIVAR EVOLUTION 4.2KG.4BOL</t>
  </si>
  <si>
    <t>2850c2e3-c1ca-483e-9d41-4076cc726ca8</t>
  </si>
  <si>
    <t>DET. BOLIVAR COLORES 2.4KG.6BOL</t>
  </si>
  <si>
    <t>2bca5d6f-a900-4e75-8591-7b1bb63ad5af</t>
  </si>
  <si>
    <t>DET. BOLIVAR MATIC 750GR.15BOL</t>
  </si>
  <si>
    <t>37191d0b-c7b5-4165-8715-32aeac6daa61</t>
  </si>
  <si>
    <t>DET. BOLIVAR COLORES 750GR.15BOL</t>
  </si>
  <si>
    <t>64439772-5c83-4f72-b462-fe1c663b2ebe</t>
  </si>
  <si>
    <t>DETER. OPAL ULTRA 450GR.24BOL</t>
  </si>
  <si>
    <t>fd1fbfda-70b1-4cf8-88fb-49a3c37e0549</t>
  </si>
  <si>
    <t>DET. BOLIVAR ACTIVE CARE FL. 750GR.15BOL</t>
  </si>
  <si>
    <t>12677901-b871-4926-b158-741b23f52f19</t>
  </si>
  <si>
    <t>DET.OPAL MANCHAS IMPOSIBLES 2.4KG.6BOL</t>
  </si>
  <si>
    <t>80530baf-9380-413a-85a7-56bad1ce1e71</t>
  </si>
  <si>
    <t>DET.UNO FRESCURA FLORAL700GR 15BOL</t>
  </si>
  <si>
    <t>d1c511e0-78c4-4cfe-b64e-32bf4e754c98</t>
  </si>
  <si>
    <t>DET. UNO FRESCURA FLORAL2BOL 5KG</t>
  </si>
  <si>
    <t>b32c9d24-e66a-420e-8b49-99f05f6aca71</t>
  </si>
  <si>
    <t>DET. UNO COCO 2BOL 5KG</t>
  </si>
  <si>
    <t>34603d8e-c356-455a-b843-d0ef09279507</t>
  </si>
  <si>
    <t>DET.BOLI.ACT.CARE.FLORAL 700GX15BOL EXBO</t>
  </si>
  <si>
    <t>a111a6ee-a1d0-4a1e-8cac-9313a6f22fe0</t>
  </si>
  <si>
    <t>DET.BOL.ACT.CARE.FLORAL 2KGX6BOL EX.BO</t>
  </si>
  <si>
    <t>4b07de7c-1dae-4f46-bafc-9c769c7ea6d5</t>
  </si>
  <si>
    <t>DET.BOL.ACT.CARE FLORAL 3.8KGX4BOL EX.BO</t>
  </si>
  <si>
    <t>7e60b3be-69b5-4ddd-b6cb-71130a148880</t>
  </si>
  <si>
    <t>DET.BOL.ACT.CARE.LIMON 3.8KGX4BOL EX.BOL</t>
  </si>
  <si>
    <t>83e33a23-36a9-4e84-8b02-3642284933db</t>
  </si>
  <si>
    <t>DET. BOLIVAR PROT MICELAR 140GR60BOL</t>
  </si>
  <si>
    <t>8ee7c4f0-6bdd-4923-9c99-2487ddb48cd5</t>
  </si>
  <si>
    <t>DET. BOLIVAR PROT MICELAR 750GR.15BOL</t>
  </si>
  <si>
    <t>3f9a65ae-b558-4ae1-b889-cb4a857a0a42</t>
  </si>
  <si>
    <t>DET. BOLIVAR PROT MICELAR 2.4KG.6BOL</t>
  </si>
  <si>
    <t>3bb5000a-6988-4d94-a3a9-6dc99ea5cf0b</t>
  </si>
  <si>
    <t>DET. BOLIVAR PROT MICELAR FL. 4.2KG.4BOL</t>
  </si>
  <si>
    <t>bc00da4d-e7da-4412-baec-266d178e42e8</t>
  </si>
  <si>
    <t>DET.UNO COCO 700GR 15BOL</t>
  </si>
  <si>
    <t>018fe479-d08d-4ea3-951d-e21bbde02843</t>
  </si>
  <si>
    <t>DET.UNO ARMONIA FLORAL 700GX15BOL</t>
  </si>
  <si>
    <t>2d75ee2a-5382-45d9-888c-59afffb1e75f</t>
  </si>
  <si>
    <t>DET.UNO FRESCURA LIMON 700GX15BOL</t>
  </si>
  <si>
    <t>92d93b89-4a1d-4377-8bdc-5b442aa50726</t>
  </si>
  <si>
    <t>DET.BOLIV.ACT.CARE.LIMON 700GX15BOL EXBO</t>
  </si>
  <si>
    <t>02d2a23c-b44a-49d4-9f16-c7b5a6ecdc23</t>
  </si>
  <si>
    <t>DET.BOL.ACT.CARE.LIMON 2KGX6BOL EX.BOL</t>
  </si>
  <si>
    <t>31f4f0dc-f5d8-4bb0-9a5c-d86d389d109b</t>
  </si>
  <si>
    <t>DET.OPAL ULTRA FLORAL 700G.15BOL EX.BOL</t>
  </si>
  <si>
    <t>a333589f-72ab-4e26-8f5e-9cabd3d3023c</t>
  </si>
  <si>
    <t>DET. BOLIVAR CUIDADO TOTAL 140GR60BOL</t>
  </si>
  <si>
    <t>0e80f0df-9c05-4b11-b3e0-df40ac6d3ebd</t>
  </si>
  <si>
    <t>DET. BOLIVAR CUIDADO TOTAL 320GR.30BOL</t>
  </si>
  <si>
    <t>79465a39-9418-42d3-bd06-9de98de51768</t>
  </si>
  <si>
    <t>DET. BOLIVAR CUIDADO TOTAL 430GR.24BOL</t>
  </si>
  <si>
    <t>56ec704b-7ad6-4b11-9c97-db493986e5fd</t>
  </si>
  <si>
    <t>DET. BOLIVAR CUIDADO TOTAL 730GR.15BOL</t>
  </si>
  <si>
    <t>9385b266-a2b3-419d-9fc8-3e2dca3f7f03</t>
  </si>
  <si>
    <t>DET. BOLIVAR BEBES NIÑOS 140GR.60BOL</t>
  </si>
  <si>
    <t>2b50dd4d-c839-4212-837c-ee8270feec17</t>
  </si>
  <si>
    <t>DET. BOLIVAR BEBES NIÑOS 1.5KG.8BOL</t>
  </si>
  <si>
    <t>010e1c9c-df06-45bc-bbf4-8070ed876277</t>
  </si>
  <si>
    <t>DET.BOLIVAR CUIDADO SUAVIDAD 2.4KG.6BOL</t>
  </si>
  <si>
    <t>c8d7242a-395e-4df5-8a1b-9d740b5dadb1</t>
  </si>
  <si>
    <t>DET.BOLIVAR CUIDADO SUAVIDAD 4.0KG.4BOL</t>
  </si>
  <si>
    <t>6477c33e-e009-4551-87df-09210822b865</t>
  </si>
  <si>
    <t>DET. BOLIVAR CUIDADO MICELAR 2.4KG.6BOL</t>
  </si>
  <si>
    <t>3159f153-0191-4bb4-a00b-9112b9862364</t>
  </si>
  <si>
    <t>DET. BOLIVAR CUIDADO MICELAR 4.0KG.4BOL</t>
  </si>
  <si>
    <t>a54866db-d0b8-48bb-a509-59c1cb66bbbf</t>
  </si>
  <si>
    <t>DET. BOLIVAR CUIDADO TOTAL 9KG 1BOL</t>
  </si>
  <si>
    <t>0d2bf431-5e4b-44cf-825a-2c797ac6ee82</t>
  </si>
  <si>
    <t>DET. BOL CUIDADO MICELAR 730GR.15BOL</t>
  </si>
  <si>
    <t>775b736b-cc2a-4596-9844-b6b6b590d0c2</t>
  </si>
  <si>
    <t>DET.BOL RENACIMENTO AROM SUAV 730GR.15BO</t>
  </si>
  <si>
    <t>c5dd7800-c65d-4f05-96a2-0cac57d08153</t>
  </si>
  <si>
    <t>DET.BOLV CUIDADO SUAVIDAD 430GR 24BOL</t>
  </si>
  <si>
    <t>cd908965-71f9-4f5b-b249-6ff12b1eca1f</t>
  </si>
  <si>
    <t>DET. BOLIVAR BEBES NIÑOS 730GR.15BOL</t>
  </si>
  <si>
    <t>a23be859-7403-4764-b684-c1fd58962871</t>
  </si>
  <si>
    <t>DET. BOLIVAR CUIDADO TOTAL 5.6KG 3BOL</t>
  </si>
  <si>
    <t>6e9fe1f8-dfc7-44a0-a864-461239b0b7ab</t>
  </si>
  <si>
    <t>DET. BOLIVAR CUIDADO TOTAL 2.4KG.6BOL</t>
  </si>
  <si>
    <t>45aa7814-7bc0-4ae0-ac93-d2fc8a1b9d71</t>
  </si>
  <si>
    <t>DET. BOLIVAR CUIDADO TOTAL 4.0KG.4BOL</t>
  </si>
  <si>
    <t>60f6ade4-5a02-40b1-80bc-1c36a39eeadf</t>
  </si>
  <si>
    <t>DET.OPAL ULTRA FLORAL 1.8KG 6BOL</t>
  </si>
  <si>
    <t>adf1f59d-0f02-42ad-bfcc-73cee55b6ce0</t>
  </si>
  <si>
    <t>DET.OPAL ULTRA FLORAL 3.5KG 4BOL</t>
  </si>
  <si>
    <t>12ad4451-b347-4154-8107-95f2f9c4ce46</t>
  </si>
  <si>
    <t>DET.OPAL ULTRA FLORAL 650G.15BOL EX.BOL</t>
  </si>
  <si>
    <t>07b36e10-edca-47b7-bd49-fa74cc7a5fda</t>
  </si>
  <si>
    <t>DET.OPAL ANTIBACTERIAL EX BOL 1.8KG.6BOL</t>
  </si>
  <si>
    <t>77d1be71-ae5e-4817-b948-c4afde926642</t>
  </si>
  <si>
    <t>DET.OPAL ANTIBACTERIAL EX BOL 650G.15BOL</t>
  </si>
  <si>
    <t>2f0cc430-774c-47c2-b651-feafba37910f</t>
  </si>
  <si>
    <t>DET.BOL.CUIDADO.TOTAL.FLORAL 3.8KGX4BOL</t>
  </si>
  <si>
    <t>a62ecc35-ae7b-4546-9d23-30a90c818805</t>
  </si>
  <si>
    <t>DET.BOL.CUIDADO.SUAVIDAD..2KG 6BOL EXBO</t>
  </si>
  <si>
    <t>dc3ab426-00a7-48c2-ba95-53e60cd7d39a</t>
  </si>
  <si>
    <t>DET.BOLI.CUIDADO.TOTAL.FLORAL 700GX15BOL</t>
  </si>
  <si>
    <t>2def14d5-fe45-4269-a101-6cb1703bf425</t>
  </si>
  <si>
    <t>DET.BOL.CUIDADO.TOTAL.FLORAL 2KGX6BOL EX</t>
  </si>
  <si>
    <t>b828c5cc-7714-4c0e-9f4c-991f2d5951e7</t>
  </si>
  <si>
    <t>DET.BOL.CUIDADO.TOTAL.LIMON 2KGX6BOL EX</t>
  </si>
  <si>
    <t>1f9d9775-15c6-421a-9955-706555755859</t>
  </si>
  <si>
    <t>DET. BOLIVAR MATIC R 2KGX6BOL EX.BOL</t>
  </si>
  <si>
    <t>7dd1c5a5-4d24-4e03-8806-9906c6c36505</t>
  </si>
  <si>
    <t>DET. BOLIVAR CUIDADO MICELAR 140GR60BOL</t>
  </si>
  <si>
    <t>c9ee78c5-116d-4a74-9532-40cb646afcdf</t>
  </si>
  <si>
    <t>DET. BOLIVAR SUAVIDAD 140GR60BOL</t>
  </si>
  <si>
    <t>dbeea3e3-292d-463d-b87c-87d41925390e</t>
  </si>
  <si>
    <t>DET. UNO 5 EN 1 ARM.FLORAL 620GX15BOL</t>
  </si>
  <si>
    <t>906141b9-0109-45de-9074-22d74f19339a</t>
  </si>
  <si>
    <t>DET. UNO 5 EN 1 LIMON 620GX15BOL</t>
  </si>
  <si>
    <t>a3bf856a-8715-434a-bbb9-5bccb9c47817</t>
  </si>
  <si>
    <t>DET. UNO 5 EN 1 FRESCURA FL 620GX15BOL</t>
  </si>
  <si>
    <t>7fd90548-2c71-4846-bc91-fcdff577d478</t>
  </si>
  <si>
    <t>DET. UNO 5 EN 1 COCO 620GX15BOL</t>
  </si>
  <si>
    <t>548d616a-9e89-47c3-91b0-0743309f4f14</t>
  </si>
  <si>
    <t>DET. UNO 5 EN 1 ARM. FLORAL 6BOL 1.8KG</t>
  </si>
  <si>
    <t>d59c6b37-8e8e-4c20-9a25-a73c5149bd41</t>
  </si>
  <si>
    <t>DET. UNO 5 EN 1 LIMON 6BOL 1.8KG</t>
  </si>
  <si>
    <t>63d1a14f-b860-48d1-9df5-615dcf109cae</t>
  </si>
  <si>
    <t>DET. UNO 5 EN 1 ARM.FLORAL 2BOL 4.7KG</t>
  </si>
  <si>
    <t>634d9ca5-8dc6-417e-b080-fe9dd237bd24</t>
  </si>
  <si>
    <t>DET. UNO 5 EN 1 LIMON 2BOL 4.7KG</t>
  </si>
  <si>
    <t>a176b352-3367-487d-b0f2-7bc523579040</t>
  </si>
  <si>
    <t>DET. UNO 5 EN 1 FRESCURA FL 2BOL 4.7KG</t>
  </si>
  <si>
    <t>ed32cc82-acc0-42bc-874f-1a355f9332c6</t>
  </si>
  <si>
    <t>DET. UNO 5 EN 1 COCO 2BOL 4.7KG</t>
  </si>
  <si>
    <t>2c2c006a-d3a0-40f2-9fd1-62df9d752966</t>
  </si>
  <si>
    <t>DET. BOL. CUIDADO TOTAL 430GR.24BOL CP</t>
  </si>
  <si>
    <t>9b8e3db5-51d7-4099-971b-c81465586697</t>
  </si>
  <si>
    <t>DET. BOLIVAR CUIDADO TOT 730GR.15BOL CP</t>
  </si>
  <si>
    <t>c320349c-ffa8-4a67-a4b2-77b8ec51dd11</t>
  </si>
  <si>
    <t>DET. BOL. CUIDADO TOTAL 320GR.30BOL CP</t>
  </si>
  <si>
    <t>63e92e7b-cc03-4a8f-9214-36565681ff55</t>
  </si>
  <si>
    <t>DET. BOLIVAR CUIDADO TOTAL 4.0KG.4BOL CP</t>
  </si>
  <si>
    <t>5ab8a5f6-db28-4a54-94e9-b7434947d7ff</t>
  </si>
  <si>
    <t>DET. BOLIVAR BEBES NIÑOS 1.5KG.8BOL CP</t>
  </si>
  <si>
    <t>7975feb5-810a-42ec-9049-c8f4c6f55bbe</t>
  </si>
  <si>
    <t>DET. BOLIVAR BEBES NIÑOS 730GR.15BOL CP</t>
  </si>
  <si>
    <t>cf97f126-b930-4ad1-8ab8-957ed0c27143</t>
  </si>
  <si>
    <t>DET. UNO 5 EN 1 ARMONIA FLORAL 9.20KG</t>
  </si>
  <si>
    <t>64ead1fd-ba06-463d-887f-0362087a83bd</t>
  </si>
  <si>
    <t>DET.LIQ BOLIVAR FLORAL FLUYE 1.2L 8DPK</t>
  </si>
  <si>
    <t>4238c596-63cb-4aa0-ac85-cd103f8b5f94</t>
  </si>
  <si>
    <t>DET. LIQ.BOLIVAR FLORAL FLUYE 5L 3FCO</t>
  </si>
  <si>
    <t>e0cf96b5-a52c-4c70-95b1-18328b0ada39</t>
  </si>
  <si>
    <t>DET. UNO 5 EN 1 PARAISO TROPI 2BOL 4.7KG</t>
  </si>
  <si>
    <t>0815e8e1-d685-4f65-b783-4101bb88e346</t>
  </si>
  <si>
    <t>DET. UNO 5 EN 1 PARAISO TROPI 620GX15BOL</t>
  </si>
  <si>
    <t>cbd52402-246f-45f4-98b0-4f6d63048769</t>
  </si>
  <si>
    <t>POLVO DETERGENTE ARO FLORAL 9000GR X 1</t>
  </si>
  <si>
    <t>c2ab73f8-60ee-4897-addb-52fbd24449e6</t>
  </si>
  <si>
    <t>POLVO DETERGENTE ARO FLORAL 6000 GR X 3</t>
  </si>
  <si>
    <t>dee7cacb-cd3e-4b17-89b8-512992f67fd4</t>
  </si>
  <si>
    <t>POLVO DETERGENTE ARO LIMON 9000 GR X 1</t>
  </si>
  <si>
    <t>ddab6e79-9a34-4e13-a13a-0607013fc8bd</t>
  </si>
  <si>
    <t>POLVO DETERGENTE ARO LIMON 6000 GR X 3</t>
  </si>
  <si>
    <t>5bbe7691-ed2b-4273-95eb-aeac211f984a</t>
  </si>
  <si>
    <t>DET. LIQ.BOLIVAR BEBESYNINOS 2.8L 3FCO</t>
  </si>
  <si>
    <t>49574225-9be7-41bd-b660-f39d4babc36c</t>
  </si>
  <si>
    <t>DET.LIQ BOLIVAR BEBESYNINOS 1.2L 8DPK</t>
  </si>
  <si>
    <t>90444f1e-a60e-4a08-8a5d-35b206fd00fb</t>
  </si>
  <si>
    <t>DET. UNO 5 EN 1 SUAV.COCO 500GX24BOL</t>
  </si>
  <si>
    <t>6385700d-64d1-49bc-be17-a87d46873722</t>
  </si>
  <si>
    <t>DET. UNO 5 EN 1 ARM.FLORAL 500GX24BOL</t>
  </si>
  <si>
    <t>34591feb-507d-492d-809e-8f730324973c</t>
  </si>
  <si>
    <t>DET. UNO 5 EN 1 FRES.LIMON 500GX24BOL</t>
  </si>
  <si>
    <t>5f928e9a-15c1-43dd-a246-bf0830212d9e</t>
  </si>
  <si>
    <t>DET. UNO 5 EN 1 FRES. FLORAL 500GX24BOL</t>
  </si>
  <si>
    <t>03e9bd61-2e7f-465e-b770-dab8759f8d93</t>
  </si>
  <si>
    <t>DET.LIQ BOLIVAR CUIDAD TOTAL 400ML 12DPK</t>
  </si>
  <si>
    <t>4886905e-a676-41bd-a586-48c8c0f9bcd4</t>
  </si>
  <si>
    <t>DET. BOLIVAR CUIDADO TOTAL 650GR.15BOL</t>
  </si>
  <si>
    <t>b3b6699b-7b96-4277-83b7-f92996e3bab0</t>
  </si>
  <si>
    <t>DETER. BOLIV. LIQUID COL Y NEG 8DPK 1.4L</t>
  </si>
  <si>
    <t>5d568b79-1ea8-481e-9187-03f3871a5983</t>
  </si>
  <si>
    <t>DETER. MARSELLA PETALOS RELAJ 150G 60BOL</t>
  </si>
  <si>
    <t>df0664c2-9331-4ac9-aaa2-c62a81c7f523</t>
  </si>
  <si>
    <t>DETER. MARSELLA PETALOS RELAJ 780G 15BOL</t>
  </si>
  <si>
    <t>93867ec1-b8dd-470d-a26b-3d9cd7dc66b4</t>
  </si>
  <si>
    <t>DETER. MARSELLA PETALOS RELAJ 2KG 7BOL</t>
  </si>
  <si>
    <t>3853d0fd-f84b-4110-ab34-af5172551506</t>
  </si>
  <si>
    <t>DETER. MARSELLA PETALOS RELAJ 4KG 4BOL</t>
  </si>
  <si>
    <t>1f0616a5-83fd-4bd5-888b-9679cb769ec5</t>
  </si>
  <si>
    <t>DET.MARSELLA PETALOS RELAJ 8KG.1BOL</t>
  </si>
  <si>
    <t>cd7109ae-e3a2-47d8-a412-f542e99ef0d6</t>
  </si>
  <si>
    <t>DET.MARSELLA AROMATERAP.GORD.280GR.35BOL</t>
  </si>
  <si>
    <t>e5114703-6d17-4c0b-b2b3-3b6419b2dc90</t>
  </si>
  <si>
    <t>DET.MARSELLA ALEGRIA TROP 150GR 60BOL</t>
  </si>
  <si>
    <t>f732fdb6-1ef3-4a56-bc36-15362762ae55</t>
  </si>
  <si>
    <t>DET.MARSELLA ALEGRIA TROP 2KG.7BOL</t>
  </si>
  <si>
    <t>9534213e-e8bb-404a-8377-f36ef38f979c</t>
  </si>
  <si>
    <t>DETER.MARSELLA PETALOS RELAJ 330GR.30BOL</t>
  </si>
  <si>
    <t>96e68006-b268-4358-b67a-ca55bec974c6</t>
  </si>
  <si>
    <t>DETER.MARSELLA PETALOS RELAJ 480GR.24BOL</t>
  </si>
  <si>
    <t>6a9e52bd-753a-49c7-8f27-8c10071f4e8a</t>
  </si>
  <si>
    <t>DETER.MARSELLA ALEGRIA TROP 330GR.30BOL</t>
  </si>
  <si>
    <t>e14ec5b3-1111-4aa3-b609-a0208e65b703</t>
  </si>
  <si>
    <t>DET. MARSELLA PETALOS RELAJ 140GR.60BOL</t>
  </si>
  <si>
    <t>1d61775e-0874-4bd2-94a0-8a2ecc15f8aa</t>
  </si>
  <si>
    <t>DET. MARSELLA BRISAS DEL NORTE 4KG 4BOL</t>
  </si>
  <si>
    <t>a0282c20-dd64-4900-a7d1-6ec305a838c9</t>
  </si>
  <si>
    <t>DET.MARSELLA BRISAS DEL NORTE 730GR 1BOL</t>
  </si>
  <si>
    <t>ed0a1e8f-892c-4e74-888c-4081f43298f3</t>
  </si>
  <si>
    <t>DET. MARSELLA BRISAS DEL NORTE 2KG 7BOL</t>
  </si>
  <si>
    <t>816ea8c5-9644-40c0-b137-04ed48836eab</t>
  </si>
  <si>
    <t>DET.MARSELLA BRISAS NORTE 140GR.60BOL</t>
  </si>
  <si>
    <t>a5ee94a4-3f9a-42c7-a744-d35233fc7e47</t>
  </si>
  <si>
    <t>DET. MARSELLA PROFESIONAL 13.5KG</t>
  </si>
  <si>
    <t>6fc248d7-843a-41b7-974b-e19febb00b47</t>
  </si>
  <si>
    <t>DET. MARSELLA PROFESIONAL 2 13.5KG</t>
  </si>
  <si>
    <t>4871e316-b5ec-4f94-abe2-50fe0aa26c77</t>
  </si>
  <si>
    <t>DET. MARSELLA DESTINOS SELVA 140GR.60BOL</t>
  </si>
  <si>
    <t>0d23d7f7-c98b-45c8-86b4-b89a9553acca</t>
  </si>
  <si>
    <t>DETER. MARSELLA DESTINOS SELVA 2KG 7BOL</t>
  </si>
  <si>
    <t>2a7322b0-64ce-4f08-bb2b-1cb4e57ac80c</t>
  </si>
  <si>
    <t>DET. MARSELLA DESTINOS SELVA 730GR 15BOL</t>
  </si>
  <si>
    <t>02fc7192-42c4-4c9f-b01b-cc984a29272b</t>
  </si>
  <si>
    <t>DET. MARSELLA DESTINOS SELVA 4.0KG.4BOL</t>
  </si>
  <si>
    <t>131832f6-7279-402d-ac8c-c681cc65f66f</t>
  </si>
  <si>
    <t>DET. MARSELLA PETALOS RELAJ. 730GR.15BOL</t>
  </si>
  <si>
    <t>05212b7b-d42d-44e8-b1e7-eb7a63d81b33</t>
  </si>
  <si>
    <t>DET. MARSELLA ALEGRIA TROP. 730GR.15BOL</t>
  </si>
  <si>
    <t>7f6e4369-b8ad-44b3-8caf-cf64cacc0364</t>
  </si>
  <si>
    <t>DET. MARSELLA PETALOS RELAJ. 430GR.24BOL</t>
  </si>
  <si>
    <t>8addfc54-7d15-4673-9c90-f3786143d797</t>
  </si>
  <si>
    <t>DETER.MARSELLA ALEGRIA TROP 430GR.24BOL</t>
  </si>
  <si>
    <t>83698101-3108-4cff-951a-0611db9e8c27</t>
  </si>
  <si>
    <t>DETER.MARSELLA LAVANDA ROSAS 320GR.30BOL</t>
  </si>
  <si>
    <t>2a0103ba-14bd-4aa8-8e53-9747fd623683</t>
  </si>
  <si>
    <t>DET. MARSELLA LAVANDA ROSAS 730GR 15BOL</t>
  </si>
  <si>
    <t>b3729404-b4f4-4f0d-beb1-90bfc9715ab0</t>
  </si>
  <si>
    <t>DET. MARSELLA LAVANDA ROSAS 320GR 30BOL</t>
  </si>
  <si>
    <t>f8393c72-8db6-471b-b354-61fa3c465c3d</t>
  </si>
  <si>
    <t>DET. MARSELLA LAVANDA ROSAS 430GR 24BOL</t>
  </si>
  <si>
    <t>3823713c-688c-4632-ae75-dbd6c27bd564</t>
  </si>
  <si>
    <t>DET. MARSELLA LAVANDA ROSAS 4KG 4BOL</t>
  </si>
  <si>
    <t>cfae585c-327a-42c0-85d0-20950d08ca2c</t>
  </si>
  <si>
    <t>DET. MARSELLA LAVANDA ROSAS 2KG 7BOL</t>
  </si>
  <si>
    <t>621f970e-fa4b-4058-b643-b9d7e8f92148</t>
  </si>
  <si>
    <t>DET. MARSELLA LAVANDA ROSAS 8KG 1BOL</t>
  </si>
  <si>
    <t>d53ef43d-fc1b-4ddc-bd16-7b95d44b6c6e</t>
  </si>
  <si>
    <t>DET. MARSELLA LAVANDA ROSAS 140GR 60BOL</t>
  </si>
  <si>
    <t>8528e836-5915-404c-9102-7b4d4dc53666</t>
  </si>
  <si>
    <t>DET. MARSELLA JAZMIN ROSAS 730GR 15BOL</t>
  </si>
  <si>
    <t>2fd93eca-c2d1-47ab-8541-d25f239ba4f5</t>
  </si>
  <si>
    <t>DET. MARSELLA JAZMIN ROSAS 2KG 7BOL</t>
  </si>
  <si>
    <t>21fcf615-fff4-4420-958f-6a282fa4d16e</t>
  </si>
  <si>
    <t>DET. MARSELLA JAZMIN ROSAS 430GR 24BOL</t>
  </si>
  <si>
    <t>d7e6fd17-5db0-4780-aae4-c8df7efac0a5</t>
  </si>
  <si>
    <t>DETERGENTE MARSELLA PROFESIONAL 13.5KG</t>
  </si>
  <si>
    <t>1a53c5b7-d37f-4193-b37d-1fc1c22ce107</t>
  </si>
  <si>
    <t>DET. MARSELLA AMAZO TROP 730GR 15BOL CP</t>
  </si>
  <si>
    <t>c31ced49-cfad-4f16-8bcb-77280d94456b</t>
  </si>
  <si>
    <t>DET. MARSELLA LAVANDA ROSAS 2KG 7BOL CP</t>
  </si>
  <si>
    <t>fcca4a19-5791-43d3-855b-36be67f525f5</t>
  </si>
  <si>
    <t>DET.MARSELLA LAVANDA ROSA 730GR 15BOL CP</t>
  </si>
  <si>
    <t>c5d2cc94-0f11-41de-9326-96228fa8ded0</t>
  </si>
  <si>
    <t>DET. MARSE. LAVANDA ROSAS 320GR 30BOL CP</t>
  </si>
  <si>
    <t>2c3cc68a-dba5-4e8e-b112-cff2e0fb904f</t>
  </si>
  <si>
    <t>DET.MARSELLA LAVANDA ROSA 430GR 24BOL CP</t>
  </si>
  <si>
    <t>78ffc22e-0e46-4fca-a35e-a79b2dd7678a</t>
  </si>
  <si>
    <t>DET. MARSE. LAVANDA ROSAS 140GR 60BOL CP</t>
  </si>
  <si>
    <t>c68b8044-e0e8-476f-98f4-767012763627</t>
  </si>
  <si>
    <t>DET. MARSELLA LAVANDA ROSAS 80GR 105BOL</t>
  </si>
  <si>
    <t>786daaee-54ba-480b-a3d7-9bbbc792dbca</t>
  </si>
  <si>
    <t>DETER. OPAL ULTRA FLORAL 1.5KG 10BOL</t>
  </si>
  <si>
    <t>f094b8c7-c5f5-42b9-8894-4d5e18b7947f</t>
  </si>
  <si>
    <t>DETER. OPAL ULTRA 1.5KG 8BOL</t>
  </si>
  <si>
    <t>c095b247-74a1-4ffb-9330-35351551063c</t>
  </si>
  <si>
    <t>DETER. OPAL ULTRA 2.6KG 7BOL</t>
  </si>
  <si>
    <t>2dd20728-8a44-4af6-98c6-077c94bd80b2</t>
  </si>
  <si>
    <t>DETER. OPAL ULTRA 5.8KG 3BOL</t>
  </si>
  <si>
    <t>ca6cfc82-d4ba-42e5-adae-d5bf75442162</t>
  </si>
  <si>
    <t>DETER. OPAL ULTRA C/QMANCHAS 4.5KG 4BOL</t>
  </si>
  <si>
    <t>61db4372-c164-42e7-af23-ca715a81d8a8</t>
  </si>
  <si>
    <t>DETER. OPAL ADVANCE 150GR 60BOL</t>
  </si>
  <si>
    <t>5fec5071-3dc3-4b14-9b6e-4f4d14ba9062</t>
  </si>
  <si>
    <t>DETER. OPAL ULTRA 150GR 60BOL</t>
  </si>
  <si>
    <t>01a9dec2-5339-4cfa-940c-500813d2bb83</t>
  </si>
  <si>
    <t>DETER. OPAL ULTRA C/QMANCHAS 350GR 30BOL</t>
  </si>
  <si>
    <t>42c40241-766b-4aa4-9961-080349def02f</t>
  </si>
  <si>
    <t>DETER. OPAL ULTRA 9KG 1BOL</t>
  </si>
  <si>
    <t>69efbb73-7b6f-495e-a608-a058c0b54798</t>
  </si>
  <si>
    <t>4cbdf12b-b688-46ca-b880-e52b549266f6</t>
  </si>
  <si>
    <t>DET. OPAL ULTRA 140GR.60BOL</t>
  </si>
  <si>
    <t>b253d4dd-78f9-48ea-9f18-3d98235a272e</t>
  </si>
  <si>
    <t>DET. OPAL ULTRA 2.4KG.6BOL</t>
  </si>
  <si>
    <t>41af5df4-2671-4408-ab99-7e266d1af501</t>
  </si>
  <si>
    <t>DET. OPAL FLORAL 4.0KG.4BOL</t>
  </si>
  <si>
    <t>15284678-128a-4d43-b78f-d66b3c33b1d5</t>
  </si>
  <si>
    <t>DETER. OPAL ULTRA 5.6KG 3BOL</t>
  </si>
  <si>
    <t>b963f97c-3334-4198-b675-5a7ec729a127</t>
  </si>
  <si>
    <t>DET. OPAL ULTRA 730GR.15BOL</t>
  </si>
  <si>
    <t>3e475446-f730-42d5-b3fa-012148c020cf</t>
  </si>
  <si>
    <t>DETER. OPAL ULTRA 430GR.24BOL</t>
  </si>
  <si>
    <t>72b5c79d-0349-4f27-b7c0-ef927e33d646</t>
  </si>
  <si>
    <t>DETER. OPAL ULTRA 320GR.30BOL</t>
  </si>
  <si>
    <t>fd4c546b-cafb-4585-baa8-e019892a4cbd</t>
  </si>
  <si>
    <t>DET.OPAL ANTIBAC 2.4KG.6BOL</t>
  </si>
  <si>
    <t>be2c98ff-4ae7-46cb-acb6-e188f368944a</t>
  </si>
  <si>
    <t>DETER. OPAL ADVANCE 780GR 15BOL</t>
  </si>
  <si>
    <t>fe6afcb9-e4c8-4a38-9143-22f2be3f737a</t>
  </si>
  <si>
    <t>DET.OPAL ANTIBAC 4.0KG.4BOL</t>
  </si>
  <si>
    <t>41fba44f-59b1-4301-8105-dfbce55f40d2</t>
  </si>
  <si>
    <t>DET. OPAL ANTIBAC 730GR.15BO</t>
  </si>
  <si>
    <t>cecc4277-834d-4eca-9dfe-8c3bd9735a99</t>
  </si>
  <si>
    <t>DET. OPAL ANTIBAC 430GR.24BO</t>
  </si>
  <si>
    <t>92088fee-ec8d-45b8-a094-9b4001cb3176</t>
  </si>
  <si>
    <t>DET. OPAL BLANCOS 2.4KG.6BOL</t>
  </si>
  <si>
    <t>b197ece2-59ff-49c2-9754-3cc74024ba04</t>
  </si>
  <si>
    <t>DET.OPAL ULTRA C/QUITAMA 780GR.15BOL</t>
  </si>
  <si>
    <t>89f0e32c-7bf4-4603-b7cf-85f8904269e5</t>
  </si>
  <si>
    <t>DET. OPAL BLANCOS 4.0KG 4BOL</t>
  </si>
  <si>
    <t>7e3656ed-134b-429e-801a-d8c684853794</t>
  </si>
  <si>
    <t>DET. OPAL BLANCOS 730GR.15BOL</t>
  </si>
  <si>
    <t>c0b3ccd6-4f82-4a43-bcb2-ddacf821bd20</t>
  </si>
  <si>
    <t>DET.OPAL SPORT 350GR.30BOL</t>
  </si>
  <si>
    <t>6ad6d137-0c12-485e-b0a9-3ab39967abc7</t>
  </si>
  <si>
    <t>DET.OPAL SPORT 500GR.24BOL</t>
  </si>
  <si>
    <t>df399770-488a-40d1-aec3-383c2597d1c3</t>
  </si>
  <si>
    <t>DET.OPAL SPORTS 780GR.15BOL</t>
  </si>
  <si>
    <t>f9bdb3f7-f8a0-492d-863f-78ca26c83901</t>
  </si>
  <si>
    <t>DET.OPAL SPORT 2.6KG.7BOL</t>
  </si>
  <si>
    <t>930c1b52-b582-4d3a-87bf-4b9bb1c5293e</t>
  </si>
  <si>
    <t>DET.OPAL SPORT 4.5KG.4BOL</t>
  </si>
  <si>
    <t>ea9c046a-4efb-4f09-82fc-f215bebb61b3</t>
  </si>
  <si>
    <t>DETER. OPAL LIQUIDO SPORTS 1900 ML</t>
  </si>
  <si>
    <t>28f10ac4-459c-4856-93be-898b6d83802e</t>
  </si>
  <si>
    <t>DETER. OPAL ANTIBACTERIAL 150GR.60BOL</t>
  </si>
  <si>
    <t>56e27270-8f90-41d9-aecb-5f84455abef7</t>
  </si>
  <si>
    <t>DETER. OPAL ANTIBACTERIAL 330GR.30BOL</t>
  </si>
  <si>
    <t>0c93761b-e620-417d-9060-e45ca7806035</t>
  </si>
  <si>
    <t>DETER. OPAL ANTIBACTERIAL 480GR.24BOL</t>
  </si>
  <si>
    <t>2fb355cc-aea5-459f-be25-ebda94efd888</t>
  </si>
  <si>
    <t>DETER. OPAL ANTIBACTERIAL 780GR.15BOL</t>
  </si>
  <si>
    <t>15bc2e64-e0cc-404a-a21c-89226a712408</t>
  </si>
  <si>
    <t>DETER. OPAL ANTIBACTERIAL 2.6KG.7BOL</t>
  </si>
  <si>
    <t>b8c45db3-b36e-4379-a564-11c50f9ecba7</t>
  </si>
  <si>
    <t>DETER. OPAL ULTRA FLORAL 280GR.35BOL</t>
  </si>
  <si>
    <t>d6464710-4a83-455b-8b44-66c22cb48999</t>
  </si>
  <si>
    <t>DET.OPAL ANTIBACTERIAL EX BOL 700G.15BOL</t>
  </si>
  <si>
    <t>9c665031-94c3-408e-86b2-b90efa554c1a</t>
  </si>
  <si>
    <t>DET.OPAL ANTIBACTERIAL EX BOL 2KG.6BOL</t>
  </si>
  <si>
    <t>b0cd92df-a14e-41f4-82d1-32a4dd74b5dd</t>
  </si>
  <si>
    <t>DET. OPAL ULTRA FLORAL 140GR.60BOL</t>
  </si>
  <si>
    <t>777afe7b-5a1b-4f22-b618-aec8453c47c6</t>
  </si>
  <si>
    <t>DET. OPAL ADVANCE 450GR.24BOL</t>
  </si>
  <si>
    <t>aa6f2a29-0247-4042-af46-4b6f4f7b12b7</t>
  </si>
  <si>
    <t>DET. OPAL ADVANCE 750GR.15BOL</t>
  </si>
  <si>
    <t>4ccc6788-f3d1-44f7-abc3-44a4f4695d33</t>
  </si>
  <si>
    <t>DET. OPAL ADVANCE 2.4KG.6BOL</t>
  </si>
  <si>
    <t>795c8142-647a-4063-ba14-3e4be6f9215a</t>
  </si>
  <si>
    <t>DET. OPAL ADVANCE 4.2KG.4BOL</t>
  </si>
  <si>
    <t>d6c03d96-fa82-4419-ae5e-4cfb762821aa</t>
  </si>
  <si>
    <t>DET. OPAL ULTRA FLORAL 2.4KG.6BOL</t>
  </si>
  <si>
    <t>6ca6d59f-2e38-4f72-ac71-aad19fa8b0bd</t>
  </si>
  <si>
    <t>DET. OPAL ULTRA FLORAL 4.2KG.4BOL</t>
  </si>
  <si>
    <t>04a03512-5a51-401e-bb32-629fe306a511</t>
  </si>
  <si>
    <t>DET.OPAL ULTRA FLORAL 750GR.15BOL</t>
  </si>
  <si>
    <t>3486de2b-0782-4ae0-9b8d-2c8e35cc1903</t>
  </si>
  <si>
    <t>DET. OPAL ANTIPERCUDIDO 450GR.24BOL</t>
  </si>
  <si>
    <t>98604f9d-3ab2-4cec-92b8-1ad7324fb1bc</t>
  </si>
  <si>
    <t>DET. OPAL ANTIPERCUDIDO 750GR.15BOL</t>
  </si>
  <si>
    <t>c4171602-7f24-42a8-b9b2-2967b7d9690e</t>
  </si>
  <si>
    <t>DET. OPAL ANTIPERCUDIDO 2.4KG.6BOL</t>
  </si>
  <si>
    <t>62c0d140-9340-440b-80b1-9cb315b50a94</t>
  </si>
  <si>
    <t>DET. OPAL ANTIPERCUDIDO 140GR.60BOL</t>
  </si>
  <si>
    <t>c79a785c-e63e-4c61-a7f2-554aa0768f78</t>
  </si>
  <si>
    <t>DET. OPAL ANTIPERCUDIDO 4.2KG 4BOL</t>
  </si>
  <si>
    <t>46302978-5ccc-402c-a482-ee616d830990</t>
  </si>
  <si>
    <t>DET. OPAL ULTRA FLORAL 4.0KG.4BOL</t>
  </si>
  <si>
    <t>0c826ad4-eacd-4bc2-9bc5-4b28200db021</t>
  </si>
  <si>
    <t>DET.OPAL ANTIBACTERIAL PLUS 4.0KG.4BOL</t>
  </si>
  <si>
    <t>2a4a37ff-7917-44ae-b59b-25a1bfbf3f22</t>
  </si>
  <si>
    <t>DET. OPAL ANTIPERCUDIDO 4.0KG 4BOL</t>
  </si>
  <si>
    <t>596828c5-2cf3-4f39-80df-8afd6a37d3f3</t>
  </si>
  <si>
    <t>9cadc04c-9b05-494a-ad03-24a974e6dfa4</t>
  </si>
  <si>
    <t>DET. OPAL ANTIPERCUDIDO 730GR.15BOL</t>
  </si>
  <si>
    <t>c7a0eb05-1ec5-4dd3-a5d4-62020963a1a4</t>
  </si>
  <si>
    <t>DET. OPAL ULTRA FLORAL 730GR.15BOL</t>
  </si>
  <si>
    <t>6d50623a-8ceb-4dea-a83f-f026b9a37667</t>
  </si>
  <si>
    <t>DET. OPAL ANTIBACTERIAL PLUS 730GR.15BOL</t>
  </si>
  <si>
    <t>2e05d7f1-82b1-453b-954e-d29de1bea212</t>
  </si>
  <si>
    <t>72098c6c-d39c-4e0e-9d57-b4978b04ae7e</t>
  </si>
  <si>
    <t>DET. OPAL ANTIBACTERIAL PLUS 430GR.24BOL</t>
  </si>
  <si>
    <t>7ccbfbca-4633-49c5-a495-05ad1c725ada</t>
  </si>
  <si>
    <t>556ba790-53ab-4ebd-a7bf-ee39d6c743f6</t>
  </si>
  <si>
    <t>DET. OPAL ULTRA 1.5KG 8BOL</t>
  </si>
  <si>
    <t>b68d1cf4-dee0-4c9d-9e7b-e2bfbf116774</t>
  </si>
  <si>
    <t>DET. OPAL ULTRA 2.4KG.6BOL CP</t>
  </si>
  <si>
    <t>c22eee5c-b574-4ccf-8c03-aae90420e312</t>
  </si>
  <si>
    <t>DET. OPAL ULTRA 730GR.15BOL CP</t>
  </si>
  <si>
    <t>2caf0fdd-8449-4e4e-b004-2f0ea91b0463</t>
  </si>
  <si>
    <t>DETER. OPAL ULTRA 430GR.24BOL CP</t>
  </si>
  <si>
    <t>851b1d95-a7a8-49b8-bb75-d33f8dafeaa5</t>
  </si>
  <si>
    <t>DETER. OPAL ULTRA 320GR.30BOL CP</t>
  </si>
  <si>
    <t>3c1a3ec7-f2c8-4d0f-9a7f-dd321f8de524</t>
  </si>
  <si>
    <t>DET. UNO PARAISO TROPICAL 4.8KG 2BOL</t>
  </si>
  <si>
    <t>097407ac-5a77-4664-8160-e634dabdcfcb</t>
  </si>
  <si>
    <t>DET. UNO SUAVIDAD COCO 4.8KG 2BOL</t>
  </si>
  <si>
    <t>bb5a08c2-7adf-45bf-b772-6615595a36fc</t>
  </si>
  <si>
    <t>DET. UNO FRESCURA LIMON 4.8KG 2BOL</t>
  </si>
  <si>
    <t>9d003fa8-1d58-4ac5-a1da-a9b678c6158c</t>
  </si>
  <si>
    <t>DET. UNO FRESCURA FLORAL 4.8KG 2BOL</t>
  </si>
  <si>
    <t>246b3e3a-917b-40a3-89b2-7a9b03b20462</t>
  </si>
  <si>
    <t>DET. UNO ARMONIA FLORAL 4.8KG 2BOL</t>
  </si>
  <si>
    <t>011bec18-f248-4a8c-b330-a58b9790ee23</t>
  </si>
  <si>
    <t>DET. UNO PARAÍSO TROPICAL 650G.15BOL</t>
  </si>
  <si>
    <t>4f52fc4d-0a31-4865-88d9-7fc0cf8cccb5</t>
  </si>
  <si>
    <t>DET. UNO SUAVIDAD COCO 650G.15BOL</t>
  </si>
  <si>
    <t>cd1b323c-0535-4553-884f-3d392454bacb</t>
  </si>
  <si>
    <t>DET. UNO FRESCURA LIMON 650G.15BOL</t>
  </si>
  <si>
    <t>7976df3e-4bba-42ca-aa52-3dd146ca0639</t>
  </si>
  <si>
    <t>DET.UNO FRESCURA FLORAL 650G.15BOL</t>
  </si>
  <si>
    <t>49e3989f-4adf-4673-ba9e-456c8afbd990</t>
  </si>
  <si>
    <t>DET. UNO ARMONÍA FLORAL BOL 650G.15BOL</t>
  </si>
  <si>
    <t>edcabc1e-fb41-427b-a59f-173f51e9af2d</t>
  </si>
  <si>
    <t>DETER. TROME SMART BEBE 150GR 60BOL</t>
  </si>
  <si>
    <t>ed989040-d975-42c8-9824-06645b4d5b1b</t>
  </si>
  <si>
    <t>DETERGENTE TROME MULTIUSO 15KG</t>
  </si>
  <si>
    <t>9602311f-b0e3-48ed-a160-c9be6ddc5a83</t>
  </si>
  <si>
    <t>DET. TROME FLORAL 130GR.60BOL</t>
  </si>
  <si>
    <t>b81b0264-4b4e-4f6e-bd42-d398e879b8de</t>
  </si>
  <si>
    <t>DET. TROME BEBE 130GR.60BOL</t>
  </si>
  <si>
    <t>2025f260-2270-4cf3-acca-f332c499a0c5</t>
  </si>
  <si>
    <t>DET. TROME CITRICO 130GR.60BOL</t>
  </si>
  <si>
    <t>05d68a3c-4459-4954-a51b-0f88ceb21d18</t>
  </si>
  <si>
    <t>DETERGENTE TROME MULTIUSO 13.5KG</t>
  </si>
  <si>
    <t>05e2a340-4f0e-49fc-b691-18071d7f7519</t>
  </si>
  <si>
    <t>DET. TROME ENCANTO FLORAL 130GR 60BOL</t>
  </si>
  <si>
    <t>e2a6a163-3719-4b2a-aa24-6e2fd0208cb0</t>
  </si>
  <si>
    <t>DET. TROME FRESCO LIMÓN 130GR 60BOL</t>
  </si>
  <si>
    <t>9cc1c386-5ca3-49b5-940d-df5ecfdf8875</t>
  </si>
  <si>
    <t>DET. TROME TERNURA FLORAL 130GR 60BOL</t>
  </si>
  <si>
    <t>37bba588-be25-402d-8d24-25637ccf147f</t>
  </si>
  <si>
    <t>DET. TROME PRO 15KG</t>
  </si>
  <si>
    <t>fcd1e867-79de-4fe4-a151-5d104fd7bd07</t>
  </si>
  <si>
    <t>DET. TROME FLORAL 1000GR.12UND</t>
  </si>
  <si>
    <t>52e5bbd6-d020-47de-a634-dd13cee87530</t>
  </si>
  <si>
    <t>DET. TROME PRO PRIMAVERAL 15KG</t>
  </si>
  <si>
    <t>b6139999-8d6f-4970-8cbf-83b89314f348</t>
  </si>
  <si>
    <t>DET. TROME ENCANTO FLORAL 4KG.4BOL</t>
  </si>
  <si>
    <t>c4019956-f018-4fe1-93ea-53ce19e89219</t>
  </si>
  <si>
    <t>DET. MULTIUSO TAO PROFESIONAL 15KG</t>
  </si>
  <si>
    <t>91644aaf-249f-4b72-9142-8e486db9c5f9</t>
  </si>
  <si>
    <t>DET. ULTRA TERNURA FLORAL 15 KG</t>
  </si>
  <si>
    <t>d4994dec-8d93-43b2-a371-eefd008e49e3</t>
  </si>
  <si>
    <t>DET. ULTRA FRESCO LIMÓN 15 KG</t>
  </si>
  <si>
    <t>8a3a4406-f241-499b-8301-c320978ae2bc</t>
  </si>
  <si>
    <t>DET. ULTRA ENCANTO FLORAL 15 KG</t>
  </si>
  <si>
    <t>96b36b86-c391-4503-967a-3d9f55ea0de1</t>
  </si>
  <si>
    <t>DET. ULTRA TERNURA FLORAL 5KGX2BOL</t>
  </si>
  <si>
    <t>2394febb-45b6-49a1-8773-53543a737253</t>
  </si>
  <si>
    <t>DET. ULTRA FRESCO LIMÓN 5KGX2BOL</t>
  </si>
  <si>
    <t>62fceeeb-41f6-4642-925c-a1c9cea076d5</t>
  </si>
  <si>
    <t>DET. ULTRA ENCANTO FLORAL 5KGX2BOL</t>
  </si>
  <si>
    <t>af10024c-4f6f-426e-a4b5-7feafd69b71c</t>
  </si>
  <si>
    <t>DET. ULTRA TERNURA FLORAL 700GX15BOL</t>
  </si>
  <si>
    <t>066b759f-381c-4b08-b9aa-3f62d46e63a9</t>
  </si>
  <si>
    <t>DET. ULTRA FRESCO LIMÓN 700GX15BOL</t>
  </si>
  <si>
    <t>fd6584ab-3409-4dbb-b4ec-532922799ff5</t>
  </si>
  <si>
    <t>DET. ULTRA ENCANTO FLORAL 700GX15BOL</t>
  </si>
  <si>
    <t>4a2613c1-07f3-4416-b967-73fa3a0d09fe</t>
  </si>
  <si>
    <t>DET. ULTRA TERNURA FLORAL 500GX24BOL</t>
  </si>
  <si>
    <t>e41acfb8-a58f-4429-8459-c1699f62a5df</t>
  </si>
  <si>
    <t>DET. ULTRA ENCANTO FLORAL 500GX24BOL</t>
  </si>
  <si>
    <t>c9fdbbc1-ebe1-4513-8aa1-7bafd000473a</t>
  </si>
  <si>
    <t>DET. ULTRA TERNURA FLORAL 140GX60BOL</t>
  </si>
  <si>
    <t>aa1d3616-629c-4bd3-9793-f75c32c31135</t>
  </si>
  <si>
    <t>DET. ULTRA ENCANTO FLORAL 140GX60BOL</t>
  </si>
  <si>
    <t>4b4c2eeb-0d9d-4212-8d23-b9a9887ac038</t>
  </si>
  <si>
    <t>DET. ULTRA FRESCO LIMÓN 140GX60BOL</t>
  </si>
  <si>
    <t>b898ba22-d4c3-4c1f-8813-7c57fb15586b</t>
  </si>
  <si>
    <t>DET. MULTIUSO TAO PROFESIONAL 130 GR</t>
  </si>
  <si>
    <t>1a4ee934-7909-44cb-9bc3-c1c928973594</t>
  </si>
  <si>
    <t>DET.SAPOLIO AMD BEBE C/ASA 6KG.2UND</t>
  </si>
  <si>
    <t>c6c38916-d0e1-4f09-859b-024f47c9535d</t>
  </si>
  <si>
    <t>DETER.PROFESIONAL SAPOLIO 200GR.45BOL</t>
  </si>
  <si>
    <t>62225af3-6dac-466d-890b-a0a3f18e2b7f</t>
  </si>
  <si>
    <t>DETER.SAPO.ULT.CITRUS 150GR.60BOL EXP.</t>
  </si>
  <si>
    <t>baff5275-6dc0-4972-815a-abf76335aeea</t>
  </si>
  <si>
    <t>DETER.SAPOL.ULTRA CITRUS 200GR.42BOL ECU</t>
  </si>
  <si>
    <t>3184b235-60bf-4025-ae64-c01b0b6fb086</t>
  </si>
  <si>
    <t>DETER.SAPOL.ULTRA FLORAL 200GR.42BOL ECU</t>
  </si>
  <si>
    <t>d82e115e-a74e-400b-bd2f-3a71c96ac124</t>
  </si>
  <si>
    <t>DETER.SAPOL.ULTRA CITRUS 440GR.20BOL ECU</t>
  </si>
  <si>
    <t>291d0044-fb24-4777-aeff-de1c2efc5bd8</t>
  </si>
  <si>
    <t>DETER.SAPOL.ULTRA FLORAL 440GR.20BOL ECU</t>
  </si>
  <si>
    <t>ed7240dc-b685-42f5-b5a6-3078db05c43d</t>
  </si>
  <si>
    <t>DETER.SAPO.ULT.CITRUS 450GR.20BOL EXP.</t>
  </si>
  <si>
    <t>4cff9483-1f8e-403f-af9f-205537596f73</t>
  </si>
  <si>
    <t>DETER.SAPO.ULT.FLORAL 450GR.20BOL EXP.</t>
  </si>
  <si>
    <t>bba47212-b933-415f-b0f4-d1d2a766b57d</t>
  </si>
  <si>
    <t>DETER.SAPOL.ULTR.BEBÉ 450GR.20BOL EXP.</t>
  </si>
  <si>
    <t>970d5230-cf0f-42c5-8219-b4a2defeea93</t>
  </si>
  <si>
    <t>DETER.SAPO.ULT.CITRUS 800GR.15BOL EXP.</t>
  </si>
  <si>
    <t>20a377e0-88ca-4a70-9fca-5844a9ed3630</t>
  </si>
  <si>
    <t>DETER.SAPO.ULT.FLORAL 800GR.15BOL EXP.</t>
  </si>
  <si>
    <t>d6210656-c003-4d6a-9153-bc31ca6f5899</t>
  </si>
  <si>
    <t>DETER.SAPOL.ULTR.BEBÉ 800GR.15BOL EXP.</t>
  </si>
  <si>
    <t>c6f33960-feb5-4311-9731-d44eb5658c9c</t>
  </si>
  <si>
    <t>DETER.SAPOLIO ULTRA CITRUS 1KG.12BOL ECU</t>
  </si>
  <si>
    <t>ba25e14a-3c52-4d40-a45a-215d3ef62845</t>
  </si>
  <si>
    <t>DETER.SAPOLIO ULTRA FLORAL 1KG.12BOL ECU</t>
  </si>
  <si>
    <t>e3e15a2e-87a2-4139-aa5e-8a0116008ea8</t>
  </si>
  <si>
    <t>DETER.SAPOL.ULTRA CITRUS 2KG.6BOL EXP.EC</t>
  </si>
  <si>
    <t>049a914a-3ad2-4e5d-87ee-d059ab4f839d</t>
  </si>
  <si>
    <t>DETER.SAPOLIO ULTRA FLORAL 2KG.6BOL ECU</t>
  </si>
  <si>
    <t>dc4ef9d4-d87e-4540-b40a-b00c9bf03522</t>
  </si>
  <si>
    <t>DETER.SAPOL.ULTRA CITRUS 4KG.4BOL EXP.</t>
  </si>
  <si>
    <t>5d1ce337-da2c-41ea-96cd-4c91115aea51</t>
  </si>
  <si>
    <t>DETER.SAPOLIO ULTRA CITRUS 5KG.2BOL ECU.</t>
  </si>
  <si>
    <t>94ddbfa9-3736-4310-87d7-cf95ca36235c</t>
  </si>
  <si>
    <t>DETER.SAPOLIO ULTRA FLORAL 5KG.2BOL ECU.</t>
  </si>
  <si>
    <t>c75c39fc-710c-4f92-a42b-d58f509798e0</t>
  </si>
  <si>
    <t>DETER.SAPOL.ULTRA CITRUS 6KG.2BOL EXP.</t>
  </si>
  <si>
    <t>b481154a-2b85-4691-925f-96c99f05bbee</t>
  </si>
  <si>
    <t>DETER. SAPOLIO FLORAL 750GR 15BOL</t>
  </si>
  <si>
    <t>8b12050a-ac57-4d9b-872e-f7ac45e4af17</t>
  </si>
  <si>
    <t>DETER. SAPOLIO BEBE 750GR 15BOL</t>
  </si>
  <si>
    <t>75e110d9-8d28-437b-b4ea-6c411f63b56e</t>
  </si>
  <si>
    <t>DETER. SAPOLIO ULTRA MÁXIMO PODER 15KG</t>
  </si>
  <si>
    <t>a4e7d7b6-c61c-4b20-8a10-b2be170cb899</t>
  </si>
  <si>
    <t>DETER.SAPOLIO ULTRA CITRUS 2KG.6BOL EXP</t>
  </si>
  <si>
    <t>d96b49a3-895f-4f54-b1c2-337abd0a31be</t>
  </si>
  <si>
    <t>DETER.SAPOLIO ULTRA FLORAL 2KG.6BOL EXP</t>
  </si>
  <si>
    <t>523c60b7-a133-426e-82ea-0ac6dfa4c5bc</t>
  </si>
  <si>
    <t>DETER.SAPOLIO ULTRA BEBÉ 2KG.6BOL EXP</t>
  </si>
  <si>
    <t>e3e20905-fc2d-4b05-8497-3d5024bca518</t>
  </si>
  <si>
    <t>DETER.SAPOLIO 14KG</t>
  </si>
  <si>
    <t>7e2c0bdb-dc38-420f-bd9e-421124c3f250</t>
  </si>
  <si>
    <t>DETER.SAPOLIO LIMON 140GR 60UND</t>
  </si>
  <si>
    <t>785496e5-265c-40e5-8a28-48b294eb581a</t>
  </si>
  <si>
    <t>DETER.SAPOLIO FLORAL 140GR 60UND</t>
  </si>
  <si>
    <t>4870f331-bcf3-418e-89d5-fb7e32de3ff1</t>
  </si>
  <si>
    <t>DETER.SAPOLIO BEBE 140GR 60UND</t>
  </si>
  <si>
    <t>5653e828-d12e-4925-9bc3-9bd1fef3702a</t>
  </si>
  <si>
    <t>DETER.SAPOL.UL.MAT.CITRUS 440GR 20UND CH</t>
  </si>
  <si>
    <t>75306243-cdc8-48ae-8526-44f3f0d65651</t>
  </si>
  <si>
    <t>DETER.SAPOL.UL.MAT.CITRUS 800GR 15UND CH</t>
  </si>
  <si>
    <t>eb2e64d6-ebf9-47bf-a223-8e5b7133b09f</t>
  </si>
  <si>
    <t>DETER.SAPOL.ULT.MAT.CITRUS 2KG 6UND CHI</t>
  </si>
  <si>
    <t>28d8e631-d204-44bf-84ae-a60daec8887c</t>
  </si>
  <si>
    <t>DETER.SAPOL.UL.MAT.FLORAL 440GR 20UND CH</t>
  </si>
  <si>
    <t>6e89aa23-1119-44de-bcbf-42e77874168f</t>
  </si>
  <si>
    <t>DETER.SAPOL.UL.MAT.FLORAL 800GR 15UND CH</t>
  </si>
  <si>
    <t>ee2a7917-6d9f-4609-8044-8b599a020711</t>
  </si>
  <si>
    <t>DETER.SAPOL.ULT.MAT.FLORAL 2KG 6UND CHI</t>
  </si>
  <si>
    <t>ad2d8bf6-ce9c-4460-a033-2ea6140fc6a9</t>
  </si>
  <si>
    <t>DETER. SAPOLIO LIMON 750GR 15BOL</t>
  </si>
  <si>
    <t>5ea90dd9-b8ef-40a7-8d3f-413359198934</t>
  </si>
  <si>
    <t>DET. PRO. SAPOLIO 140GR.12BOL</t>
  </si>
  <si>
    <t>edd0c387-f8e7-4442-8c68-ac4ac73f53a3</t>
  </si>
  <si>
    <t>DETER.SAPOLIO 13.5KG</t>
  </si>
  <si>
    <t>9d4b19b9-91db-4d04-a82d-3e69e9565de9</t>
  </si>
  <si>
    <t>DETERGENTE PROFESIONAL SAPOLIO SACO 9KG.</t>
  </si>
  <si>
    <t>e88d468f-e8ef-4ade-aab0-38c6b8745d21</t>
  </si>
  <si>
    <t>DET. PRO SAPOLIO 140GR PACK 12BOL.</t>
  </si>
  <si>
    <t>85d847dc-a265-4b6f-8c0c-8660a4d089f8</t>
  </si>
  <si>
    <t>DET.SAP.ULT.FLORAL 1KG+200G FLORAL 12PCK</t>
  </si>
  <si>
    <t>133b7bec-b3d0-41d3-b60a-d0b50b700d89</t>
  </si>
  <si>
    <t>DETE.SAPO.M ULTRA CITRUS 200GR.42BOL ECU</t>
  </si>
  <si>
    <t>b16b0c31-f7de-4bcb-b3b5-b8fa527aa1e3</t>
  </si>
  <si>
    <t>DETE.SAPO.M ULTRA FLORAL 200GR.42BOL ECU</t>
  </si>
  <si>
    <t>6a5b6458-6267-496a-aaa5-2592a8759d1f</t>
  </si>
  <si>
    <t>DETER.SAPOL.M ULTRA CITRUS 1KG.12BOL ECU</t>
  </si>
  <si>
    <t>5b52e942-985a-4297-84d5-e2b6cad4adb4</t>
  </si>
  <si>
    <t>DETER.SAPOL.M ULTRA FLORAL 1KG.12BOL ECU</t>
  </si>
  <si>
    <t>5a034160-2b77-4276-8cb2-45bd61c2a812</t>
  </si>
  <si>
    <t>DETER.SAPOL.M ULTRA CITRUS 2KG.6BOL ECU</t>
  </si>
  <si>
    <t>25213e38-1390-4689-add3-495aaa0e8f40</t>
  </si>
  <si>
    <t>DETER.SAPOL.M ULTRA FLORAL 2KG.6BOL ECU</t>
  </si>
  <si>
    <t>270a5b21-0ff4-415e-a3a7-18fa4a0b47d7</t>
  </si>
  <si>
    <t>DETER.SAPO. M ULTRA CITRUS 5KG.2BOL ECU.</t>
  </si>
  <si>
    <t>31f407b8-37ab-4d4f-914a-be2ae7ff111f</t>
  </si>
  <si>
    <t>DETER.SAPO.M ULTRA FLORAL 5KG.2BOL ECU.</t>
  </si>
  <si>
    <t>54f15643-f40f-404c-a8f3-c243721190d1</t>
  </si>
  <si>
    <t>DETE.SAPO.M ULTRA CITRUS 440GR.20BOL ECU</t>
  </si>
  <si>
    <t>3da64828-a4c8-4ca3-9aaa-6b094e156811</t>
  </si>
  <si>
    <t>DETE.SAPO.M ULTRA FLORAL 440GR.20BOL ECU</t>
  </si>
  <si>
    <t>329e825d-b961-4156-9842-46ff973f50e8</t>
  </si>
  <si>
    <t>DET. TROME ENCANTO FLORAL 140GR.60BOL</t>
  </si>
  <si>
    <t>cbfdf28e-225a-4a83-9354-856def009fdf</t>
  </si>
  <si>
    <t>DET. TROME FRESCO LIMON 140GR.60BOL</t>
  </si>
  <si>
    <t>83dce58c-7ca3-4651-8f53-2223a2c2edcd</t>
  </si>
  <si>
    <t>DET. TROME TERNURA FLORAL 140GR.60BOL</t>
  </si>
  <si>
    <t>73b4a8be-26dc-4c54-83da-f562f37ac158</t>
  </si>
  <si>
    <t>DET. TROME ENCANTO FLORAL 500GR.24BOL</t>
  </si>
  <si>
    <t>131e8ae4-f163-4a1e-9277-6f28831600c2</t>
  </si>
  <si>
    <t>DET. SAP PRO MAX PODER 140GR PACK 12BOL</t>
  </si>
  <si>
    <t>95767158-6190-4107-b2f4-97ab45165fe7</t>
  </si>
  <si>
    <t>DET. SAPOLIO PRO MAXIMO PODER 9 KG</t>
  </si>
  <si>
    <t>1ae29a42-ae3a-44e1-afec-a54e3e0633a5</t>
  </si>
  <si>
    <t>DETER.SAPOLIO LIMON 140GR 60UND CP</t>
  </si>
  <si>
    <t>d48a3a03-e220-458b-bb53-30e3620e67d5</t>
  </si>
  <si>
    <t>DETER. SAPOLIO LIMON 730GR 15BOL CP</t>
  </si>
  <si>
    <t>14a781ad-5c74-4f46-9c9c-b1bd67c4c624</t>
  </si>
  <si>
    <t>DET.SAP.LIMON 2KG.6UND CP</t>
  </si>
  <si>
    <t>6b0c6308-471f-422b-80fa-2a34cd36b5e4</t>
  </si>
  <si>
    <t>DET. SAPOLIO PRO MAXIMO PODER 9X1KG</t>
  </si>
  <si>
    <t>f3a9bb4b-1fe4-4372-ae3c-46edccc1692d</t>
  </si>
  <si>
    <t>DET TROME ENCANTO FLORAL X 80G X 105 BOL</t>
  </si>
  <si>
    <t>50f386b2-b91a-4656-8d55-5e7f8a2d6bba</t>
  </si>
  <si>
    <t>DET TROME ENCANTO FLORAL X 70G X 105 BOL</t>
  </si>
  <si>
    <t>acf08efc-6305-456f-8b05-ef85398c746f</t>
  </si>
  <si>
    <t>DETER.SAPOLIO ULTRA FLORAL 6KG.2BOL USA</t>
  </si>
  <si>
    <t>44a4f44a-75fe-415d-a5fc-605cee36565d</t>
  </si>
  <si>
    <t>DET.PAT.AMS BEBE 450GR.20UND</t>
  </si>
  <si>
    <t>43f92ce1-b183-4390-8c21-78c3462b80dc</t>
  </si>
  <si>
    <t>DET.PAT.BEBE 640GR.15UND</t>
  </si>
  <si>
    <t>daa7e3a6-ad1e-485e-9356-15aea3a0f848</t>
  </si>
  <si>
    <t>DET.PATITO LIMON 140GR.60UND.XPQT</t>
  </si>
  <si>
    <t>f7b8cf41-015e-43b2-a4d5-8848ea109f33</t>
  </si>
  <si>
    <t>DET.PATITO FLORAL 140GR.60UND X PQT</t>
  </si>
  <si>
    <t>b6f5f65b-3744-429e-baed-0f971bc3ba76</t>
  </si>
  <si>
    <t>DET.PATITO BEBE 140GR.60UND X PQT</t>
  </si>
  <si>
    <t>4a6827f8-807e-49d6-8043-450c32125b9c</t>
  </si>
  <si>
    <t>DETER.PATITO LIMON 4KG.4BOL</t>
  </si>
  <si>
    <t>208708fa-edeb-4aed-a475-66fcf01ff7ff</t>
  </si>
  <si>
    <t>DETER.PATITO FLORAL 640GR 15UND EXP.BOL</t>
  </si>
  <si>
    <t>49e0047a-cb83-4af5-b85a-7b8d13428534</t>
  </si>
  <si>
    <t>DETER.PATITO FLORAL 5KG 2UND EXP.BOL</t>
  </si>
  <si>
    <t>d09143c1-372e-401a-97bf-6b1b2329b539</t>
  </si>
  <si>
    <t>DETER.PATITO LIMON 5KG 2UND EXP.BOL</t>
  </si>
  <si>
    <t>d8a8f81f-3c18-455a-b185-24c1c8080659</t>
  </si>
  <si>
    <t>DET.PATITO BICARB. LIMON 140GR.60UNDXPQT</t>
  </si>
  <si>
    <t>953860ce-547e-4e77-be14-df57c3954233</t>
  </si>
  <si>
    <t>DET.PATITO BICAR. FLORAL 140GR.60UNDXPQ</t>
  </si>
  <si>
    <t>624621c4-58c1-4486-8ed6-7fb4624b68e7</t>
  </si>
  <si>
    <t>DET.PATITO BICARB.BEBE 140GR.60UNDXPQT</t>
  </si>
  <si>
    <t>aa3d58b4-1adf-4aab-8b5f-7fa8731c44dd</t>
  </si>
  <si>
    <t>DETER.PATITO BICAR. LIMON 4KG.4BOL PE</t>
  </si>
  <si>
    <t>5d321136-3c83-4990-9f32-e263a191caba</t>
  </si>
  <si>
    <t>DETER.PATITO BICARB. FLORAL 4KG.4BOL PE</t>
  </si>
  <si>
    <t>93ed9320-f329-4d19-8961-4d9ff30923c2</t>
  </si>
  <si>
    <t>DETER.PATITO BICARB.LIMON 5.5KG.2BOL PE</t>
  </si>
  <si>
    <t>5c55460f-7030-43ba-a2bb-1614d6368983</t>
  </si>
  <si>
    <t>DETER.PATITO BICARB.FLORAL 5.5KG.2BOL PE</t>
  </si>
  <si>
    <t>d9ceb0c1-aba7-44ba-8249-63845ae145b7</t>
  </si>
  <si>
    <t>DET. PATITO BICARB. LIMÓN 1KG.12BOL</t>
  </si>
  <si>
    <t>93f073c3-e761-4396-982c-d13dd0a6f1a3</t>
  </si>
  <si>
    <t>DET.PATITO BICARB. LIMON 1600GR.6UND PE</t>
  </si>
  <si>
    <t>942d8d94-ffa4-4906-b326-3c9f3f7ea0f6</t>
  </si>
  <si>
    <t>DET.PATITO BICARB. LIMON 640GR.15UND PE</t>
  </si>
  <si>
    <t>97512b2e-8510-48d8-ab15-2a0066ddf4d3</t>
  </si>
  <si>
    <t>DET.PATITO BICARB. BEBE 1600GR.6UND PE</t>
  </si>
  <si>
    <t>e98bbb51-5ae8-4eec-8f13-ff1284cb6c36</t>
  </si>
  <si>
    <t>DET.PATITO BICARB. BEBE 640GR.15UND PE</t>
  </si>
  <si>
    <t>697a9158-88e6-43f2-a0b1-eab2e8e63577</t>
  </si>
  <si>
    <t>DETER.PATITO FLORAL 4.7KG 2UND EXP.BOL</t>
  </si>
  <si>
    <t>6cf6dd14-f5df-4499-bfcf-f9e0564b98d0</t>
  </si>
  <si>
    <t>DETER.PATITO LIMON 4.7KG 2UND EXP.BOL</t>
  </si>
  <si>
    <t>af4b74f4-4111-4419-829a-b6d2afd3b3eb</t>
  </si>
  <si>
    <t>DET.PAT.LIMON 500GR.15UND</t>
  </si>
  <si>
    <t>573d4a80-b65e-4f4a-b9f9-f3461c018037</t>
  </si>
  <si>
    <t>DET.PAT.BEBE 500GR.15UND</t>
  </si>
  <si>
    <t>cfc2452a-787b-4c6b-8fca-6b4517829718</t>
  </si>
  <si>
    <t>DETER.PATITO FLORAL 500GR 15UND EXP.BOL</t>
  </si>
  <si>
    <t>a1df6c86-7fb3-48d1-8c6f-932384e2e78e</t>
  </si>
  <si>
    <t>DETER. PATITO LIMON 130GR 60UND EXP.</t>
  </si>
  <si>
    <t>1da5cc4a-79d3-4fae-8de2-41dda1cb2cff</t>
  </si>
  <si>
    <t>DETER. PATITO FLORAL 130GR 60UND EXP.</t>
  </si>
  <si>
    <t>b72ce119-3e27-4a28-b241-4b003975728f</t>
  </si>
  <si>
    <t>DETER. PATITO BEBE 130GR 60UND EXP.</t>
  </si>
  <si>
    <t>d42e9e6e-f17e-4b44-a9bb-32bcd973db6f</t>
  </si>
  <si>
    <t>DET.PATITO BICARB.FLORAL 2X5.5KG.2BOL PE</t>
  </si>
  <si>
    <t>4b2e0832-caf3-44b5-a2e9-dd8d7cfb0b6b</t>
  </si>
  <si>
    <t>DET.PATITO BICARB.LIMON 2X5.5KG.2BOL PE</t>
  </si>
  <si>
    <t>8ff82d99-a98b-458d-8caa-e8120e1c7a5c</t>
  </si>
  <si>
    <t>DET.PATITO.BICARB FLORAL 500GX15BOL</t>
  </si>
  <si>
    <t>504365c6-4e17-41c7-9594-ef470fd60c37</t>
  </si>
  <si>
    <t>DET.PATITO.BICARB LIMÓN 500GX15BOL</t>
  </si>
  <si>
    <t>24c188de-ad2a-44b6-8a97-d5534475d79a</t>
  </si>
  <si>
    <t>DET.PATITOBICARB FLORAL 4.7KG X 2BOL</t>
  </si>
  <si>
    <t>94aeeb23-f76c-4423-8a26-34f54e9cd046</t>
  </si>
  <si>
    <t>DET.PATITOBICARB LIMÓN 4.7KG X 2BOL</t>
  </si>
  <si>
    <t>fc1c2eec-d174-438d-a6c2-af1bdf1b798b</t>
  </si>
  <si>
    <t>DET.PATITO.BICARB BEBÉ 500GX15BOL</t>
  </si>
  <si>
    <t>8dba8674-10e5-4d20-89d0-9b7e0028a594</t>
  </si>
  <si>
    <t>DET.PATITOBICARB FLORAL 130G.60UND X PQT</t>
  </si>
  <si>
    <t>365bf00e-a76b-40e4-a5d4-98c50d96d553</t>
  </si>
  <si>
    <t>DET.PATITOBICARB BEBÉ 130G.60UND X PQT</t>
  </si>
  <si>
    <t>abeac804-3766-4db0-afca-79a687d34e3c</t>
  </si>
  <si>
    <t>DET.PATITOBICARB LIMÓN 130G.60UND X PQT</t>
  </si>
  <si>
    <t>09e499d1-d128-4bdd-8d30-bb6d4b4fd2c7</t>
  </si>
  <si>
    <t>DET. BOLIVAR MATIC 3.8KGX4BOL</t>
  </si>
  <si>
    <t>ab0529ba-b241-41e1-af9e-47209ceb8173</t>
  </si>
  <si>
    <t>DET.PATITO BICARB.FLORAL 2X5.5KG.1PQT PE</t>
  </si>
  <si>
    <t>c0cc62dd-e302-4ef6-a0b6-01c1dcdfa771</t>
  </si>
  <si>
    <t>DET.PATITO BICARB.LIMÓN 2X5.5KG.1PQT PE</t>
  </si>
  <si>
    <t>3dfe1313-c10b-4b6a-a525-204a3dab6a77</t>
  </si>
  <si>
    <t>BASE DETERGENTE CICLON FRUTAL 22KG</t>
  </si>
  <si>
    <t>cff58363-28b8-4031-bb8d-81c63f71f809</t>
  </si>
  <si>
    <t>BASE DETERGENTE LAVATODO FLORAL 22KG</t>
  </si>
  <si>
    <t>57d13979-b85a-4600-9b2d-a62fa4172477</t>
  </si>
  <si>
    <t>BASE DET. 12% CICLON FLORAL 22KG</t>
  </si>
  <si>
    <t>da3f7725-bc20-448f-a1d5-072424258a8b</t>
  </si>
  <si>
    <t>DET.PAT.LIMON 1600GR.6UND PE</t>
  </si>
  <si>
    <t>b983dc9b-560c-4b05-908e-bbcf479eb597</t>
  </si>
  <si>
    <t>DET.PAT.BEBE 1600GR.6UND PE</t>
  </si>
  <si>
    <t>0a2a5ade-5584-414d-9b86-9f4206d17201</t>
  </si>
  <si>
    <t>DET.PAT.LIMON 640GR.15UND PE</t>
  </si>
  <si>
    <t>30c574a3-50cd-4bdd-85cd-6018616a4a61</t>
  </si>
  <si>
    <t>DET.PAT.BEBE 640GR.15UND PE</t>
  </si>
  <si>
    <t>7b23aa5f-84e0-49ab-b64b-d2901de19918</t>
  </si>
  <si>
    <t>DETER.PATITO LIMON 4KG.4BOL PE</t>
  </si>
  <si>
    <t>cdf9168e-62e3-4726-9059-4561e271cb45</t>
  </si>
  <si>
    <t>DETER.PATITO FLORAL 4KG.4BOL PE</t>
  </si>
  <si>
    <t>55244eee-07a3-4041-a1da-3179fe9c88ea</t>
  </si>
  <si>
    <t>DETER.PATITO LIMON 5.5KG.2BOL PE</t>
  </si>
  <si>
    <t>102f203f-d5d6-402e-abf0-b3878476696e</t>
  </si>
  <si>
    <t>DETER.PATITO FLORAL 5.5KG.2BOL PE</t>
  </si>
  <si>
    <t>bd760c5f-32a3-4b43-8638-2965a717c628</t>
  </si>
  <si>
    <t>DET. KLINTEX QUITAFORT 14KG</t>
  </si>
  <si>
    <t>57d31270-d7fb-4ba8-9b5d-98ee33df8ae2</t>
  </si>
  <si>
    <t>DET. KLINTEX QUITAPRO 14KG.</t>
  </si>
  <si>
    <t>b4a5d107-9912-47c3-9037-375bac464c08</t>
  </si>
  <si>
    <t>DETER. PATITO LIMON 140GR 60UND EXP.</t>
  </si>
  <si>
    <t>03252ff0-18d8-429c-bf15-482baa496537</t>
  </si>
  <si>
    <t>DETER. PATITO FLORAL 140GR 60UND EXP.</t>
  </si>
  <si>
    <t>9e2faa10-559b-41d4-8558-8337f2cc499c</t>
  </si>
  <si>
    <t>DETER. PATITO BEBE 140GR 60UND EXP.</t>
  </si>
  <si>
    <t>0451275b-db57-42cf-a3b7-fb6a6e17a51f</t>
  </si>
  <si>
    <t>DET. LÍQ. KLINTEX QUITAPRO 5GL</t>
  </si>
  <si>
    <t>da59839e-d813-47cc-862d-049c05984d0a</t>
  </si>
  <si>
    <t>DET. PATITO LIMÓN 1KG.12BOL</t>
  </si>
  <si>
    <t>144f6f93-1b1c-4395-8cfe-a59ea6729e9a</t>
  </si>
  <si>
    <t>DETER. SAPOLIO LIMON 730GR 15BOL</t>
  </si>
  <si>
    <t>2f351c9d-654e-4bce-8dc1-2dcf3247a91c</t>
  </si>
  <si>
    <t>DETER. SAPOLIO BEBE 730GR 15BOL</t>
  </si>
  <si>
    <t>4f048eac-377b-4329-acbd-520d62cf623d</t>
  </si>
  <si>
    <t>DETER. SAPOLIO FLORAL 730GR 15BOL</t>
  </si>
  <si>
    <t>1f4ac916-89b7-4f51-bff8-6add45296769</t>
  </si>
  <si>
    <t>DET.SAP.LIMON 430GR.20UND</t>
  </si>
  <si>
    <t>7acdfbd9-c245-4bbe-bf86-1e2067f74b16</t>
  </si>
  <si>
    <t>ÁCIDO SULFÓNICO LINEAL_BOLIVIA</t>
  </si>
  <si>
    <t>T</t>
  </si>
  <si>
    <t>d7a61f3e-9293-42d2-bbf1-3e36a5f6bf4d</t>
  </si>
  <si>
    <t>DET. PATITO BICARB. FLORAL 1KG.12BOL PE</t>
  </si>
  <si>
    <t>75075827-2df9-4210-b039-df29bffd126c</t>
  </si>
  <si>
    <t>DET. LÍQ. KLINTEX ALCALINO 5GL</t>
  </si>
  <si>
    <t>c4b6b29c-3cb7-476b-af3e-2ab6bae9a348</t>
  </si>
  <si>
    <t>DET.PATITO BICARB.LAVANDA 1KG.12BOL PE</t>
  </si>
  <si>
    <t>c52f8f48-ae23-49ef-9138-4959e277c393</t>
  </si>
  <si>
    <t>DET.PATITO BICARB.LAVANDA 140G.60BOL PE</t>
  </si>
  <si>
    <t>b6467669-d8ec-460c-aac2-0df4ad74f33b</t>
  </si>
  <si>
    <t>DET. UNO 5 EN 1 ARMONIA FLORAL BOL 9.5KG</t>
  </si>
  <si>
    <t>b65cd149-e03a-4060-8eac-4ae1b6c37a2b</t>
  </si>
  <si>
    <t>DET. TROME LAVANDA.FABULOSA 4KG4BOL</t>
  </si>
  <si>
    <t>1703ddcc-d847-4838-aa15-7de1a57f4675</t>
  </si>
  <si>
    <t>DET. TROME LAVANDA.FABULOSA 1000GR.12UND</t>
  </si>
  <si>
    <t>3376c356-91b3-440e-9c87-d08cf25cbc4b</t>
  </si>
  <si>
    <t>DET. TROME LAVANDA.FABULOSA 140GR.60BOL</t>
  </si>
  <si>
    <t>ce8fc0b1-a631-4bd6-a05b-5e133baaa1a0</t>
  </si>
  <si>
    <t>DETER.PATITO BICARB. FLORAL 5KG.2BOL PE</t>
  </si>
  <si>
    <t>91427337-cf84-4dc7-9c9c-3f4459d477c2</t>
  </si>
  <si>
    <t>DETER.PATITO BIC.LAVANDA 5KG.2BOL PE</t>
  </si>
  <si>
    <t>d4dfbe92-a587-44d5-8d4d-2f399d8fa259</t>
  </si>
  <si>
    <t>JABON. BOLIV ANTIBAC P.DUO 210G 48BRR</t>
  </si>
  <si>
    <t>8d848d92-98c7-4935-8eef-e47f60edf3f6</t>
  </si>
  <si>
    <t>JAB.BOLIV.PER.BLA.LIM P.DUO 210GR.48BRR</t>
  </si>
  <si>
    <t>98c67ef7-e564-4273-8350-88511ed513e0</t>
  </si>
  <si>
    <t>JAB. BOLIVAR BABY 210GR.48BRR</t>
  </si>
  <si>
    <t>9fa83fb5-0533-4043-9f0a-21e05c9ac969</t>
  </si>
  <si>
    <t>JABON. BOLIV B&amp;K MANZANILLA 210G 48BRR</t>
  </si>
  <si>
    <t>05754f77-7c09-4a39-ab6c-64f4457a96b5</t>
  </si>
  <si>
    <t>JABON BOLIVAR COCO 210GR.48BRR</t>
  </si>
  <si>
    <t>4045bb40-f8eb-4360-961d-e084f27d115f</t>
  </si>
  <si>
    <t>JABON BOLIVAR FLORAL 190GR.48BRR</t>
  </si>
  <si>
    <t>587c0b92-4bae-40d9-9548-e30443160a51</t>
  </si>
  <si>
    <t>JABON BOLIVAR FLORAL 380GR.24PQT</t>
  </si>
  <si>
    <t>f8d009ed-5265-47f5-8c04-dc8379663834</t>
  </si>
  <si>
    <t>JABON BOLIVAR LIMON 190GR.48BRR</t>
  </si>
  <si>
    <t>1b99eb13-f3df-4957-8cbb-4faeff78b75e</t>
  </si>
  <si>
    <t>JABON BOLIVAR LIMON 380GR.24PQT</t>
  </si>
  <si>
    <t>d19e4748-88ec-4fc2-88ba-2e858ca15039</t>
  </si>
  <si>
    <t>JABON BOLIVAR ANTIBACTERIAL 190GR.48BRR</t>
  </si>
  <si>
    <t>4610600a-506c-499f-8e97-e49bf100104f</t>
  </si>
  <si>
    <t>JABON BOLIVAR ANTIBACTERIAL 380GR.24PQT</t>
  </si>
  <si>
    <t>54f479a2-4837-49e1-8948-f93023a53312</t>
  </si>
  <si>
    <t>JABON BOLIVAR BK CLAS. 190GR.48BRR</t>
  </si>
  <si>
    <t>718fa590-33c8-4e1a-abce-3b5c70bad535</t>
  </si>
  <si>
    <t>JABON BOLIVAR BK CLAS. 380GR.24PQT</t>
  </si>
  <si>
    <t>0013b11a-b892-4a17-b123-1c024375c9f6</t>
  </si>
  <si>
    <t>JABON BOLIVAR BK MANZ. 190G 48BRR</t>
  </si>
  <si>
    <t>6e84fc2c-68f8-450b-87a3-c3f56e1325d4</t>
  </si>
  <si>
    <t>JABON BOLIVAR BK MANZ. 380GR.24PQT</t>
  </si>
  <si>
    <t>d8391d8c-c9b6-4f15-8f8c-176fe9495d56</t>
  </si>
  <si>
    <t>JABON BOLIVAR BLAN.PERF. 190G.48BRR</t>
  </si>
  <si>
    <t>79ff99e0-afc1-4809-96a1-f542c449bb2b</t>
  </si>
  <si>
    <t>JABON BOLIVAR COCO 190GR.48BRR</t>
  </si>
  <si>
    <t>fe8e7468-90d7-4aa8-8aae-66d84b47563b</t>
  </si>
  <si>
    <t>JABON BOLIVAR BK CLAS. 380GR.24PQT C</t>
  </si>
  <si>
    <t>68cd2966-9881-40b6-ba30-6c39630f7020</t>
  </si>
  <si>
    <t>JABON BOLIVAR FLORAL 380GR.24PQT C</t>
  </si>
  <si>
    <t>dd29681b-d790-499b-b94f-e882d6f61afa</t>
  </si>
  <si>
    <t>JABON BOLIVAR LIMON 380GR.24PQT C</t>
  </si>
  <si>
    <t>de3a4a25-48b5-4613-b352-5b814a2119a3</t>
  </si>
  <si>
    <t>JABON BOLIVAR FLORAL PR 190GR.48BRR</t>
  </si>
  <si>
    <t>617f3efa-080a-46c7-ba88-501b8f69c597</t>
  </si>
  <si>
    <t>JABON BOLIVAR FLORAL RENAC 190G 48BR</t>
  </si>
  <si>
    <t>6d6c474d-247a-4489-a1c0-3697f2e6bd28</t>
  </si>
  <si>
    <t>JABON BOLIVAR FLORAL RENAC SP 190G 48BR</t>
  </si>
  <si>
    <t>c55707e7-1003-412d-920b-db3196330941</t>
  </si>
  <si>
    <t>JABON BOLIVAR CUIDADO TOTAL 380GR.24PQT</t>
  </si>
  <si>
    <t>02c31102-46ad-4ee0-8a19-a1bc67e9dd8f</t>
  </si>
  <si>
    <t>JABON BOLIVAR CUIDADO BEBES 190GR.48BRR</t>
  </si>
  <si>
    <t>a139cb7b-f53f-43a6-9f52-cae9dff42553</t>
  </si>
  <si>
    <t>JABON BOLIVAR CUIDADO BEBES 380GR.24PQT</t>
  </si>
  <si>
    <t>d4d72a1e-71fa-4e39-a219-0da8ad7292ab</t>
  </si>
  <si>
    <t>JABON TROME ENCANTO FLORAL 190G 40BRR</t>
  </si>
  <si>
    <t>ddf90653-f99c-46ae-8d10-eafa66e2027e</t>
  </si>
  <si>
    <t>JABON TROME FRESCO LIMON 190G 40BRR</t>
  </si>
  <si>
    <t>0625f2b2-4187-4fd8-814f-2b2fe9c3dd61</t>
  </si>
  <si>
    <t>JABON BOLIVAR C. TOTAL LIMÓN 190GR.48BRR</t>
  </si>
  <si>
    <t>3793cba6-bd72-4e73-bc58-d01607332075</t>
  </si>
  <si>
    <t>JABON BOLIVAR C. TOTAL LIMÓN 380GR.24PQT</t>
  </si>
  <si>
    <t>98bd7465-bcdb-47cb-b92f-b64a6d980265</t>
  </si>
  <si>
    <t>JABON BOLIVAR CUIDADO BEBES C/P 190G 48B</t>
  </si>
  <si>
    <t>58c29e62-d090-4630-b629-03f8196be0ff</t>
  </si>
  <si>
    <t>JABON BOLIVAR ANTIBACTE 190GR.48BRR BLV</t>
  </si>
  <si>
    <t>29152665-01fb-49db-aca2-9a5da9735fd7</t>
  </si>
  <si>
    <t>JABON BOLIVAR C.TOT LIMÓN 190GR.48BR BLV</t>
  </si>
  <si>
    <t>cdcf81a6-5315-4e80-a5ed-a725816b8f70</t>
  </si>
  <si>
    <t>JABON BOLIVAR FLO.RENAC SP 190G 48BR BLV</t>
  </si>
  <si>
    <t>8c3a34db-a739-4f4c-9c52-e70d1a302809</t>
  </si>
  <si>
    <t>JABON BOLIVAR CUI BEBES 190GR.48BRR BLV</t>
  </si>
  <si>
    <t>9a7d8db9-264b-4469-bd7d-3c4666a767a2</t>
  </si>
  <si>
    <t>JABON. MARSELLA FLORAL 210GR 40BRR</t>
  </si>
  <si>
    <t>feb40d87-f87f-4061-a34d-373ac399479e</t>
  </si>
  <si>
    <t>JABON MARSELLA FLORAL 190GR.40BRR</t>
  </si>
  <si>
    <t>a375079c-36be-4ff7-ac11-bd6ae67c0caf</t>
  </si>
  <si>
    <t>JABON MARSELLA FLORAL 380GR.20PQT</t>
  </si>
  <si>
    <t>1d7b82e3-3c99-4db3-91bf-49c2d56624f2</t>
  </si>
  <si>
    <t>JABON MARSELLA FLORAL C/P 175G 40BR</t>
  </si>
  <si>
    <t>965718b4-6999-442d-9ad6-403fe1ef36fb</t>
  </si>
  <si>
    <t>JABON MARSELLA FLORAL N 175G 40BRR</t>
  </si>
  <si>
    <t>00d55dfb-dfb4-4e1b-8b4c-2d4e8991656d</t>
  </si>
  <si>
    <t>JABON MARSELLA FLORAL N 350G 20PQT</t>
  </si>
  <si>
    <t>22d6bbff-9e92-4293-8e16-40bbc759abec</t>
  </si>
  <si>
    <t>JABON MARSELLA AMAZO 350G 20PQT</t>
  </si>
  <si>
    <t>b31137bf-5f48-439b-955d-795d9a80cc79</t>
  </si>
  <si>
    <t>JABON MARSELLA AMAZO 175G 40BR</t>
  </si>
  <si>
    <t>1daf1a70-ff43-4530-baf3-bf0726ca4d3a</t>
  </si>
  <si>
    <t>JABON TROME LIMON 210GR 40BRR</t>
  </si>
  <si>
    <t>9da536c5-9af3-4bfb-bf72-2d2c85f59d48</t>
  </si>
  <si>
    <t>JABON TROME FLORAL 190G 40BRR</t>
  </si>
  <si>
    <t>7127cf6d-d6d7-4231-9319-39f48deb92b4</t>
  </si>
  <si>
    <t>JABON TROME LIMON 190G 40BRR</t>
  </si>
  <si>
    <t>23d1c2ff-f5a6-4e58-9c43-b427446d55fe</t>
  </si>
  <si>
    <t>JABON JUMBO FLORAL 190GR 40BRR</t>
  </si>
  <si>
    <t>e45205ea-8b45-4302-b07a-f7f4224f3c2e</t>
  </si>
  <si>
    <t>JABON JUMBO LIMON 190GR 40BRR</t>
  </si>
  <si>
    <t>21883c32-7fc3-4485-9e62-6547235c3330</t>
  </si>
  <si>
    <t>JABON JUMBO FRESCURA INTENSA 190GR 40BRR</t>
  </si>
  <si>
    <t>3fe929b4-8a0d-45bb-a72f-5d9abe383ac3</t>
  </si>
  <si>
    <t>JABON PATITO FLORAL 175G 40BRR</t>
  </si>
  <si>
    <t>792f470b-4b34-456d-833c-89da70a57abc</t>
  </si>
  <si>
    <t>JABON TROME FLORAL 190G 40BRR IDE</t>
  </si>
  <si>
    <t>fdc1551f-2749-4c1f-9464-15491d94f016</t>
  </si>
  <si>
    <t>JABÓN SPA PREMIUM HUMECTANTE 115G 72UND</t>
  </si>
  <si>
    <t>ca69f2fa-ec7b-4551-a1e3-9f0d4e8719ac</t>
  </si>
  <si>
    <t>JABÓN SPA PREMIUM RADIANTE 115G 72UND</t>
  </si>
  <si>
    <t>640f8a71-937c-4138-ad50-57824b4ac99c</t>
  </si>
  <si>
    <t>JABÓN SPA PREMIUM REFRESCANTE 115GR 72UN</t>
  </si>
  <si>
    <t>c29c1f36-c25a-4070-983c-186e613cd8bb</t>
  </si>
  <si>
    <t>c96a02f0-f6e9-4556-ae26-3167c6ed7ffa</t>
  </si>
  <si>
    <t>JABON POPEYE ANTIBAC 190G 40BRR IDE</t>
  </si>
  <si>
    <t>3dfd0074-6cee-4c8f-8440-2f9906bba03a</t>
  </si>
  <si>
    <t>JABON POPEYE EXTRA SUAV 190G 40BRR IDE</t>
  </si>
  <si>
    <t>0a5ab2d2-78eb-4a1f-b7cc-d7453b5b2c03</t>
  </si>
  <si>
    <t>JABON POPEYE EXTRA BLAN 190G 40BRR IDE</t>
  </si>
  <si>
    <t>2465f8f8-8ada-42b2-9bd2-18a65831bed1</t>
  </si>
  <si>
    <t>JABON TROME FLORAL IDE 190G 40BRR EXO</t>
  </si>
  <si>
    <t>a139cfb8-2e15-4611-9e7c-8a667c3fdb3d</t>
  </si>
  <si>
    <t>JABON PATITO FLORAL 190G 40BRR</t>
  </si>
  <si>
    <t>66b5a765-9b3b-4347-b02d-5ee8ca3c1326</t>
  </si>
  <si>
    <t>JABON UNO VARIEDAD LIMÓN 200G</t>
  </si>
  <si>
    <t>e5b676d2-3dce-449f-824b-45f52152d17c</t>
  </si>
  <si>
    <t>JABON UNO VARIEDAD FLORAL 200G</t>
  </si>
  <si>
    <t>cb052541-32ed-4510-9a7a-f0f69c2e9777</t>
  </si>
  <si>
    <t>JABON UNO VARIEDAD FRUTAL 200G</t>
  </si>
  <si>
    <t>29f6e452-64d0-4191-bbe1-55b905c5700e</t>
  </si>
  <si>
    <t>JABON UNO VAR. FRAGANCIA DELICADA 200G</t>
  </si>
  <si>
    <t>eaab19aa-0151-4b8f-852f-63084e2c2421</t>
  </si>
  <si>
    <t>JABON UNO ANTIBACTERIAL 200G</t>
  </si>
  <si>
    <t>822347af-9987-416e-a5fe-a70f0299bcdb</t>
  </si>
  <si>
    <t>JABON UNO FLORAL 190G 48BRR</t>
  </si>
  <si>
    <t>276114e6-e578-4da3-86f2-f61cde0176d5</t>
  </si>
  <si>
    <t>JABON UNO FRUTAL 190G 48BRR</t>
  </si>
  <si>
    <t>10b17889-e251-4c27-9095-43bc2a59a74f</t>
  </si>
  <si>
    <t>JABON UNO FRAGANCIA DELICADA 190G 48BRR</t>
  </si>
  <si>
    <t>8fac9121-1543-487d-9a67-5fee72bedcc8</t>
  </si>
  <si>
    <t>JABON UNO ANTIBACTERIAL 190G 48BRR</t>
  </si>
  <si>
    <t>4fb6e7f1-4544-4b5c-a8e2-d0f620750cb2</t>
  </si>
  <si>
    <t>JABON UNO LIMÓN 190G</t>
  </si>
  <si>
    <t>0228e09c-1fbd-45bf-97f9-2c62c21d0170</t>
  </si>
  <si>
    <t>QUITA. OPAL LIQUIDO 12FCO 850ML</t>
  </si>
  <si>
    <t>0c5c60dd-870d-4a50-9d1a-6c63b1eada27</t>
  </si>
  <si>
    <t>QUITA.LIQ.OPAL 6SCHT 100ML 12UND C/COLAD</t>
  </si>
  <si>
    <t>26630e11-9905-41c1-a83d-43087218e5ec</t>
  </si>
  <si>
    <t>QUITA. OPAL LIQUIDO 20DPK 450ML MO</t>
  </si>
  <si>
    <t>6f340e4f-2067-4d91-8d0f-8ec1304952f6</t>
  </si>
  <si>
    <t>QUITA. OPAL LIQUIDO 20DPK 250ML</t>
  </si>
  <si>
    <t>219a7b2b-a4f2-4c42-aefc-46a9f3abbfa5</t>
  </si>
  <si>
    <t>QUITA. OPAL LIQ. ROPA COL TR 20FR 250ML</t>
  </si>
  <si>
    <t>d28d095d-06fb-4a6e-a118-0763f28e0d84</t>
  </si>
  <si>
    <t>QUITA. OPAL LIQ. ROPA COL TR 20FCO 500ML</t>
  </si>
  <si>
    <t>9b965f8a-3a4e-400b-9b3e-de820dabcb34</t>
  </si>
  <si>
    <t>QUITA. OPAL LIQ. ROPA COL M 500ML 20FCO</t>
  </si>
  <si>
    <t>bc06e5e4-2e09-49bb-8402-04a0ed485e38</t>
  </si>
  <si>
    <t>QUIT OPAL LIQ R/COLOR 1.75L 6FCO</t>
  </si>
  <si>
    <t>8a92f1e3-966d-40d4-a407-a5496793088c</t>
  </si>
  <si>
    <t>QUITA. OPAL LIQ. ROP COL 100ML 6SCT 12TR</t>
  </si>
  <si>
    <t>7e3da6ff-e5ac-4f88-80d6-4018e80e1401</t>
  </si>
  <si>
    <t>QUIT OPAL LIQ R/COLOR 850ML 12FCO</t>
  </si>
  <si>
    <t>c8a079b8-9af5-4dcd-bc37-401ff0ab8892</t>
  </si>
  <si>
    <t>QUITA. LIQUIDO OPAL ROPA COL 265ML 24UND</t>
  </si>
  <si>
    <t>2cad2629-9884-47fa-95e4-857b7e8a8b96</t>
  </si>
  <si>
    <t>QUITA. LIQUIDO OPAL ROPA COL 550ML 12UND</t>
  </si>
  <si>
    <t>00f8b873-cc66-4a75-974b-51bcfec78609</t>
  </si>
  <si>
    <t>QUITAM. OPAL LIQ. ROPA COLOR 1800ML 6UND</t>
  </si>
  <si>
    <t>8bf3a7f7-ed1a-45b2-8666-46d5423c23e9</t>
  </si>
  <si>
    <t>QUITAM. OPAL LIQ. ROPA COLOR 930ML 12UND</t>
  </si>
  <si>
    <t>22649ab8-2642-4bd8-9a29-3e3afa05f1bc</t>
  </si>
  <si>
    <t>JAB PB LIQ HIDRAT CREM 260ML 12UND</t>
  </si>
  <si>
    <t>23d59c1f-4e0c-402d-842e-e18045663dee</t>
  </si>
  <si>
    <t>JAB PB LIQ HUMECT NATU 260ML 12UND</t>
  </si>
  <si>
    <t>59ca8d6b-68f0-4151-8a5a-58c68b5d078a</t>
  </si>
  <si>
    <t>JAB PB LIQ REPARA DIAR 260ML 12UND</t>
  </si>
  <si>
    <t>97c85fc4-cc84-42a9-814f-52b6274ac99c</t>
  </si>
  <si>
    <t>JAB PB LIQ HIDRAT CREM 400ML 12UND</t>
  </si>
  <si>
    <t>d0b29813-9b81-4556-9b5b-fd6996444286</t>
  </si>
  <si>
    <t>JAB PB LIQ HUMECT NATU 400ML 12UND</t>
  </si>
  <si>
    <t>b4c12cec-0089-4e96-be47-d281974fc800</t>
  </si>
  <si>
    <t>JAB PB LIQ RENOV DIA 400ML 12UND</t>
  </si>
  <si>
    <t>fc12a6dc-c6d5-4687-b533-b6f8f9c323f6</t>
  </si>
  <si>
    <t>JAB PB LIQ HIDRAT CREM 800ML 12UND EX BO</t>
  </si>
  <si>
    <t>14a30ad5-0720-4b3a-978e-3e43f58d1bc1</t>
  </si>
  <si>
    <t>JAB PB LIQ HUMECT NATU 800ML 12UND EX BO</t>
  </si>
  <si>
    <t>2a8929e7-71af-4490-b3b7-36f6e39cc967</t>
  </si>
  <si>
    <t>JAB PB LIQ RENOV DIA 800ML 12UND EX BO</t>
  </si>
  <si>
    <t>2585b092-2db9-4ca2-96a1-cb3e26f7d1cc</t>
  </si>
  <si>
    <t>JAB PB TOC HUMECT CREM 3X125GR 24UND</t>
  </si>
  <si>
    <t>ad559c90-dca5-4f90-acde-7ff26ab39583</t>
  </si>
  <si>
    <t>JAB PB TOC FRESC INTEN 3X125GR 24UND</t>
  </si>
  <si>
    <t>7bd30c60-cda5-47f7-a4e2-c1211391c59c</t>
  </si>
  <si>
    <t>JAB PB TOC ENERG RENOV 3X125GR 24UND</t>
  </si>
  <si>
    <t>fd91525e-5f17-4c28-966d-afee0ee0ac99</t>
  </si>
  <si>
    <t>JAB PB TOC SENSA NUTRI 3X125GR 24UND</t>
  </si>
  <si>
    <t>93dae450-5dee-41cd-adc5-69f6f47f5932</t>
  </si>
  <si>
    <t>JAB PB TOC NUTRICION 125GR 81UND</t>
  </si>
  <si>
    <t>4f85d06e-f2ea-4c77-919a-479568f369bb</t>
  </si>
  <si>
    <t>JAB PB TOC HUMECTACION 125GR 81UND</t>
  </si>
  <si>
    <t>8953171f-9805-4b35-9965-977790823e84</t>
  </si>
  <si>
    <t>JAB PB TOC ENERGIA 125GR 81UND</t>
  </si>
  <si>
    <t>65778ac4-91f6-4f00-a073-80483690609a</t>
  </si>
  <si>
    <t>BS SH.CUI.DELI.400ML+SH.CUI.DELI200ML PE</t>
  </si>
  <si>
    <t>9a3948c5-c12e-435c-b738-b06b866c3bb6</t>
  </si>
  <si>
    <t>BS SH.CAB.CLA.400ML+SH.CAB.CLA.200ML PE</t>
  </si>
  <si>
    <t>83e4d854-ea59-434b-a4a3-6c8ca4b2ed6d</t>
  </si>
  <si>
    <t>BS SH.CUI.NUTR.400ML+SH.CUI.NUTR200ML PE</t>
  </si>
  <si>
    <t>894280b2-1479-468b-9461-4826ded7fd47</t>
  </si>
  <si>
    <t>BS SH.CAB.DOC.400ML+SH.CAB.DOC.200ML PE</t>
  </si>
  <si>
    <t>2be0dc2b-fb04-49df-ba6a-9244a72c6c47</t>
  </si>
  <si>
    <t>SH.BBS CAB.CLARO 15ML 20UND 24DSP</t>
  </si>
  <si>
    <t>DSP</t>
  </si>
  <si>
    <t>c813ccf6-10a3-4b2e-b33d-f11886e53f31</t>
  </si>
  <si>
    <t>SH.BBS CAB.DOCIL 15ML 20UND 24DSP</t>
  </si>
  <si>
    <t>52134c5d-0f29-4d0b-854b-4fe12ed042e8</t>
  </si>
  <si>
    <t>BS SH. CUI.DELIC.15ML 20UND 24DSP</t>
  </si>
  <si>
    <t>68299eac-4774-4879-9504-d646f78348ea</t>
  </si>
  <si>
    <t>SH.BBS CUI.NUTRIT.15ML 20UND 24DSP</t>
  </si>
  <si>
    <t>1c666406-3f99-4c0f-8575-48eb576f712a</t>
  </si>
  <si>
    <t>BS SH. CUI. DELIC.200ML 12BOT</t>
  </si>
  <si>
    <t>030869e2-1101-4f4d-bec1-21af421f2171</t>
  </si>
  <si>
    <t>BS SH. CUI. DELIC.400ML 12BOT</t>
  </si>
  <si>
    <t>002cad4e-40a8-4dbd-90e8-8cfda24d35e0</t>
  </si>
  <si>
    <t>SH.BBS CUI. DELIC.750ML 12BOT</t>
  </si>
  <si>
    <t>34df4df4-5d41-4794-83ce-7159788aac8b</t>
  </si>
  <si>
    <t>BS SH. CAB. CLARO 200ML 12BOT</t>
  </si>
  <si>
    <t>fb22a117-ecdf-4915-a352-471d256a9892</t>
  </si>
  <si>
    <t>BS SH. CAB. CLARO 400ML 12BOT</t>
  </si>
  <si>
    <t>2b407caf-ef66-4f36-b261-b5b1f065847c</t>
  </si>
  <si>
    <t>SH.BBS CAB. CLARO 750ML 12BOT</t>
  </si>
  <si>
    <t>3ef99171-2b83-4d98-a74a-5ca38970d92e</t>
  </si>
  <si>
    <t>BS SH. CUI. NUTRIT 200ML 12BOT</t>
  </si>
  <si>
    <t>cbcdcc22-d07b-4e94-b79f-a60a4e8ecd95</t>
  </si>
  <si>
    <t>BS SH. CUI. NUTRIT 400ML 12BOT</t>
  </si>
  <si>
    <t>4f15993c-d9b2-4d01-ab36-f96595683c85</t>
  </si>
  <si>
    <t>SH.CUI.DELI.400ML+SH.CUI.DELI.200ML PE</t>
  </si>
  <si>
    <t>8c08562f-951d-40d8-a64e-5d74f5e47e03</t>
  </si>
  <si>
    <t>SH.CAB.CLA.400ML+SH.CAB.CLA.200ML PE</t>
  </si>
  <si>
    <t>e7b32121-15da-41c9-85be-372ad4a67e2c</t>
  </si>
  <si>
    <t>SH.CUI.NUTR.400ML+SH.CUI.NUTR.200ML PE</t>
  </si>
  <si>
    <t>bcc93e99-3789-4c97-9dcf-7bf2d88dd937</t>
  </si>
  <si>
    <t>SH.CAB.DOC.400ML+SH.CAB.DOC.200ML PE</t>
  </si>
  <si>
    <t>743d0061-3ff0-4d85-943f-246548af2d24</t>
  </si>
  <si>
    <t>BBS SH &amp; BAÑO LIQ DELICADO 200ML</t>
  </si>
  <si>
    <t>a67e5e49-59fd-40d9-bc9d-bc697876446d</t>
  </si>
  <si>
    <t>BBS SH &amp; BAÑO LIQ DELICADO 400ML12</t>
  </si>
  <si>
    <t>422f85f3-0bb7-4b0d-8e22-46669bc1744f</t>
  </si>
  <si>
    <t>BS SH&amp;BÑO LIQ D400ML+SH&amp;BÑO LIQ DEL200ML</t>
  </si>
  <si>
    <t>cbe6f1fd-e5e7-465b-a702-5b11069d3516</t>
  </si>
  <si>
    <t>BS CAB.CLA400ML +BS SH&amp;BÑO LIQ DEL 200ML</t>
  </si>
  <si>
    <t>c6609608-298e-4546-8ecf-efcf2ee172a5</t>
  </si>
  <si>
    <t>BS CAB.CLA400ML +BS SH&amp;BÑO LIQ DEL 400ML</t>
  </si>
  <si>
    <t>da492bd5-08cf-412c-92df-99a95b3cfd8e</t>
  </si>
  <si>
    <t>BS CAB.DOC 400ML +BS SH&amp;BÑOLIQ DEL 200ML</t>
  </si>
  <si>
    <t>53e363b0-7846-465c-a286-e5b3296af66f</t>
  </si>
  <si>
    <t>BS CAB.DOC 400ML +BS SH&amp;BÑOLIQ DEL 400ML</t>
  </si>
  <si>
    <t>360fdde2-6cd4-4960-8b71-eea8b5de6369</t>
  </si>
  <si>
    <t>SH.BS CUI.DEL.400ML+BS SH&amp;BAÑO LIQ 200ML</t>
  </si>
  <si>
    <t>71a903ea-de14-4842-be42-38148f289dea</t>
  </si>
  <si>
    <t>SH.BS CUI.DEL.400ML+BS SH&amp;BAÑO LIQ 400ML</t>
  </si>
  <si>
    <t>92cc5aee-332f-42c9-9055-b5f4339e4749</t>
  </si>
  <si>
    <t>SH.BS CUI. NUT400ML+BS SH&amp;BAÑO LIQ 200ML</t>
  </si>
  <si>
    <t>23d6ff24-b174-492e-ac04-ff78f28dd557</t>
  </si>
  <si>
    <t>SH.BS CUI. NUT400ML+BS SH&amp;BAÑO LIQ 400ML</t>
  </si>
  <si>
    <t>53c2a2b2-71b6-4e25-866b-92b68f60f07d</t>
  </si>
  <si>
    <t>SH.BBS CUI.DELIC.15ML 20UND 24DSP</t>
  </si>
  <si>
    <t>b36dad0a-dad2-4cba-8726-4f838441d82c</t>
  </si>
  <si>
    <t>SH.BBS CUI. DELIC.200ML 12BOT</t>
  </si>
  <si>
    <t>982564cc-9d34-41c9-8ead-d6cf21d182c6</t>
  </si>
  <si>
    <t>SH.BBS CUI. DELIC.400ML 12BOT</t>
  </si>
  <si>
    <t>3f59a7b4-7f3e-4969-a9cd-269d0fc948f5</t>
  </si>
  <si>
    <t>SH.BBS CUI. DELIC.800ML 12BOT</t>
  </si>
  <si>
    <t>51cc9c11-175c-464c-810b-480a3f7446a0</t>
  </si>
  <si>
    <t>SH.BBS CAB. CLARO 200ML 12BOT</t>
  </si>
  <si>
    <t>3abcdadc-8bcc-41d3-8485-3437f0fe95f4</t>
  </si>
  <si>
    <t>SH.BBS CAB. CLARO 400ML 12BOT</t>
  </si>
  <si>
    <t>bf8a7a99-07ba-4706-9503-c408a4af59ca</t>
  </si>
  <si>
    <t>SH.BBS CAB. CLARO 800ML 12BOT</t>
  </si>
  <si>
    <t>0bac5f50-e9a6-4efe-8adb-52ff35f85654</t>
  </si>
  <si>
    <t>SH.BBS CUI. NUTRIT 200ML 12BOT</t>
  </si>
  <si>
    <t>f4b4461c-1e59-4b3a-b365-7f8dd04c3f83</t>
  </si>
  <si>
    <t>SH.BBS CUI. NUTRIT 400ML 12BOT</t>
  </si>
  <si>
    <t>c09ca71a-3282-4679-953f-78a02626b7f6</t>
  </si>
  <si>
    <t>SH.BBS CAB. DOCIL 200ML 12BOT</t>
  </si>
  <si>
    <t>6ffab21e-e211-4dfd-ada1-0635dfe0a821</t>
  </si>
  <si>
    <t>SH.BBS CAB. DOCIL 400ML 12BOT</t>
  </si>
  <si>
    <t>fd00490c-7cdd-425b-96ad-66da6bd9ca10</t>
  </si>
  <si>
    <t>SH.BBS CAB. DOCIL 800ML 12BOT</t>
  </si>
  <si>
    <t>2d043073-8a9b-45c1-9fd8-d4d16fca15b6</t>
  </si>
  <si>
    <t>SH.BBS CUI. NUTRIT 750ML 12BOT</t>
  </si>
  <si>
    <t>97eb48b5-4240-439a-a1b1-37dbb0f811e8</t>
  </si>
  <si>
    <t>BS SH. CAB. DOCIL 200ML 12BOT</t>
  </si>
  <si>
    <t>759376c7-7353-41c4-9438-426dc3ab9a22</t>
  </si>
  <si>
    <t>BS SH. CAB. DOCIL 400ML 12BOT</t>
  </si>
  <si>
    <t>0ef39030-c779-4382-acbf-dd4a200503d0</t>
  </si>
  <si>
    <t>SH.BBS CAB. DOCIL 750ML 12BOT</t>
  </si>
  <si>
    <t>b4a82492-f11a-4f59-b779-2e7bc11cae7d</t>
  </si>
  <si>
    <t>SUAVI. BOLIV PLUS CLASIC 2.85L 6FCO</t>
  </si>
  <si>
    <t>ced46109-963c-4bde-9edd-772c3a01d535</t>
  </si>
  <si>
    <t>SUAVI. BOLIV BABY&amp;KIDS 80ML 6SCH 24TIR</t>
  </si>
  <si>
    <t>8754608a-5f15-4682-8981-d6d72abc25f2</t>
  </si>
  <si>
    <t>SUAV.BOLIVAR GENERACION.BB 800ML.12FCO</t>
  </si>
  <si>
    <t>ffb11cf9-9003-45e5-8d21-a82aeaf9b154</t>
  </si>
  <si>
    <t>SUA.BOL.ARO.ACTIV 80ML 6SCH.24TIR</t>
  </si>
  <si>
    <t>719fba25-778e-42ff-9138-8eddc573ebac</t>
  </si>
  <si>
    <t>SUA.BOL.ARO.ACTIV 800ML.12FCO</t>
  </si>
  <si>
    <t>83dba406-5c3b-49ab-8d81-b09d0c93742f</t>
  </si>
  <si>
    <t>SUA.BOL.ARO.ACTIV 2.8L.6FCO</t>
  </si>
  <si>
    <t>faa5c25c-ba31-4cf9-ac84-7b0f92f36ff2</t>
  </si>
  <si>
    <t>SUA.BOL.ARO.ACTIV 5.0L.3FCO</t>
  </si>
  <si>
    <t>6ec768c1-0eb1-43f5-8059-554276b4685a</t>
  </si>
  <si>
    <t>SUAVI. BOL P.LIB.ENJ.LAV 80ML 6SCH 24TIR</t>
  </si>
  <si>
    <t>91631c0c-2a0e-4f98-a6b7-bd525c803de0</t>
  </si>
  <si>
    <t>SUA.BOL.P.LIB.ENJU.LAV 800ML.12FCO</t>
  </si>
  <si>
    <t>24f19391-4470-444e-ad40-d13751774310</t>
  </si>
  <si>
    <t>SUAVI. BOLIV P.LIB.ENJ.LAV 2.8L 6FCO</t>
  </si>
  <si>
    <t>de5e0878-361c-4caf-9fd0-5f891052ba4c</t>
  </si>
  <si>
    <t>SUAVI. BOL P.LIB.ENJ.ORQ 80ML 6SCH 24TIR</t>
  </si>
  <si>
    <t>a92ef249-dcba-4156-989d-487baf62beec</t>
  </si>
  <si>
    <t>SUAVI. BOLIV P.LIB.ENJ.ORQ 2.8L 6FCO</t>
  </si>
  <si>
    <t>88ef733a-89ff-4431-8afe-692e12ba694b</t>
  </si>
  <si>
    <t>SUAV BOL SEN HOLA FELIC 80 ML 6SH24 TIR</t>
  </si>
  <si>
    <t>9a9479f5-4f7d-4922-91fa-98a34324895b</t>
  </si>
  <si>
    <t>SUAVI. BOLIV SENS HOLA FELIC 800ML 12FCO</t>
  </si>
  <si>
    <t>3c309aeb-cdba-406b-b9ac-daaac5dff52f</t>
  </si>
  <si>
    <t>SUAV BOL SEN HOLA RELAX 80 ML 6SH24 TIR</t>
  </si>
  <si>
    <t>ca2bc3f1-c294-414c-b091-880a8c2b3882</t>
  </si>
  <si>
    <t>SUAVI. BOLIV SENS HOLA RELAX 800ML 12FCO</t>
  </si>
  <si>
    <t>cbf76ecd-c0fd-4633-b275-3bd4f2652487</t>
  </si>
  <si>
    <t>SUAV. BOL. A. ACTIVO N 400ML 12DYPK</t>
  </si>
  <si>
    <t>61a28c00-5215-40a1-a9df-952e7b006a01</t>
  </si>
  <si>
    <t>SUAV. BOL. PLUS LAVANDA 400ML 12DYPK</t>
  </si>
  <si>
    <t>9c8415aa-9035-433e-bd4a-76bd22311f75</t>
  </si>
  <si>
    <t>SUAV. BOLIVAR BEBE 2800ML 6FCO</t>
  </si>
  <si>
    <t>f3826274-28e3-4429-b08b-b5dbfac5b682</t>
  </si>
  <si>
    <t>SUAV. BOLIVAR AROMA ACTIVO 1.5L 8DYPK</t>
  </si>
  <si>
    <t>257cb769-c87a-485f-b4b3-14b065cf96b0</t>
  </si>
  <si>
    <t>SUAV.BOL. BB MANZANILLA 800ML 12FCO</t>
  </si>
  <si>
    <t>69b7ccdf-10cc-4747-a17c-7191392247f0</t>
  </si>
  <si>
    <t>SUAV. BOLIVAR LAVANDA 18TIRX8SCHTX80ML</t>
  </si>
  <si>
    <t>b58b95b4-4c63-4a1a-8d32-8b2bd0859178</t>
  </si>
  <si>
    <t>SUAV BOL PLUS COCO 2.8L 6FCO</t>
  </si>
  <si>
    <t>57b9a732-e15c-456c-a058-4ed376c17b54</t>
  </si>
  <si>
    <t>SUAV BOL PLUS LAVANDA 1.5L 8DPK</t>
  </si>
  <si>
    <t>4f511533-0d77-44f7-b2ab-a6934f1628c2</t>
  </si>
  <si>
    <t>SUA.BOLIV. AROMA ACTIVO REVIVE 2.8L.6FCO</t>
  </si>
  <si>
    <t>dfe6452f-0461-41a5-8b84-9c3401d1f0ca</t>
  </si>
  <si>
    <t>SUA.BOL.ARO.ACTIV REVIVE 80ML 6SCH.24TIR</t>
  </si>
  <si>
    <t>b7ca5334-1e4f-40a7-ae78-d86af25bed94</t>
  </si>
  <si>
    <t>SUA.BOL.FLORAL 800ML.12FCO</t>
  </si>
  <si>
    <t>cb7bb782-00f3-4d46-8b27-eef1a77f8c07</t>
  </si>
  <si>
    <t>SUAV. BOLIVAR FLORAL 1.5L 8DYPK</t>
  </si>
  <si>
    <t>c8e31de9-9bf4-4057-a395-8470748015b3</t>
  </si>
  <si>
    <t>SUA.BOL.FLORAL 4.8L.3FCO</t>
  </si>
  <si>
    <t>c5834ceb-931a-4f3b-b1ac-2e6d21398675</t>
  </si>
  <si>
    <t>SUAV. BOL. FLORAL 400ML 12DYPK</t>
  </si>
  <si>
    <t>012397c6-0890-4e66-8658-9bd171de49eb</t>
  </si>
  <si>
    <t>SUA.BOL.FLORAL N 80ML 6SCH.24TIR</t>
  </si>
  <si>
    <t>72ecb0c2-daf1-4c31-9445-92bdcd8e52e2</t>
  </si>
  <si>
    <t>SUA.BOL. FLORAL 2.8L.6FCO</t>
  </si>
  <si>
    <t>4b8aa9ae-c281-4175-a3c5-e503ee28d2a9</t>
  </si>
  <si>
    <t>SUAV. BOL. PLUS LAVANDA 400ML 12DYPK NV</t>
  </si>
  <si>
    <t>c8c60235-9397-4353-ae80-76d54581d9d2</t>
  </si>
  <si>
    <t>SUAV BOL PLUS LAVANDA 1.5L 8DPK NV</t>
  </si>
  <si>
    <t>8e6b1e3b-aa87-4ecf-9db1-13b25591eae4</t>
  </si>
  <si>
    <t>SUAVI. BOLIV PLUS.LAV 2.8L 6FCO NV</t>
  </si>
  <si>
    <t>b7490238-04d4-466d-988d-4ed094c26966</t>
  </si>
  <si>
    <t>SUAVI. BOLIV PLUS.ORQ 2.8L 6FCO NV</t>
  </si>
  <si>
    <t>c2c54e6d-36df-4d23-96a8-19a65a06e0be</t>
  </si>
  <si>
    <t>SUAV. BOLIVAR BEBESYNINOS 2800ML 6FCO NV</t>
  </si>
  <si>
    <t>26f332cc-35a7-41bf-a7bb-84fe486277f0</t>
  </si>
  <si>
    <t>SUAVI. BOL PLUS. LAV 80ML 6SCH 24TIR NV</t>
  </si>
  <si>
    <t>c2f7840c-7f19-44bf-a61b-a663bd47e03f</t>
  </si>
  <si>
    <t>SUAVI. BOL PLUS.ORQ 80ML 6SCH 24TIR NV</t>
  </si>
  <si>
    <t>7443b45a-9256-4e31-8bb2-b7aa9be2a169</t>
  </si>
  <si>
    <t>SUAV.BOLIVAR BEBESYNINOS 800ML.12FCO NV</t>
  </si>
  <si>
    <t>d4f00a21-5b59-49bd-891e-593b79dabe96</t>
  </si>
  <si>
    <t>SUA.BOL.PLUS.LAV 800ML.12FCO NV</t>
  </si>
  <si>
    <t>0ec16c92-95f7-4a35-b2d8-a47bb8db2040</t>
  </si>
  <si>
    <t>SUAVIBOLIV BEBESYNINOS80ML 6SCH 24TIR NV</t>
  </si>
  <si>
    <t>dea10fa7-ec80-4da6-af8e-e24b0dd4b3ec</t>
  </si>
  <si>
    <t>SUA.BOL.FLORAL 2.3L.6DYPK</t>
  </si>
  <si>
    <t>7503f97c-eca9-4203-964a-e3961456e0ff</t>
  </si>
  <si>
    <t>SUAV. BOL. PLUS LAVANDA 360ML 12DYPK NV</t>
  </si>
  <si>
    <t>5a293412-fd09-49ed-b0f2-02c85013ed68</t>
  </si>
  <si>
    <t>SUAV. BOL. FLORAL 360ML 12DYPK NV</t>
  </si>
  <si>
    <t>d5b75b65-72b2-40bb-bafb-a5832cb68e9b</t>
  </si>
  <si>
    <t>LAVAVAJILLAS MARSELLA 150ML.22DPK NF</t>
  </si>
  <si>
    <t>4409b6dd-d412-4e19-af08-21e934e65536</t>
  </si>
  <si>
    <t>LAVAV. MARSELLA 300ML 12FCO</t>
  </si>
  <si>
    <t>5f60c964-1390-43b0-b1f1-2c99282e208f</t>
  </si>
  <si>
    <t>LAVAV. MARSELLA 590ML 12FCO</t>
  </si>
  <si>
    <t>874f76f9-308a-48ca-a5bf-5697968d1471</t>
  </si>
  <si>
    <t>LAVAV. MARSELLA +PRECIO 300ML 12FCO</t>
  </si>
  <si>
    <t>2d8e8348-6775-49c1-926f-331984e681ba</t>
  </si>
  <si>
    <t>LAVAV. MARSELLA 900ML 9FCO</t>
  </si>
  <si>
    <t>3760a879-046e-4b7a-b2ec-02bbc3d147b5</t>
  </si>
  <si>
    <t>LAVAVAJILLAS MARSELLA 1.2L 9FCO</t>
  </si>
  <si>
    <t>dc883358-b94f-4902-bc35-661883bfea9c</t>
  </si>
  <si>
    <t>Ubicación</t>
  </si>
  <si>
    <t>Tipo almacén</t>
  </si>
  <si>
    <t>Producto</t>
  </si>
  <si>
    <t>Descripción producto</t>
  </si>
  <si>
    <t>Lote</t>
  </si>
  <si>
    <t>FeCaduc/FePreferCons</t>
  </si>
  <si>
    <t>Tipo de stock</t>
  </si>
  <si>
    <t>Ctd.embalada (UMA)</t>
  </si>
  <si>
    <t>Un.medida alternat.</t>
  </si>
  <si>
    <t>Ctd.</t>
  </si>
  <si>
    <t>Fecha EM</t>
  </si>
  <si>
    <t>Documento</t>
  </si>
  <si>
    <t>Grupo consolidación</t>
  </si>
  <si>
    <t>Control de calidad</t>
  </si>
  <si>
    <t>Peso de carga</t>
  </si>
  <si>
    <t>PP-07-001-1</t>
  </si>
  <si>
    <t>PERP</t>
  </si>
  <si>
    <t>1F</t>
  </si>
  <si>
    <t>08.08.2026</t>
  </si>
  <si>
    <t>51f2c59c-bd7b-4501-9c2e-229a7a27d82f</t>
  </si>
  <si>
    <t>PP-07-008-1</t>
  </si>
  <si>
    <t>27/07/2027</t>
  </si>
  <si>
    <t>28.07.2026</t>
  </si>
  <si>
    <t>c579347c-65bf-4362-bf4d-b53021a0813c</t>
  </si>
  <si>
    <t>PP-15-042-1</t>
  </si>
  <si>
    <t>27/05/2027</t>
  </si>
  <si>
    <t>c2507bd9-4257-4c09-9713-8679666b7745</t>
  </si>
  <si>
    <t>PP-15-010-1</t>
  </si>
  <si>
    <t>24/08/2027</t>
  </si>
  <si>
    <t>25.08.2026</t>
  </si>
  <si>
    <t>b4919487-8935-46c2-b564-51d7001887e4</t>
  </si>
  <si>
    <t>PP-09-006-1</t>
  </si>
  <si>
    <t>b8ce338d-6f14-4c94-934d-a3ffbccc84f6</t>
  </si>
  <si>
    <t>PP-15-033-1</t>
  </si>
  <si>
    <t>28.08.2026</t>
  </si>
  <si>
    <t>996e5039-2e37-4b4e-a710-5e405aaac412</t>
  </si>
  <si>
    <t>PP-08-047-1</t>
  </si>
  <si>
    <t>07.08.2026</t>
  </si>
  <si>
    <t>34988c58-9a14-4561-93bb-1698fd6e9fa9</t>
  </si>
  <si>
    <t>PP-08-048-1</t>
  </si>
  <si>
    <t>59cb97b9-f9d5-48f2-ac08-7f127eda5009</t>
  </si>
  <si>
    <t>PP-08-051-1</t>
  </si>
  <si>
    <t>15/08/2027</t>
  </si>
  <si>
    <t>29.08.2026</t>
  </si>
  <si>
    <t>584cde7d-4746-4c4f-aebb-b7870f9290d4</t>
  </si>
  <si>
    <t>PP-07-026-1</t>
  </si>
  <si>
    <t>21/08/2027</t>
  </si>
  <si>
    <t>21.08.2026</t>
  </si>
  <si>
    <t>5317276b-7dac-4df9-84c9-4478c3ad9beb</t>
  </si>
  <si>
    <t>PP-07-027-1</t>
  </si>
  <si>
    <t>22/08/2027</t>
  </si>
  <si>
    <t>22.08.2026</t>
  </si>
  <si>
    <t>e0c57497-53bf-4d2f-9e22-2c598f2a6892</t>
  </si>
  <si>
    <t>PP-09-008-1</t>
  </si>
  <si>
    <t>13/08/2027</t>
  </si>
  <si>
    <t>15.08.2026</t>
  </si>
  <si>
    <t>0c61a65a-93d7-4e02-ae73-ae9645799174</t>
  </si>
  <si>
    <t>PP-09-009-1</t>
  </si>
  <si>
    <t>31.08.2026</t>
  </si>
  <si>
    <t>8a7d576d-23df-4b1a-9dbf-9c257cac8957</t>
  </si>
  <si>
    <t>PP-08-006-1</t>
  </si>
  <si>
    <t>4e727f3e-ab43-41da-a1c6-d30f0d691972</t>
  </si>
  <si>
    <t>PP-08-010-1</t>
  </si>
  <si>
    <t>5c9d6561-906c-455f-9258-7b5fce48d5cb</t>
  </si>
  <si>
    <t>PP-08-009-1</t>
  </si>
  <si>
    <t>14/08/2029</t>
  </si>
  <si>
    <t>18.08.2026</t>
  </si>
  <si>
    <t>6f268184-2667-4ee9-bf7e-081b6f4ea22e</t>
  </si>
  <si>
    <t>PP-08-004-1</t>
  </si>
  <si>
    <t>17/08/2029</t>
  </si>
  <si>
    <t>20.08.2026</t>
  </si>
  <si>
    <t>df5d184b-097e-4793-a57d-74bdf4547acf</t>
  </si>
  <si>
    <t>PP-08-018-1</t>
  </si>
  <si>
    <t>20/08/2029</t>
  </si>
  <si>
    <t>188631e7-7f47-4a49-bd56-8ce5f70c5e0e</t>
  </si>
  <si>
    <t>PP-08-019-1</t>
  </si>
  <si>
    <t>3bf770e8-e55c-449f-b775-fdb22b9291aa</t>
  </si>
  <si>
    <t>PP-08-020-1</t>
  </si>
  <si>
    <t>09.08.2026</t>
  </si>
  <si>
    <t>bfcb7d9e-1d22-4aec-99f1-f4b0f6033b41</t>
  </si>
  <si>
    <t>PP-08-017-1</t>
  </si>
  <si>
    <t>21/05/2029</t>
  </si>
  <si>
    <t>27.08.2026</t>
  </si>
  <si>
    <t>ad7d628c-c036-4f6b-885b-50d196944963</t>
  </si>
  <si>
    <t>PP-08-008-1</t>
  </si>
  <si>
    <t>27/07/2029</t>
  </si>
  <si>
    <t>05.08.2026</t>
  </si>
  <si>
    <t>30598d3d-a61e-4cea-b7b7-0227c3d8af79</t>
  </si>
  <si>
    <t>PP-08-005-1</t>
  </si>
  <si>
    <t>12.08.2026</t>
  </si>
  <si>
    <t>c01e8691-3e35-463f-8930-a491b0eeb510</t>
  </si>
  <si>
    <t>PP-08-016-1</t>
  </si>
  <si>
    <t>22/06/2029</t>
  </si>
  <si>
    <t>13.08.2026</t>
  </si>
  <si>
    <t>b8d98e97-35bb-4323-be14-6e076e1799a4</t>
  </si>
  <si>
    <t>PP-08-014-1</t>
  </si>
  <si>
    <t>23/06/2028</t>
  </si>
  <si>
    <t>dda1bbe7-de68-4a64-8515-b9724d56c2e3</t>
  </si>
  <si>
    <t>PP-08-015-1</t>
  </si>
  <si>
    <t>2b1cb4fe-bc98-4e38-bbbb-74754353b766</t>
  </si>
  <si>
    <t>PP-08-043-1</t>
  </si>
  <si>
    <t>2fe1ee11-1bdd-437b-92de-fce575740c1a</t>
  </si>
  <si>
    <t>PP-08-039-1</t>
  </si>
  <si>
    <t>23/07/2028</t>
  </si>
  <si>
    <t>01.08.2026</t>
  </si>
  <si>
    <t>252dd454-b14d-4e7b-a2c7-e9e88bfb6364</t>
  </si>
  <si>
    <t>PP-08-042-1</t>
  </si>
  <si>
    <t>6795a590-1d2a-4afb-9e72-77857e7f9579</t>
  </si>
  <si>
    <t>PP-07-004-1</t>
  </si>
  <si>
    <t>d0a246bd-048a-4114-9bd4-96d5769981d6</t>
  </si>
  <si>
    <t>PP-07-014-1</t>
  </si>
  <si>
    <t>19/08/2028</t>
  </si>
  <si>
    <t>d4d62356-eb45-4266-b674-013171024be2</t>
  </si>
  <si>
    <t>PP-12-041-1</t>
  </si>
  <si>
    <t>66466d45-69aa-4d4d-b12d-97560c14324a</t>
  </si>
  <si>
    <t>PP-11-019-1</t>
  </si>
  <si>
    <t>ae23e357-2f7c-41b1-96f6-21cd41c85dfb</t>
  </si>
  <si>
    <t>PP-11-004-1</t>
  </si>
  <si>
    <t>30.08.2026</t>
  </si>
  <si>
    <t>7831359f-d430-4150-8407-3e975be0ba18</t>
  </si>
  <si>
    <t>PP-11-005-1</t>
  </si>
  <si>
    <t>28/08/2029</t>
  </si>
  <si>
    <t>13eedc99-3757-4412-9ead-38105b4bac6d</t>
  </si>
  <si>
    <t>PP-12-047-1</t>
  </si>
  <si>
    <t>4ddd8b19-9a9e-4ef5-ba57-283c14a5b5fd</t>
  </si>
  <si>
    <t>PP-12-044-1</t>
  </si>
  <si>
    <t>27/08/2029</t>
  </si>
  <si>
    <t>5884d100-9273-4d69-884e-407680a3f922</t>
  </si>
  <si>
    <t>PP-11-047-1</t>
  </si>
  <si>
    <t>18/08/2029</t>
  </si>
  <si>
    <t>19.08.2026</t>
  </si>
  <si>
    <t>be24e65d-8627-4b18-9afb-47faa4fd2bd8</t>
  </si>
  <si>
    <t>PP-11-048-1</t>
  </si>
  <si>
    <t>9d794e02-2515-43b3-907b-a67dadd9b5c0</t>
  </si>
  <si>
    <t>PP-07-002-1</t>
  </si>
  <si>
    <t>24/07/2029</t>
  </si>
  <si>
    <t>bc401fdf-bb13-4c90-861e-75fb534b7dcb</t>
  </si>
  <si>
    <t>PP-09-005-1</t>
  </si>
  <si>
    <t>47ce868a-4419-441f-b874-bda62c7f8ac5</t>
  </si>
  <si>
    <t>PP-09-003-1</t>
  </si>
  <si>
    <t>e6dcf845-8d62-436b-9fe2-770db817b30c</t>
  </si>
  <si>
    <t>PP-15-040-1</t>
  </si>
  <si>
    <t>21/08/2028</t>
  </si>
  <si>
    <t>1a9210bd-367a-4b07-9aa2-b60aaf88c2c0</t>
  </si>
  <si>
    <t>PP-09-004-1</t>
  </si>
  <si>
    <t>20/08/2028</t>
  </si>
  <si>
    <t>ddb20e64-e0f0-4834-9bb2-5ce34cec32cf</t>
  </si>
  <si>
    <t>PP-08-037-1</t>
  </si>
  <si>
    <t>cc5c9cab-f455-494d-ab90-b856d7353ae7</t>
  </si>
  <si>
    <t>PP-09-001-1</t>
  </si>
  <si>
    <t>9e60adc8-2f0c-44a7-929b-b5b837df5ea9</t>
  </si>
  <si>
    <t>PP-08-036-1</t>
  </si>
  <si>
    <t>16/07/2028</t>
  </si>
  <si>
    <t>16168c97-78c8-4dd5-8294-d43f3057ab62</t>
  </si>
  <si>
    <t>PP-07-011-1</t>
  </si>
  <si>
    <t>26.08.2026</t>
  </si>
  <si>
    <t>d60f73a0-6cd9-4db6-8443-a0e1702f7e4f</t>
  </si>
  <si>
    <t>PP-07-010-1</t>
  </si>
  <si>
    <t>17/07/2028</t>
  </si>
  <si>
    <t>27e9de1e-59ce-4849-91b7-3755e6e170a8</t>
  </si>
  <si>
    <t>PP-07-009-1</t>
  </si>
  <si>
    <t>30/07/2028</t>
  </si>
  <si>
    <t>46e5d80f-8996-449a-b181-e0b5f51f97b4</t>
  </si>
  <si>
    <t>PP-08-052-1</t>
  </si>
  <si>
    <t>23/07/2029</t>
  </si>
  <si>
    <t>fd5b7278-976e-46fd-a79a-ee55f6bde7e0</t>
  </si>
  <si>
    <t>PP-15-009-1</t>
  </si>
  <si>
    <t>15/07/2029</t>
  </si>
  <si>
    <t>28/07/2026</t>
  </si>
  <si>
    <t>006167ec-28e4-47ad-a2fc-4714b1b81463</t>
  </si>
  <si>
    <t>PP-07-005-1</t>
  </si>
  <si>
    <t>24/09/2028</t>
  </si>
  <si>
    <t>c9d41184-852f-4361-892f-5a36a8e7f785</t>
  </si>
  <si>
    <t>PP-07-006-1</t>
  </si>
  <si>
    <t>7ab84673-48ad-41b0-bd1a-100c0f674898</t>
  </si>
  <si>
    <t>PP-16-039-1</t>
  </si>
  <si>
    <t>60bc55e2-6699-4b5e-bb30-bf2f6e2dffc6</t>
  </si>
  <si>
    <t>PP-15-029-1</t>
  </si>
  <si>
    <t>921f435c-a130-4ced-b387-e4092dcf0e7c</t>
  </si>
  <si>
    <t>PP-15-031-1</t>
  </si>
  <si>
    <t>14/07/2029</t>
  </si>
  <si>
    <t>463503ba-a6e2-4eac-8bb4-aa7b430ca046</t>
  </si>
  <si>
    <t>PP-15-032-1</t>
  </si>
  <si>
    <t>af5f1621-3217-4adc-893e-6b6c6c611fe7</t>
  </si>
  <si>
    <t>PP-10-024-1</t>
  </si>
  <si>
    <t>18/08/2026</t>
  </si>
  <si>
    <t>2c482f1e-829f-42a3-ba1a-7e1986415fdf</t>
  </si>
  <si>
    <t>PP-10-025-1</t>
  </si>
  <si>
    <t>84e1c3d4-68ee-49ac-ace2-bd27721fe30f</t>
  </si>
  <si>
    <t>PP-15-011-1</t>
  </si>
  <si>
    <t>30/08/2026</t>
  </si>
  <si>
    <t>f7a3eb96-d2c7-451d-97d6-28a9b8c063f5</t>
  </si>
  <si>
    <t>PP-15-012-1</t>
  </si>
  <si>
    <t>20/07/2029</t>
  </si>
  <si>
    <t>30/07/2026</t>
  </si>
  <si>
    <t>a25994c9-690f-4cbd-ac4b-2fdf121093ee</t>
  </si>
  <si>
    <t>PP-15-013-1</t>
  </si>
  <si>
    <t>5891bd5d-547e-4a3b-9e0f-2a0415ea9284</t>
  </si>
  <si>
    <t>PP-10-026-1</t>
  </si>
  <si>
    <t>13/06/2029</t>
  </si>
  <si>
    <t>a4bd1f94-c4d5-4e15-996b-03407e737e70</t>
  </si>
  <si>
    <t>PP-15-049-1</t>
  </si>
  <si>
    <t>21/08/2026</t>
  </si>
  <si>
    <t>ebeb2131-837c-483e-8ab2-b962765ccff1</t>
  </si>
  <si>
    <t>PP-16-041-1</t>
  </si>
  <si>
    <t>057191ae-e19e-4bde-9526-c587bc420138</t>
  </si>
  <si>
    <t>PP-16-043-1</t>
  </si>
  <si>
    <t>95391b25-b9ee-41a5-bb7d-eb1fb9247058</t>
  </si>
  <si>
    <t>PP-15-051-1</t>
  </si>
  <si>
    <t>22/08/2026</t>
  </si>
  <si>
    <t>46629e4e-4857-489a-9169-8a9ce82bbfc5</t>
  </si>
  <si>
    <t>PP-15-052-1</t>
  </si>
  <si>
    <t>85c0eef9-46ce-4190-ab4c-9451a7fb1166</t>
  </si>
  <si>
    <t>PP-15-050-1</t>
  </si>
  <si>
    <t>22/07/2028</t>
  </si>
  <si>
    <t>28/08/2026</t>
  </si>
  <si>
    <t>85a07d34-e145-47b1-87cc-233efd1136df</t>
  </si>
  <si>
    <t>PP-15-039-1</t>
  </si>
  <si>
    <t>13/06/2028</t>
  </si>
  <si>
    <t>14/08/2026</t>
  </si>
  <si>
    <t>dbb04d5f-29fc-48e6-bf33-73a1657665b6</t>
  </si>
  <si>
    <t>PP-15-048-1</t>
  </si>
  <si>
    <t>5bde5a77-41d9-4eb3-b460-4f53b922e08d</t>
  </si>
  <si>
    <t>PP-15-036-1</t>
  </si>
  <si>
    <t>14/08/2028</t>
  </si>
  <si>
    <t>20/08/2026</t>
  </si>
  <si>
    <t>b00258b3-0786-443d-8b54-6aa7b2dc331a</t>
  </si>
  <si>
    <t>PP-15-037-1</t>
  </si>
  <si>
    <t>c953414e-e1c0-41fa-ae44-d55a3b6cad2c</t>
  </si>
  <si>
    <t>PP-15-035-1</t>
  </si>
  <si>
    <t>68903969-df2d-4b01-a9db-32cc0e267993</t>
  </si>
  <si>
    <t>PP-07-042-1</t>
  </si>
  <si>
    <t>6f6d9291-1adf-4c04-97e7-0650f2a35ba4</t>
  </si>
  <si>
    <t>PP-15-038-1</t>
  </si>
  <si>
    <t>19/08/2026</t>
  </si>
  <si>
    <t>df67ee1a-e633-40b9-b1f2-d055f2c48aab</t>
  </si>
  <si>
    <t>PP-10-023-1</t>
  </si>
  <si>
    <t>16/06/2029</t>
  </si>
  <si>
    <t>6f617717-9d29-4098-9d4a-d0ab70a95b1a</t>
  </si>
  <si>
    <t>PP-15-034-1</t>
  </si>
  <si>
    <t>14880d69-3a4f-4193-8227-f5308eeca97f</t>
  </si>
  <si>
    <t>PP-15-007-1</t>
  </si>
  <si>
    <t>27/08/2026</t>
  </si>
  <si>
    <t>1d93ea0b-9cf0-482b-a2f7-e7c07a116bf2</t>
  </si>
  <si>
    <t>PP-15-008-1</t>
  </si>
  <si>
    <t>29/04/2028</t>
  </si>
  <si>
    <t>903e20b8-dc00-4f24-88c7-c7037768f4d3</t>
  </si>
  <si>
    <t>PP-15-006-1</t>
  </si>
  <si>
    <t>17/08/2026</t>
  </si>
  <si>
    <t>364519b0-1a51-4984-a0c7-bb17b3e39a3f</t>
  </si>
  <si>
    <t>PP-10-039-1</t>
  </si>
  <si>
    <t>15/08/2026</t>
  </si>
  <si>
    <t>ea1aa15c-6d15-4740-9b1d-e77c5b8c0531</t>
  </si>
  <si>
    <t>PP-10-041-1</t>
  </si>
  <si>
    <t>6070355e-e2ab-42ec-91cf-4318f48e6522</t>
  </si>
  <si>
    <t>PP-10-040-1</t>
  </si>
  <si>
    <t>9e228271-1ba0-4cf8-8a8a-3c3acc64cf91</t>
  </si>
  <si>
    <t>PP-16-037-1</t>
  </si>
  <si>
    <t>27/03/2028</t>
  </si>
  <si>
    <t>215af0e2-e6f6-4736-b060-4fd9711fd567</t>
  </si>
  <si>
    <t>PP-10-005-1</t>
  </si>
  <si>
    <t>19/06/2028</t>
  </si>
  <si>
    <t>459d5218-a08e-4b0c-88f1-d64fecd50676</t>
  </si>
  <si>
    <t>PP-10-004-1</t>
  </si>
  <si>
    <t>2dba7195-aab6-4c68-8fd8-7d06fed48e96</t>
  </si>
  <si>
    <t>PP-15-047-1</t>
  </si>
  <si>
    <t>a8584d70-4330-46f2-84ab-a868f26a8a51</t>
  </si>
  <si>
    <t>PP-15-046-1</t>
  </si>
  <si>
    <t>23/03/2028</t>
  </si>
  <si>
    <t>8822ab3d-ed5a-4dc9-a19d-2aaacd41ac7f</t>
  </si>
  <si>
    <t>PP-15-002-1</t>
  </si>
  <si>
    <t>950ea9c8-d424-4cf9-b540-9052af963b4c</t>
  </si>
  <si>
    <t>PP-15-001-1</t>
  </si>
  <si>
    <t>3a40fe6f-e7f8-499a-908b-63e9a7422bea</t>
  </si>
  <si>
    <t>PP-15-015-1</t>
  </si>
  <si>
    <t>d43f4fba-9211-4210-ba2b-e8981391c566</t>
  </si>
  <si>
    <t>PP-15-020-1</t>
  </si>
  <si>
    <t>26/08/2026</t>
  </si>
  <si>
    <t>522a0ac3-6799-45c0-89c8-af0835f236ed</t>
  </si>
  <si>
    <t>PP-10-038-1</t>
  </si>
  <si>
    <t>16/01/2028</t>
  </si>
  <si>
    <t>45284425-a983-4bea-a665-fa13ca4a54fb</t>
  </si>
  <si>
    <t>PP-16-023-1</t>
  </si>
  <si>
    <t>0830a045-1449-4038-aa1d-f49a8e932e9b</t>
  </si>
  <si>
    <t>PP-16-019-1</t>
  </si>
  <si>
    <t>16/06/2028</t>
  </si>
  <si>
    <t>b3c9f6f7-a578-439d-9494-eaae04518046</t>
  </si>
  <si>
    <t>PP-16-021-1</t>
  </si>
  <si>
    <t>85e855d0-1fbb-4663-a6c3-10ccfa1345ba</t>
  </si>
  <si>
    <t>PP-16-035-1</t>
  </si>
  <si>
    <t>d37e6b6c-5f29-413b-b576-2967b3851c32</t>
  </si>
  <si>
    <t>PP-10-022-1</t>
  </si>
  <si>
    <t>18/03/2029</t>
  </si>
  <si>
    <t>a7132305-e511-4f1c-b060-d01572256a48</t>
  </si>
  <si>
    <t>PP-10-047-1</t>
  </si>
  <si>
    <t>2161e724-d3e9-4337-8285-faa32ea01140</t>
  </si>
  <si>
    <t>PP-07-048-1</t>
  </si>
  <si>
    <t>25/07/2028</t>
  </si>
  <si>
    <t>e819cc56-533f-4525-a12c-efd9808cac34</t>
  </si>
  <si>
    <t>PP-07-050-1</t>
  </si>
  <si>
    <t>18fb6c67-61c0-4de5-bbf0-69cbcaaad6cc</t>
  </si>
  <si>
    <t>PP-15-026-1</t>
  </si>
  <si>
    <t>c7a225b1-449b-4590-976d-59b488480075</t>
  </si>
  <si>
    <t>PP-15-024-1</t>
  </si>
  <si>
    <t>20826016M</t>
  </si>
  <si>
    <t>13/08/2028</t>
  </si>
  <si>
    <t>ac0e7747-839c-4a62-aa86-4f0aebac757f</t>
  </si>
  <si>
    <t>PP-09-025-1</t>
  </si>
  <si>
    <t>20825926M</t>
  </si>
  <si>
    <t>87400e60-109e-43bb-b76e-85ba266e7cad</t>
  </si>
  <si>
    <t>PP-09-026-1</t>
  </si>
  <si>
    <t>0ea0dd8e-2249-48d6-91e7-e27b29de95bb</t>
  </si>
  <si>
    <t>PP-09-018-1</t>
  </si>
  <si>
    <t>20827166M</t>
  </si>
  <si>
    <t>24/08/2028</t>
  </si>
  <si>
    <t>552c0660-4b08-4ec6-9cae-8049dbc3578b</t>
  </si>
  <si>
    <t>PP-09-019-1</t>
  </si>
  <si>
    <t>20826946M</t>
  </si>
  <si>
    <t>70f8aaa7-d727-43ed-8c65-6e4c99defe81</t>
  </si>
  <si>
    <t>AP-01-019-1</t>
  </si>
  <si>
    <t>PEAP</t>
  </si>
  <si>
    <t>25/08/2026</t>
  </si>
  <si>
    <t>b9f3f7d2-6c8e-4fa8-ae3c-fe4767ece693</t>
  </si>
  <si>
    <t>AP-01-018-1</t>
  </si>
  <si>
    <t>ec7ae566-2640-4d76-99d8-b40a8edf561c</t>
  </si>
  <si>
    <t>AP-01-012-1</t>
  </si>
  <si>
    <t>00a9dc36-e101-4cd6-b110-a09db5443559</t>
  </si>
  <si>
    <t>AP-01-022-1</t>
  </si>
  <si>
    <t>19/08/2029</t>
  </si>
  <si>
    <t>81baaa8a-04da-409e-8bbc-46d94fc61ab9</t>
  </si>
  <si>
    <t>CH-01-043-1</t>
  </si>
  <si>
    <t>RECH</t>
  </si>
  <si>
    <t>dd7a2f92-57fe-488d-abd6-da88e646d4e6</t>
  </si>
  <si>
    <t>AP-01-021-1</t>
  </si>
  <si>
    <t>1c0fc617-ebbb-4074-a0fc-c2cc54b5f8e7</t>
  </si>
  <si>
    <t>AP-01-024-1</t>
  </si>
  <si>
    <t>c59905de-46e2-4f44-8784-da807a8ec150</t>
  </si>
  <si>
    <t>AP-01-023-1</t>
  </si>
  <si>
    <t>0e1a3af1-0962-48b1-b05f-3eb5485b004e</t>
  </si>
  <si>
    <t>AP-01-026-1</t>
  </si>
  <si>
    <t>13/08/2029</t>
  </si>
  <si>
    <t>a8d3d521-f713-472d-bbdf-cfe12c6d8f1c</t>
  </si>
  <si>
    <t>44127547-dbe0-4097-a500-001bd9bd26c5</t>
  </si>
  <si>
    <t>AP-01-028-1</t>
  </si>
  <si>
    <t>64d97e20-12e5-4625-9688-bafa045055b4</t>
  </si>
  <si>
    <t>AP-01-029-1</t>
  </si>
  <si>
    <t>5d3290d4-8c94-4a9c-8736-533cb6521c02</t>
  </si>
  <si>
    <t>15/06/2029</t>
  </si>
  <si>
    <t>203cd26e-2716-4ef5-bc2e-e44c86e140f7</t>
  </si>
  <si>
    <t>AP-01-025-1</t>
  </si>
  <si>
    <t>22/07/2029</t>
  </si>
  <si>
    <t>6b7b1dad-5d1f-4f0f-8ae8-d1b353015401</t>
  </si>
  <si>
    <t>AP-01-020-1</t>
  </si>
  <si>
    <t>73cfa80c-a49f-4a40-84f4-de591afe2dbd</t>
  </si>
  <si>
    <t>PP-10-003-1</t>
  </si>
  <si>
    <t>16/07/2029</t>
  </si>
  <si>
    <t>8b36517c-8f58-49ed-8f72-efe198ffe8cd</t>
  </si>
  <si>
    <t>PP-10-006-1</t>
  </si>
  <si>
    <t>31/07/2029</t>
  </si>
  <si>
    <t>5b669017-713f-4914-bbff-00b682b159d3</t>
  </si>
  <si>
    <t>PP-10-002-1</t>
  </si>
  <si>
    <t>04576dc3-e267-4396-9e11-c1d292837544</t>
  </si>
  <si>
    <t>PP-10-007-1</t>
  </si>
  <si>
    <t>1a485c5a-ca5f-4f6a-a2ee-abbbca605270</t>
  </si>
  <si>
    <t>PP-10-052-1</t>
  </si>
  <si>
    <t>9bfbcf85-a63f-4600-bd28-7701c7e4520a</t>
  </si>
  <si>
    <t>PP-09-045-1</t>
  </si>
  <si>
    <t>82236ad6-2ff2-480e-bb03-82a329ea8d08</t>
  </si>
  <si>
    <t>PP-09-044-1</t>
  </si>
  <si>
    <t>aaf2ede3-5fe0-4d65-b53a-f3ed6b9d7dd5</t>
  </si>
  <si>
    <t>AP-01-008-1</t>
  </si>
  <si>
    <t>17/08/2028</t>
  </si>
  <si>
    <t>7359ac2d-d213-44e3-b465-2e7bb5c70213</t>
  </si>
  <si>
    <t>b49618bf-ddcb-4609-a7fc-a155ae6c2ce1</t>
  </si>
  <si>
    <t>AP-01-009-1</t>
  </si>
  <si>
    <t>13/08/2026</t>
  </si>
  <si>
    <t>495fa1f7-9b69-49cd-89aa-78921c7db07f</t>
  </si>
  <si>
    <t>PP-16-033-1</t>
  </si>
  <si>
    <t>25/09/2027</t>
  </si>
  <si>
    <t>f7728d3a-5b9d-47a3-b816-a43796afe99d</t>
  </si>
  <si>
    <t>PP-15-041-1</t>
  </si>
  <si>
    <t>37f9589a-dfa4-4229-b351-2d16b9deba9a</t>
  </si>
  <si>
    <t>PP-16-025-1</t>
  </si>
  <si>
    <t>49cbe6a8-0a99-4134-8b07-3bd2d08a729f</t>
  </si>
  <si>
    <t>PP-16-027-1</t>
  </si>
  <si>
    <t>43930b8e-8a4f-42bd-a0b5-3422e91f4d58</t>
  </si>
  <si>
    <t>PP-09-029-1</t>
  </si>
  <si>
    <t>13/07/2029</t>
  </si>
  <si>
    <t>f83c641e-a601-4792-bb69-4440015489f6</t>
  </si>
  <si>
    <t>PP-09-031-1</t>
  </si>
  <si>
    <t>19/06/2027</t>
  </si>
  <si>
    <t>f4605e50-3ea8-4497-8365-a4a7e98a991c</t>
  </si>
  <si>
    <t>PP-15-025-1</t>
  </si>
  <si>
    <t>25/08/2027</t>
  </si>
  <si>
    <t>761539e4-9032-4a5d-b9f7-268aeb2aa767</t>
  </si>
  <si>
    <t>PP-10-032-1</t>
  </si>
  <si>
    <t>ec73f529-31bc-4afa-85f4-5eb066dfe2ca</t>
  </si>
  <si>
    <t>PP-10-033-1</t>
  </si>
  <si>
    <t>19/08/2027</t>
  </si>
  <si>
    <t>c78957d2-e28b-4321-b42c-7e1a7fe1814d</t>
  </si>
  <si>
    <t>PP-15-028-1</t>
  </si>
  <si>
    <t>27/08/2027</t>
  </si>
  <si>
    <t>29/08/2026</t>
  </si>
  <si>
    <t>468e6db1-685f-450e-a4bc-905f464b8f4b</t>
  </si>
  <si>
    <t>PP-16-013-1</t>
  </si>
  <si>
    <t>21/11/2028</t>
  </si>
  <si>
    <t>a41add46-3bbc-4c28-9adc-36372f462313</t>
  </si>
  <si>
    <t>PP-16-001-1</t>
  </si>
  <si>
    <t>f0788558-42b4-494f-8c1a-ecd5df56f119</t>
  </si>
  <si>
    <t>AP-01-007-1</t>
  </si>
  <si>
    <t>23/06/2029</t>
  </si>
  <si>
    <t>063727eb-7f88-4373-b5bd-bcffcdc82af4</t>
  </si>
  <si>
    <t>PP-09-015-1</t>
  </si>
  <si>
    <t>f3e32243-51c3-4d66-adef-b1d6c8d3989b</t>
  </si>
  <si>
    <t>PP-09-013-1</t>
  </si>
  <si>
    <t>b5ba5e9c-43e8-46cb-997f-e35b4ac9867a</t>
  </si>
  <si>
    <t>PP-09-014-1</t>
  </si>
  <si>
    <t>50505ac2-356c-4855-b170-6fff7576cb80</t>
  </si>
  <si>
    <t>PP-09-016-1</t>
  </si>
  <si>
    <t>0a7afc61-8281-4b05-a19a-be2a7ec67b68</t>
  </si>
  <si>
    <t>PP-09-017-1</t>
  </si>
  <si>
    <t>14beb846-09c6-4e4c-bdc2-8381ec031ba6</t>
  </si>
  <si>
    <t>PP-10-020-1</t>
  </si>
  <si>
    <t>7e7133d5-33c1-4fde-a8f1-39f25545bb16</t>
  </si>
  <si>
    <t>PP-15-003-1</t>
  </si>
  <si>
    <t>95929117-5463-477b-ac2f-87e5a6fcac03</t>
  </si>
  <si>
    <t>PP-15-004-1</t>
  </si>
  <si>
    <t>e2cee3bf-4c6b-4c21-9099-4a207aaa7604</t>
  </si>
  <si>
    <t>PP-10-001-1</t>
  </si>
  <si>
    <t>81a79930-2168-47a2-96db-6f2cb24d7cfe</t>
  </si>
  <si>
    <t>PP-15-005-1</t>
  </si>
  <si>
    <t>7779d090-2135-4b2f-98b3-a71d11cb33d0</t>
  </si>
  <si>
    <t>PP-09-007-1</t>
  </si>
  <si>
    <t>e938d446-14ee-416a-98d6-a30d585724e0</t>
  </si>
  <si>
    <t>PP-16-031-1</t>
  </si>
  <si>
    <t>15/08/2029</t>
  </si>
  <si>
    <t>02940a86-3b17-4cdc-be33-0104d4c6645f</t>
  </si>
  <si>
    <t>PP-10-019-1</t>
  </si>
  <si>
    <t>fbeb0f5e-fceb-4976-8207-8524da64d06a</t>
  </si>
  <si>
    <t>PP-07-015-1</t>
  </si>
  <si>
    <t>60f23731-40fa-40a6-906d-6afadc97eda8</t>
  </si>
  <si>
    <t>PP-10-046-1</t>
  </si>
  <si>
    <t>f23c7a2e-c5cd-4662-8c72-16098bd6383e</t>
  </si>
  <si>
    <t>PP-16-017-1</t>
  </si>
  <si>
    <t>578c50d2-f257-4578-9e3b-ee9666dd2222</t>
  </si>
  <si>
    <t>PP-07-046-1</t>
  </si>
  <si>
    <t>e2dd71ba-9df5-4dfe-a155-2c8601aa0a87</t>
  </si>
  <si>
    <t>PP-07-047-1</t>
  </si>
  <si>
    <t>2fb38bfd-e898-49f1-bff0-3f81b4a7c143</t>
  </si>
  <si>
    <t>PP-10-034-1</t>
  </si>
  <si>
    <t>21/07/2028</t>
  </si>
  <si>
    <t>1561822a-9373-4124-9091-69a8f7318eae</t>
  </si>
  <si>
    <t>PP-09-047-1</t>
  </si>
  <si>
    <t>3a854c84-d197-4a52-b675-6fb9c01b8cd5</t>
  </si>
  <si>
    <t>PP-09-041-1</t>
  </si>
  <si>
    <t>2a01adbe-d4a3-475f-980d-40e25e5fe0cf</t>
  </si>
  <si>
    <t>PP-09-040-1</t>
  </si>
  <si>
    <t>61846755-1b78-44d9-b8af-a543528fb0b4</t>
  </si>
  <si>
    <t>PP-10-051-1</t>
  </si>
  <si>
    <t>536dd1dd-8ce9-4121-98d5-e5a765909bf1</t>
  </si>
  <si>
    <t>PP-09-050-1</t>
  </si>
  <si>
    <t>1b687b99-0005-4563-adfd-f2182b67f3a9</t>
  </si>
  <si>
    <t>PP-07-052-1</t>
  </si>
  <si>
    <t>e9453004-37fc-454b-85a2-128847987cf6</t>
  </si>
  <si>
    <t>PP-08-044-1</t>
  </si>
  <si>
    <t>28/08/2027</t>
  </si>
  <si>
    <t>31/08/2026</t>
  </si>
  <si>
    <t>549cc38b-ee4d-4950-b924-4e6d445421d5</t>
  </si>
  <si>
    <t>PP-15-027-1</t>
  </si>
  <si>
    <t>1dab8dcd-a8c6-4eec-8e61-1ed8883714a7</t>
  </si>
  <si>
    <t>PP-09-002-1</t>
  </si>
  <si>
    <t>83cc3b52-5bcd-4b6f-b207-d12bdfc3f127</t>
  </si>
  <si>
    <t>PP-09-012-1</t>
  </si>
  <si>
    <t>b27f419e-2265-457d-a0fd-08e81295f658</t>
  </si>
  <si>
    <t>PP-09-035-1</t>
  </si>
  <si>
    <t>46e1d4ee-9dd6-475d-a383-814dfb5d3031</t>
  </si>
  <si>
    <t>PP-10-021-1</t>
  </si>
  <si>
    <t>25/04/2029</t>
  </si>
  <si>
    <t>014c407b-5938-41cb-b2e5-3b24bbf49faa</t>
  </si>
  <si>
    <t>PP-15-045-1</t>
  </si>
  <si>
    <t>19828401-aca9-4c79-bfb4-c13cd9feef3c</t>
  </si>
  <si>
    <t>PP-07-013-1</t>
  </si>
  <si>
    <t>fb0f4ee3-0797-43f2-b7ae-bb2ec9c88437</t>
  </si>
  <si>
    <t>PP-07-012-1</t>
  </si>
  <si>
    <t>17/07/2027</t>
  </si>
  <si>
    <t>afd5f186-3fd4-4dd3-a536-b54d6f19b048</t>
  </si>
  <si>
    <t>PP-07-045-1</t>
  </si>
  <si>
    <t>3cc3dc9b-eaf1-4a50-b95e-ca00ee3c788c</t>
  </si>
  <si>
    <t>PP-09-036-1</t>
  </si>
  <si>
    <t>3201b5f2-98c1-4a22-b8ad-80d179229137</t>
  </si>
  <si>
    <t>PP-09-042-1</t>
  </si>
  <si>
    <t>f0c8a033-c535-432a-8e9a-d4e7c619927c</t>
  </si>
  <si>
    <t>PP-09-039-1</t>
  </si>
  <si>
    <t>1f259f02-0840-4e1c-8d91-1f9cc585b5a9</t>
  </si>
  <si>
    <t>PP-09-043-1</t>
  </si>
  <si>
    <t>ebfd0623-4fe3-45ac-82a4-daecfd802d2b</t>
  </si>
  <si>
    <t>PP-09-033-1</t>
  </si>
  <si>
    <t>25/07/2029</t>
  </si>
  <si>
    <t>b58b7b08-4be8-403e-b12e-a95f5e644fe9</t>
  </si>
  <si>
    <t>PP-09-034-1</t>
  </si>
  <si>
    <t>7b5f2468-a2e2-44ed-a4ea-d4e42ae0f039</t>
  </si>
  <si>
    <t>PP-09-037-1</t>
  </si>
  <si>
    <t>5c7ca8db-127e-4b7d-b460-07e184be5294</t>
  </si>
  <si>
    <t>PP-09-038-1</t>
  </si>
  <si>
    <t>7ee9e331-df5b-4df8-9565-dd8084544828</t>
  </si>
  <si>
    <t>PP-09-028-1</t>
  </si>
  <si>
    <t>29c32803-7863-4f65-87b4-4a3ecbf4f9b5</t>
  </si>
  <si>
    <t>PP-09-032-1</t>
  </si>
  <si>
    <t>74e16ee7-3b2f-40f4-b08f-69f7061cb1e1</t>
  </si>
  <si>
    <t>PP-09-048-1</t>
  </si>
  <si>
    <t>0fd01527-ccfd-4b1f-b135-89ca5a59dbdc</t>
  </si>
  <si>
    <t>PP-10-030-1</t>
  </si>
  <si>
    <t>c6a6a8f2-4bf8-494b-b879-841da8fd49e7</t>
  </si>
  <si>
    <t>PP-10-028-1</t>
  </si>
  <si>
    <t>6e6e49ac-0e73-4f49-ac76-b7d997c172e4</t>
  </si>
  <si>
    <t>PP-10-027-1</t>
  </si>
  <si>
    <t>312348cc-3aac-4c6f-9ca4-083019f50d1e</t>
  </si>
  <si>
    <t>PP-09-049-1</t>
  </si>
  <si>
    <t>991a1e83-63da-4320-b1a2-2402fd96f327</t>
  </si>
  <si>
    <t>PP-10-048-1</t>
  </si>
  <si>
    <t>24f63957-512e-4d08-b86b-2306d167a73d</t>
  </si>
  <si>
    <t>PP-10-050-1</t>
  </si>
  <si>
    <t>4a1c842d-12d9-4368-8d2e-3755b2b91730</t>
  </si>
  <si>
    <t>PP-09-046-1</t>
  </si>
  <si>
    <t>f5a21635-e644-401c-8cfb-ac264870d499</t>
  </si>
  <si>
    <t>PP-10-049-1</t>
  </si>
  <si>
    <t>d378fb4b-418c-4532-b6ce-86b43e9dfd47</t>
  </si>
  <si>
    <t>PP-09-051-1</t>
  </si>
  <si>
    <t>293f7c9c-913c-4bf3-895e-665446a604e4</t>
  </si>
  <si>
    <t>PP-09-052-1</t>
  </si>
  <si>
    <t>868c89fc-b1ef-47c0-8c91-5570672d58a3</t>
  </si>
  <si>
    <t>PP-07-019-1</t>
  </si>
  <si>
    <t>2b05affb-0471-4339-abb6-16f3e861b557</t>
  </si>
  <si>
    <t>PP-07-017-1</t>
  </si>
  <si>
    <t>8457321e-4692-426e-a6bc-200f76c682c2</t>
  </si>
  <si>
    <t>PP-07-020-1</t>
  </si>
  <si>
    <t>0f358cf0-d6d4-45cc-b3d8-5168a9deb58f</t>
  </si>
  <si>
    <t>PP-07-007-1</t>
  </si>
  <si>
    <t>16/04/2027</t>
  </si>
  <si>
    <t>4ecc434a-0405-49d2-93a8-14dde9da1e22</t>
  </si>
  <si>
    <t>PP-07-018-1</t>
  </si>
  <si>
    <t>26/08/2029</t>
  </si>
  <si>
    <t>de0fd0d3-6362-401c-b825-6aeee7061fa2</t>
  </si>
  <si>
    <t>PP-07-039-1</t>
  </si>
  <si>
    <t>bd6e5a21-1fee-449c-9ff2-4652673a3610</t>
  </si>
  <si>
    <t>PP-07-038-1</t>
  </si>
  <si>
    <t>18/07/2029</t>
  </si>
  <si>
    <t>2eb3c99f-43ea-47cc-bd4c-56e87b6c206e</t>
  </si>
  <si>
    <t>PP-07-040-1</t>
  </si>
  <si>
    <t>97af20f3-ca68-48b1-bbec-005f30559f8a</t>
  </si>
  <si>
    <t>PP-07-037-1</t>
  </si>
  <si>
    <t>978b5116-ac91-40e5-8dc7-1f65aae94ad2</t>
  </si>
  <si>
    <t>PP-07-035-1</t>
  </si>
  <si>
    <t>3eac85e9-ba72-4710-8b9e-919695e6295b</t>
  </si>
  <si>
    <t>PP-07-036-1</t>
  </si>
  <si>
    <t>ebe3e4be-7a7f-4a24-86ca-f3c71e82a157</t>
  </si>
  <si>
    <t>PP-07-041-1</t>
  </si>
  <si>
    <t>14/05/2029</t>
  </si>
  <si>
    <t>a60e6057-bec9-4977-9f61-9cd00991b033</t>
  </si>
  <si>
    <t>PP-08-025-1</t>
  </si>
  <si>
    <t>ACONDICIONADOR AMARAS RIZOS  260 ML</t>
  </si>
  <si>
    <t>28/05/2028</t>
  </si>
  <si>
    <t>4f4a5605-07b1-49c7-bb9a-e494c804a627</t>
  </si>
  <si>
    <t>PP-08-011-1</t>
  </si>
  <si>
    <t>22/04/2028</t>
  </si>
  <si>
    <t>e3a94957-0493-43d6-b3d8-8a9125f44552</t>
  </si>
  <si>
    <t>PP-08-034-1</t>
  </si>
  <si>
    <t>26/06/2028</t>
  </si>
  <si>
    <t>89f7744a-9a69-4241-a009-a7a14c537f07</t>
  </si>
  <si>
    <t>PP-08-003-1</t>
  </si>
  <si>
    <t>9fb37071-2704-48b1-8bdd-6efe38b83316</t>
  </si>
  <si>
    <t>PP-08-007-1</t>
  </si>
  <si>
    <t>19/03/2028</t>
  </si>
  <si>
    <t>89e26797-25ca-4a54-bb6c-1e488ba6ef77</t>
  </si>
  <si>
    <t>PP-08-024-1</t>
  </si>
  <si>
    <t>15/06/2028</t>
  </si>
  <si>
    <t>e0c2d994-25b5-4d93-8dd6-23e86365c268</t>
  </si>
  <si>
    <t>PP-08-022-1</t>
  </si>
  <si>
    <t>1521b062-f9e5-4a8d-90c8-5ca334431827</t>
  </si>
  <si>
    <t>PP-08-026-1</t>
  </si>
  <si>
    <t>29/05/2028</t>
  </si>
  <si>
    <t>9262112f-4214-4caa-b2ba-2c093f03d1b1</t>
  </si>
  <si>
    <t>PP-08-033-1</t>
  </si>
  <si>
    <t>20/04/2028</t>
  </si>
  <si>
    <t>fd34ca9c-5fb3-4e8f-9335-3bf84f8fb171</t>
  </si>
  <si>
    <t>PP-08-023-1</t>
  </si>
  <si>
    <t>30/05/2028</t>
  </si>
  <si>
    <t>3b506b34-ed31-4214-b4ef-aee003a09481</t>
  </si>
  <si>
    <t>PP-08-028-1</t>
  </si>
  <si>
    <t>16/04/2028</t>
  </si>
  <si>
    <t>a7137b83-cf16-48e8-94a5-13352e9d1f86</t>
  </si>
  <si>
    <t>PP-08-030-1</t>
  </si>
  <si>
    <t>N.SHAMP 20mL+CREM10ML RIZOS AMARAS10X12</t>
  </si>
  <si>
    <t>63bfd724-115b-46a0-a54b-3a634274bbfd</t>
  </si>
  <si>
    <t>PP-08-031-1</t>
  </si>
  <si>
    <t>N.SHAMP20mL+ ACO10mL REPAR AMARAS 10X12</t>
  </si>
  <si>
    <t>f593a110-1a64-4996-8819-dd3d14224a2b</t>
  </si>
  <si>
    <t>PP-08-032-1</t>
  </si>
  <si>
    <t>N.SHAMP 20mL+ACO 10mL MAGIA AND AMARAS</t>
  </si>
  <si>
    <t>54081372-3614-41f1-baa3-6c6842b80eba</t>
  </si>
  <si>
    <t>PP-08-027-1</t>
  </si>
  <si>
    <t>f357bae1-469a-42f9-84d0-8f07d6c29a7e</t>
  </si>
  <si>
    <t>AP-01-005-1</t>
  </si>
  <si>
    <t>20/01/2028</t>
  </si>
  <si>
    <t>b7b5eab9-ba13-4403-a471-4d404c993c1e</t>
  </si>
  <si>
    <t>acf39014-7085-4a19-8ef6-d3c8ccc85aed</t>
  </si>
  <si>
    <t>AP-01-016-1</t>
  </si>
  <si>
    <t>228205fe-dbe7-460c-ac39-5c327baa80b7</t>
  </si>
  <si>
    <t>AP-01-014-1</t>
  </si>
  <si>
    <t>2d204bfb-f6f2-45d5-b499-63abd60eea12</t>
  </si>
  <si>
    <t>AP-01-013-1</t>
  </si>
  <si>
    <t>24/07/2028</t>
  </si>
  <si>
    <t>5d7e88d1-32cd-4754-92b8-600e87b77cc7</t>
  </si>
  <si>
    <t>AP-01-006-1</t>
  </si>
  <si>
    <t>31/07/2026</t>
  </si>
  <si>
    <t>70ae487a-57d4-4da6-bf68-3f347ebd6f1d</t>
  </si>
  <si>
    <t>AP-01-027-1</t>
  </si>
  <si>
    <t>26/08/2028</t>
  </si>
  <si>
    <t>6d063e6b-5874-41ce-a664-4b4696170606</t>
  </si>
  <si>
    <t>7c3da44f-db0c-4b3b-aab4-c24b7bf11b08</t>
  </si>
  <si>
    <t>PP-16-011-1</t>
  </si>
  <si>
    <t>be883395-cf95-49f8-b626-ec9c1ba3837c</t>
  </si>
  <si>
    <t>PP-16-007-1</t>
  </si>
  <si>
    <t>28/03/2028</t>
  </si>
  <si>
    <t>405b399d-bdb8-47c1-9901-0d8cb8e9e2cc</t>
  </si>
  <si>
    <t>PP-16-005-1</t>
  </si>
  <si>
    <t>2feed5ad-f6c4-4b5a-be66-5ca7e61ded49</t>
  </si>
  <si>
    <t>AP-01-030-1</t>
  </si>
  <si>
    <t>27/08/2028</t>
  </si>
  <si>
    <t>7fa8d6c8-63e9-4609-b760-11371bc009f3</t>
  </si>
  <si>
    <t>AP-01-017-1</t>
  </si>
  <si>
    <t>25bfc745-9cd5-4a05-8f77-353b2d9b5a06</t>
  </si>
  <si>
    <t>AP-01-010-1</t>
  </si>
  <si>
    <t>ffb91659-d263-4bdc-9c14-ae1ddfc8f0d5</t>
  </si>
  <si>
    <t>AP-01-011-1</t>
  </si>
  <si>
    <t>3aa80948-144f-44dd-9292-6059c02fbb3a</t>
  </si>
  <si>
    <t>PP-08-013-1</t>
  </si>
  <si>
    <t>e26b987c-8593-4a36-b485-9698e8c881f1</t>
  </si>
  <si>
    <t>PP-08-046-1</t>
  </si>
  <si>
    <t>5f80428f-be06-40e4-bddd-9a767a3c1ff4</t>
  </si>
  <si>
    <t>PP-08-038-1</t>
  </si>
  <si>
    <t>20824996M</t>
  </si>
  <si>
    <t>e2881563-e7b9-4abb-a122-2f28aa07ee25</t>
  </si>
  <si>
    <t>PP-08-040-1</t>
  </si>
  <si>
    <t>20824986M</t>
  </si>
  <si>
    <t>8eac9e38-744f-45f9-a736-7eab00d68e21</t>
  </si>
  <si>
    <t>PP-13-036-1</t>
  </si>
  <si>
    <t>8fc593f3-b2f0-425e-8c57-27fd162bf45f</t>
  </si>
  <si>
    <t>PP-13-014-1</t>
  </si>
  <si>
    <t>DET. BOLIVAR CUIDADO TOTAL 320GR.30BOL</t>
  </si>
  <si>
    <t>a59a2ed9-c940-416a-acfb-0d9d0aa43e90</t>
  </si>
  <si>
    <t>PP-13-003-1</t>
  </si>
  <si>
    <t>498ef83c-8ae2-4da9-af68-4c2e6b3006ee</t>
  </si>
  <si>
    <t>PP-12-018-1</t>
  </si>
  <si>
    <t>b5fe5106-bf7b-41f4-950c-aa571a141d6c</t>
  </si>
  <si>
    <t>PP-12-019-1</t>
  </si>
  <si>
    <t>23/08/2028</t>
  </si>
  <si>
    <t>24/08/2026</t>
  </si>
  <si>
    <t>4d7f3293-43ad-4dbd-b017-9c751c9fd5a9</t>
  </si>
  <si>
    <t>PP-13-039-1</t>
  </si>
  <si>
    <t>a6bf5977-b18a-4654-96bf-861c3f7e30f6</t>
  </si>
  <si>
    <t>PP-12-043-1</t>
  </si>
  <si>
    <t>7077c9e0-4173-49db-b2db-8fd0a108b017</t>
  </si>
  <si>
    <t>PP-11-031-1</t>
  </si>
  <si>
    <t>25/08/2028</t>
  </si>
  <si>
    <t>41d47f02-6bfd-483e-96aa-c4becea8b3a4</t>
  </si>
  <si>
    <t>PP-11-011-1</t>
  </si>
  <si>
    <t>DET.BOLIVAR CUIDADO SUAVIDAD 4.0KG.4BOL</t>
  </si>
  <si>
    <t>c3d4b271-95b3-4f95-983c-89cf9e60f59f</t>
  </si>
  <si>
    <t>PP-11-030-1</t>
  </si>
  <si>
    <t>DET. BOLIVAR CUIDADO MICELAR 2.4KG.6BOL</t>
  </si>
  <si>
    <t>22/08/2028</t>
  </si>
  <si>
    <t>23/08/2026</t>
  </si>
  <si>
    <t>0a87b3ef-b340-477d-9bf2-819eaa00e226</t>
  </si>
  <si>
    <t>PP-11-012-1</t>
  </si>
  <si>
    <t>DET. BOLIVAR CUIDADO MICELAR 4.0KG.4BOL</t>
  </si>
  <si>
    <t>18c076c1-9a15-42d8-859c-9ec9756b1a46</t>
  </si>
  <si>
    <t>PP-13-020-1</t>
  </si>
  <si>
    <t>DET. BOLIVAR CUIDADO TOTAL 9KG 1BOL</t>
  </si>
  <si>
    <t>2e3a7819-c696-45c7-b327-37f9bd747e4b</t>
  </si>
  <si>
    <t>PP-13-021-1</t>
  </si>
  <si>
    <t>03c6fe1d-8669-41df-b8c6-d1cb25ef6c33</t>
  </si>
  <si>
    <t>PP-12-020-1</t>
  </si>
  <si>
    <t>DET. BOL CUIDADO MICELAR 730GR.15BOL</t>
  </si>
  <si>
    <t>13616677-98aa-429a-9b3e-4f1dadbe95fd</t>
  </si>
  <si>
    <t>PP-12-021-1</t>
  </si>
  <si>
    <t>9e15ebd8-7ef5-46c5-a2cf-0d0412379b21</t>
  </si>
  <si>
    <t>PP-12-014-1</t>
  </si>
  <si>
    <t>31/07/2028</t>
  </si>
  <si>
    <t>1fb178b4-e57d-4401-81aa-efac0e3c9827</t>
  </si>
  <si>
    <t>PP-12-015-1</t>
  </si>
  <si>
    <t>fd2889fe-cc2b-4f85-9417-1995c1e0879f</t>
  </si>
  <si>
    <t>PP-13-001-1</t>
  </si>
  <si>
    <t>28/06/2028</t>
  </si>
  <si>
    <t>0c80597a-965f-4efd-a5cc-0909f4a39f8f</t>
  </si>
  <si>
    <t>PP-12-039-1</t>
  </si>
  <si>
    <t>ad32adec-db99-4f06-8af5-21a0583ecc2e</t>
  </si>
  <si>
    <t>PP-11-002-1</t>
  </si>
  <si>
    <t>DET. BOLIVAR CUIDADO TOTAL 5.6KG 3BOL</t>
  </si>
  <si>
    <t>5728c527-a564-4e9a-9d92-581d322588a4</t>
  </si>
  <si>
    <t>PP-11-027-1</t>
  </si>
  <si>
    <t>DET. BOLIVAR CUIDADO TOTAL 2.4KG.6BOL</t>
  </si>
  <si>
    <t>f7d63aa9-eda9-4dbf-801a-a9401dc949e9</t>
  </si>
  <si>
    <t>PP-11-028-1</t>
  </si>
  <si>
    <t>4cdfe3d3-08f5-43f3-b9dd-66c0de7c2502</t>
  </si>
  <si>
    <t>PP-11-009-1</t>
  </si>
  <si>
    <t>3ad10cda-ce97-4906-a395-1fc54ce4554f</t>
  </si>
  <si>
    <t>PP-11-010-1</t>
  </si>
  <si>
    <t>6fc4fa1a-64fd-47ae-b99d-7959693091d6</t>
  </si>
  <si>
    <t>PP-13-004-1</t>
  </si>
  <si>
    <t>19/07/2028</t>
  </si>
  <si>
    <t>ba041864-b27a-479f-bb39-198071850e8f</t>
  </si>
  <si>
    <t>PP-13-041-1</t>
  </si>
  <si>
    <t>a4c13bf2-4fa4-4204-b5ab-605d8446e803</t>
  </si>
  <si>
    <t>PP-13-042-1</t>
  </si>
  <si>
    <t>18/01/2028</t>
  </si>
  <si>
    <t>08dbdf7f-a43a-46f4-9d99-b0c28a195751</t>
  </si>
  <si>
    <t>PP-12-006-1</t>
  </si>
  <si>
    <t>61e204cf-8cd4-480e-ae0c-c1230bb00153</t>
  </si>
  <si>
    <t>PP-12-012-1</t>
  </si>
  <si>
    <t>3dc5354c-c046-49aa-a9bd-d5aca9a7f183</t>
  </si>
  <si>
    <t>PP-13-009-1</t>
  </si>
  <si>
    <t>DET. BOL. CUIDADO TOTAL 320GR.30BOL CP</t>
  </si>
  <si>
    <t>8d3fd8e8-76d0-4a11-b707-010ccac27a7c</t>
  </si>
  <si>
    <t>PP-11-014-1</t>
  </si>
  <si>
    <t>a03870f4-06ea-4011-bd89-05d96e914623</t>
  </si>
  <si>
    <t>PP-12-042-1</t>
  </si>
  <si>
    <t>92ac6506-7811-4dec-b88b-3ef712747485</t>
  </si>
  <si>
    <t>PP-12-040-1</t>
  </si>
  <si>
    <t>28/08/2028</t>
  </si>
  <si>
    <t>acb49ed1-f6bb-44db-bac9-449bf7b4c3c6</t>
  </si>
  <si>
    <t>PP-10-031-1</t>
  </si>
  <si>
    <t>20722506M</t>
  </si>
  <si>
    <t>08efda80-8ef3-40d7-b4f5-adeaeb8be1b9</t>
  </si>
  <si>
    <t>PP-07-051-1</t>
  </si>
  <si>
    <t>20824716M</t>
  </si>
  <si>
    <t>3c590aa8-da45-4f09-b2c4-7bebdd056e22</t>
  </si>
  <si>
    <t>PP-11-022-1</t>
  </si>
  <si>
    <t>15/08/2028</t>
  </si>
  <si>
    <t>64196e19-5012-4a4a-9df0-3e0f3a077c39</t>
  </si>
  <si>
    <t>PP-12-016-1</t>
  </si>
  <si>
    <t>d7171102-e25e-4a90-a11c-d4a2f3c7b294</t>
  </si>
  <si>
    <t>PP-12-017-1</t>
  </si>
  <si>
    <t>ef115615-bb19-4a84-85b4-fdcda3fba22b</t>
  </si>
  <si>
    <t>PP-11-035-1</t>
  </si>
  <si>
    <t>57209065-f1ca-4994-813f-adb15463d42c</t>
  </si>
  <si>
    <t>PP-11-036-1</t>
  </si>
  <si>
    <t>e254a7db-e1e8-40e4-8fa0-c5e847a30dc7</t>
  </si>
  <si>
    <t>PP-13-038-1</t>
  </si>
  <si>
    <t>12500baa-af06-4f17-9759-e3780d30f6e2</t>
  </si>
  <si>
    <t>PP-13-040-1</t>
  </si>
  <si>
    <t>28/04/2028</t>
  </si>
  <si>
    <t>1d9b8370-10a6-4d9a-81f5-295d5c0578ec</t>
  </si>
  <si>
    <t>PP-11-037-1</t>
  </si>
  <si>
    <t>1c4a355f-0ad9-4b34-838f-54228b9a99e2</t>
  </si>
  <si>
    <t>PP-12-009-1</t>
  </si>
  <si>
    <t>26/06/2027</t>
  </si>
  <si>
    <t>89a56fef-8698-4895-9715-d440f580996a</t>
  </si>
  <si>
    <t>PP-11-023-1</t>
  </si>
  <si>
    <t>9b37e3e6-2e75-409c-b3f4-2254474245c6</t>
  </si>
  <si>
    <t>PP-12-011-1</t>
  </si>
  <si>
    <t>80ba2b9c-b8cf-4a6d-992d-78b78027a20e</t>
  </si>
  <si>
    <t>PP-13-013-1</t>
  </si>
  <si>
    <t>e20f7f3b-f2a4-4956-975d-001a429550c6</t>
  </si>
  <si>
    <t>PP-12-003-1</t>
  </si>
  <si>
    <t>24/06/2027</t>
  </si>
  <si>
    <t>99499759-17a1-4ab6-aec5-c569810871c1</t>
  </si>
  <si>
    <t>PP-11-020-1</t>
  </si>
  <si>
    <t>89ae49ca-bc64-4935-97c8-2d4cd7e51f53</t>
  </si>
  <si>
    <t>PP-11-021-1</t>
  </si>
  <si>
    <t>6e7260cf-7383-4f3b-8d85-4208332f16dc</t>
  </si>
  <si>
    <t>PP-11-039-1</t>
  </si>
  <si>
    <t>a39df579-bab1-4884-8cd6-7d3874f7d51b</t>
  </si>
  <si>
    <t>PP-13-044-1</t>
  </si>
  <si>
    <t>96520036-039e-4954-8e33-d9710004b157</t>
  </si>
  <si>
    <t>PP-13-043-1</t>
  </si>
  <si>
    <t>16/06/2027</t>
  </si>
  <si>
    <t>65334f30-87da-4878-b2a6-06341d782488</t>
  </si>
  <si>
    <t>PP-12-022-1</t>
  </si>
  <si>
    <t>3074a8f0-b288-4fe0-8e34-ca0822f247a8</t>
  </si>
  <si>
    <t>PP-12-023-1</t>
  </si>
  <si>
    <t>6ed1d915-42f7-430c-a921-9361bb17ed77</t>
  </si>
  <si>
    <t>PP-11-038-1</t>
  </si>
  <si>
    <t>84773b0d-5cd5-4a9f-99c2-4b7ef122a01a</t>
  </si>
  <si>
    <t>PP-12-002-1</t>
  </si>
  <si>
    <t>4efb4810-bc58-49ed-912e-598db5e369aa</t>
  </si>
  <si>
    <t>PP-11-043-1</t>
  </si>
  <si>
    <t>dba91b6c-8fb1-49d4-8066-d44eb77c902a</t>
  </si>
  <si>
    <t>PP-11-044-1</t>
  </si>
  <si>
    <t>81a1631f-b0f3-48c8-b0b4-c47d0dd015a2</t>
  </si>
  <si>
    <t>PP-12-008-1</t>
  </si>
  <si>
    <t>e6d2165e-22ea-42da-8f68-2636b8f8b436</t>
  </si>
  <si>
    <t>PP-11-040-1</t>
  </si>
  <si>
    <t>b73c7e3a-8671-4a05-a2ee-67b37ca2278d</t>
  </si>
  <si>
    <t>PP-12-007-1</t>
  </si>
  <si>
    <t>2f103c26-9efc-4bd0-b3c5-8a6fd2cd7048</t>
  </si>
  <si>
    <t>PP-13-011-1</t>
  </si>
  <si>
    <t>0900e431-3cf3-4532-82f5-2789e774c478</t>
  </si>
  <si>
    <t>PP-12-004-1</t>
  </si>
  <si>
    <t>2e29caeb-9f77-4649-ad6d-95496fc7f9fd</t>
  </si>
  <si>
    <t>PP-13-035-1</t>
  </si>
  <si>
    <t>a4bff4e1-b66f-4dda-967c-b363f2290de5</t>
  </si>
  <si>
    <t>PP-13-022-1</t>
  </si>
  <si>
    <t>cb9301cc-83d0-4d32-8c33-34f2cb529a84</t>
  </si>
  <si>
    <t>PP-13-037-1</t>
  </si>
  <si>
    <t>DET. OPAL  ULTRA 140GR.60BOL</t>
  </si>
  <si>
    <t>832c546a-aef4-4833-a22e-1e397228a4ff</t>
  </si>
  <si>
    <t>PP-11-029-1</t>
  </si>
  <si>
    <t>DET. OPAL  ULTRA 2.4KG.6BOL</t>
  </si>
  <si>
    <t>61b554da-31fe-46db-9ae3-c11892606f42</t>
  </si>
  <si>
    <t>PP-11-007-1</t>
  </si>
  <si>
    <t>4a324f10-af6b-4bbe-a486-28aebb504cd1</t>
  </si>
  <si>
    <t>PP-11-008-1</t>
  </si>
  <si>
    <t>41749670-79e7-4030-9d10-c993f404a2ce</t>
  </si>
  <si>
    <t>PP-11-001-1</t>
  </si>
  <si>
    <t>6f147621-4270-4d78-88d5-6f5c909fdde8</t>
  </si>
  <si>
    <t>PP-12-013-1</t>
  </si>
  <si>
    <t>DET. OPAL  ULTRA 730GR.15BOL</t>
  </si>
  <si>
    <t>8405cb19-9715-4f55-9067-a94109e59347</t>
  </si>
  <si>
    <t>PP-12-001-1</t>
  </si>
  <si>
    <t>25/06/2027</t>
  </si>
  <si>
    <t>9ec6197e-588a-4c51-9aa3-2c8f9a68d09b</t>
  </si>
  <si>
    <t>PP-13-012-1</t>
  </si>
  <si>
    <t>a5900d2c-b323-4c01-9680-50d1823304a2</t>
  </si>
  <si>
    <t>PP-11-032-1</t>
  </si>
  <si>
    <t>492fc263-3689-45d6-bbb3-1386bbab726d</t>
  </si>
  <si>
    <t>PP-11-013-1</t>
  </si>
  <si>
    <t>a50e0292-11a3-47c4-86aa-f1c19b32689a</t>
  </si>
  <si>
    <t>PP-12-024-1</t>
  </si>
  <si>
    <t>b5ba9fa3-279c-44ec-aab6-20ecde7c2af3</t>
  </si>
  <si>
    <t>PP-13-002-1</t>
  </si>
  <si>
    <t>aaf35125-3026-40a1-9ba4-4130bee1876d</t>
  </si>
  <si>
    <t>PP-11-033-1</t>
  </si>
  <si>
    <t>140ced39-343d-42dc-abce-a2c4bf5bc1bc</t>
  </si>
  <si>
    <t>PP-11-015-1</t>
  </si>
  <si>
    <t>6f98938f-6611-4663-a0e9-3f559ebbea9d</t>
  </si>
  <si>
    <t>PP-12-038-1</t>
  </si>
  <si>
    <t>8105619d-7256-4333-9cba-7bcc9c725219</t>
  </si>
  <si>
    <t>PP-11-050-1</t>
  </si>
  <si>
    <t>55cc634a-7e59-4efb-ae12-6810d92bf97a</t>
  </si>
  <si>
    <t>PP-11-034-1</t>
  </si>
  <si>
    <t>DET. OPAL  ULTRA  2.4KG.6BOL CP</t>
  </si>
  <si>
    <t>a0de0fae-ed14-4ea6-8f0d-fc2ac1e5873f</t>
  </si>
  <si>
    <t>PP-12-010-1</t>
  </si>
  <si>
    <t>DET. OPAL  ULTRA 730GR.15BOL CP</t>
  </si>
  <si>
    <t>d53d42b8-d979-4d89-8cce-01c04539f211</t>
  </si>
  <si>
    <t>PP-12-005-1</t>
  </si>
  <si>
    <t>18/07/2028</t>
  </si>
  <si>
    <t>9ce5cdf6-90fc-433b-bd6a-7e9bfe89eefb</t>
  </si>
  <si>
    <t>PP-13-010-1</t>
  </si>
  <si>
    <t>DETER. OPAL ULTRA  320GR.30BOL CP</t>
  </si>
  <si>
    <t>58af6454-07f9-40e0-8acb-f1e1089b5824</t>
  </si>
  <si>
    <t>PP-11-024-1</t>
  </si>
  <si>
    <t>fd62f35e-7d39-45ca-b6c3-a19a55a4fbca</t>
  </si>
  <si>
    <t>PP-12-049-1</t>
  </si>
  <si>
    <t>18/08/2028</t>
  </si>
  <si>
    <t>c9fccdb2-5f16-4cad-a986-ca5a2635c2c1</t>
  </si>
  <si>
    <t>PP-12-050-1</t>
  </si>
  <si>
    <t>684af70d-5514-49db-9715-22927d7a3756</t>
  </si>
  <si>
    <t>PP-11-025-1</t>
  </si>
  <si>
    <t>75e9bdcf-bb51-40ee-a72f-ec4129f1f774</t>
  </si>
  <si>
    <t>PP-11-003-1</t>
  </si>
  <si>
    <t>DET. TROME ENCANTO FLORAL 4Kg.4BOL</t>
  </si>
  <si>
    <t>cfdf0daf-8db8-4d51-962a-1a17677e244b</t>
  </si>
  <si>
    <t>PP-11-026-1</t>
  </si>
  <si>
    <t>529d9bdf-a35d-446f-b761-07b9da2fd28a</t>
  </si>
  <si>
    <t>PP-13-016-1</t>
  </si>
  <si>
    <t>15/04/2029</t>
  </si>
  <si>
    <t>b6916fb5-0c71-4cc8-be43-4714c1f18b1a</t>
  </si>
  <si>
    <t>PP-11-045-1</t>
  </si>
  <si>
    <t>56a6700b-c3c9-48c5-8885-51e99a954789</t>
  </si>
  <si>
    <t>PP-11-046-1</t>
  </si>
  <si>
    <t>ebc92ca3-497b-4de7-967f-3e0ebd233f9f</t>
  </si>
  <si>
    <t>PP-13-046-1</t>
  </si>
  <si>
    <t>16/05/2028</t>
  </si>
  <si>
    <t>465355a3-6445-4656-8a23-eee27430e890</t>
  </si>
  <si>
    <t>PP-13-030-1</t>
  </si>
  <si>
    <t>1ca6031f-a8f2-456d-a84b-82990f800419</t>
  </si>
  <si>
    <t>PP-13-031-1</t>
  </si>
  <si>
    <t>15bdca16-4eaa-43c5-bf73-5b38db5ff0f2</t>
  </si>
  <si>
    <t>PP-13-034-1</t>
  </si>
  <si>
    <t>d865fa52-d9ad-4726-b9fd-962aad4350c4</t>
  </si>
  <si>
    <t>PP-13-032-1</t>
  </si>
  <si>
    <t>dd8f97a2-daf8-42b8-846a-757861df05e5</t>
  </si>
  <si>
    <t>PP-13-033-1</t>
  </si>
  <si>
    <t>6d1016f0-c968-437e-a309-ee6006ca9110</t>
  </si>
  <si>
    <t>PP-11-049-1</t>
  </si>
  <si>
    <t>22/05/2028</t>
  </si>
  <si>
    <t>addfdb94-f8e9-49a2-9e30-19e39a723585</t>
  </si>
  <si>
    <t>PP-13-045-1</t>
  </si>
  <si>
    <t>DET. SAP PRO MAX PODER 140GR PACK 12BOL</t>
  </si>
  <si>
    <t>19/05/2029</t>
  </si>
  <si>
    <t>17581563-c3ce-467b-acb0-859865d8a79e</t>
  </si>
  <si>
    <t>PP-13-019-1</t>
  </si>
  <si>
    <t>DET. SAPOLIO PRO MAXIMO PODER 9 KG</t>
  </si>
  <si>
    <t>b5a6ad8e-5084-4187-97ce-c13953464cf2</t>
  </si>
  <si>
    <t>PP-13-015-1</t>
  </si>
  <si>
    <t>38c729e3-fa19-4f21-9683-4b7456cdfa74</t>
  </si>
  <si>
    <t>PP-12-028-1</t>
  </si>
  <si>
    <t>16/08/2029</t>
  </si>
  <si>
    <t>cc7e0e35-7dfc-43d5-aa2e-7dba618909cd</t>
  </si>
  <si>
    <t>PP-12-046-1</t>
  </si>
  <si>
    <t>5d221e8d-35b2-4999-9935-ae02878c39cc</t>
  </si>
  <si>
    <t>PP-13-018-1</t>
  </si>
  <si>
    <t>DET. SAPOLIO PRO MAXIMO PODER 9x1KG</t>
  </si>
  <si>
    <t>aa94c210-f972-4879-b576-d0886043aa1a</t>
  </si>
  <si>
    <t>PP-13-024-1</t>
  </si>
  <si>
    <t>0a5a0a53-7411-4455-b50c-3cff5665192c</t>
  </si>
  <si>
    <t>PP-13-025-1</t>
  </si>
  <si>
    <t>b3a741e9-e53b-4765-8e15-69afd2cede01</t>
  </si>
  <si>
    <t>PP-13-028-1</t>
  </si>
  <si>
    <t>DET.PATITO BICAR. FLORAL 140GR.60UNDxPQ</t>
  </si>
  <si>
    <t>ed9c3ee7-63b5-4510-b805-69d58ca13c9a</t>
  </si>
  <si>
    <t>PP-13-026-1</t>
  </si>
  <si>
    <t>DET.PATITO BICARB.BEBE 140GR.60UNDxPQT</t>
  </si>
  <si>
    <t>30/07/2029</t>
  </si>
  <si>
    <t>a1b83db8-7673-4eca-90e4-1db098269f0c</t>
  </si>
  <si>
    <t>PP-13-027-1</t>
  </si>
  <si>
    <t>4b476da4-1e4c-4293-a160-d500208a4005</t>
  </si>
  <si>
    <t>PP-11-016-1</t>
  </si>
  <si>
    <t>086a54b3-167c-4d49-adec-4928d31f33bb</t>
  </si>
  <si>
    <t>PP-11-017-1</t>
  </si>
  <si>
    <t>d991a550-1387-43b6-8c9f-9efd1d052b7a</t>
  </si>
  <si>
    <t>PP-11-006-1</t>
  </si>
  <si>
    <t>d740308f-745d-444a-9791-75ca10d3b5e2</t>
  </si>
  <si>
    <t>PP-12-035-1</t>
  </si>
  <si>
    <t>e709b0d5-6dc7-4156-8a3d-12d0fb64bbea</t>
  </si>
  <si>
    <t>PP-12-036-1</t>
  </si>
  <si>
    <t>5e4339b2-f32c-4f6a-b827-329f22f91c07</t>
  </si>
  <si>
    <t>PP-12-033-1</t>
  </si>
  <si>
    <t>7ecc585e-6c89-4417-8ecc-f29c554240f4</t>
  </si>
  <si>
    <t>PP-12-034-1</t>
  </si>
  <si>
    <t>93af44c5-d3e1-4786-8980-0cda0c0ef04e</t>
  </si>
  <si>
    <t>PP-11-051-1</t>
  </si>
  <si>
    <t>015d22e4-e495-4301-8454-c3dd626047db</t>
  </si>
  <si>
    <t>PP-11-052-1</t>
  </si>
  <si>
    <t>80777ff3-facd-442c-9197-541dd22b0413</t>
  </si>
  <si>
    <t>PP-13-006-1</t>
  </si>
  <si>
    <t>19a49455-a19f-4648-a904-0c839de1c73c</t>
  </si>
  <si>
    <t>PP-13-007-1</t>
  </si>
  <si>
    <t>f92ddb06-ce15-4ca9-ba48-d3623bd5b90a</t>
  </si>
  <si>
    <t>PP-13-005-1</t>
  </si>
  <si>
    <t>46c40aab-48fc-4ba8-aa85-74196e3d7639</t>
  </si>
  <si>
    <t>PP-13-008-1</t>
  </si>
  <si>
    <t>b6b66ad8-1529-40ef-98c1-6ed4bd5afb94</t>
  </si>
  <si>
    <t>PP-12-032-1</t>
  </si>
  <si>
    <t>DET.PATITO BICARB.FLORAL 2x5.5KG.1PQT PE</t>
  </si>
  <si>
    <t>21/07/2029</t>
  </si>
  <si>
    <t>28133760-4c70-408b-be45-21dad698013b</t>
  </si>
  <si>
    <t>PP-12-031-1</t>
  </si>
  <si>
    <t>DET.PATITO BICARB.LIMÓN 2x5.5KG.1PQT PE</t>
  </si>
  <si>
    <t>866bfe6b-32fc-46d3-ae98-76f37812fd35</t>
  </si>
  <si>
    <t>PP-11-042-1</t>
  </si>
  <si>
    <t>50dc4aa5-05a3-4928-b4ec-53c6d083a7c8</t>
  </si>
  <si>
    <t>PP-11-041-1</t>
  </si>
  <si>
    <t>17/07/2029</t>
  </si>
  <si>
    <t>177dcd03-37d2-4743-9415-a19f1a4abdc3</t>
  </si>
  <si>
    <t>PP-07-003-1</t>
  </si>
  <si>
    <t>3b9b1aef-9930-4565-80e7-423d3b3da145</t>
  </si>
  <si>
    <t>PP-12-025-1</t>
  </si>
  <si>
    <t>14/06/2029</t>
  </si>
  <si>
    <t>c1574997-245e-43bb-96df-738c655e6d29</t>
  </si>
  <si>
    <t>PP-12-027-1</t>
  </si>
  <si>
    <t>3a596ea0-5230-418a-80e7-e229c502074b</t>
  </si>
  <si>
    <t>PP-12-026-1</t>
  </si>
  <si>
    <t>4bb5cefc-0b6b-45fd-9563-4d5c02394d03</t>
  </si>
  <si>
    <t>PP-13-023-1</t>
  </si>
  <si>
    <t>0b356749-e094-4997-885b-d394598a5434</t>
  </si>
  <si>
    <t>PP-12-048-1</t>
  </si>
  <si>
    <t>cd8f7f82-6c08-4112-9464-160df87d7fcb</t>
  </si>
  <si>
    <t>PP-10-017-1</t>
  </si>
  <si>
    <t>18/07/2027</t>
  </si>
  <si>
    <t>925bfe6c-ccf4-4183-888a-3649a27ed66b</t>
  </si>
  <si>
    <t>PP-10-016-1</t>
  </si>
  <si>
    <t>69782c4c-e47d-4aab-bc87-422bd3276f6f</t>
  </si>
  <si>
    <t>PP-10-012-1</t>
  </si>
  <si>
    <t>e6b2421a-7c71-4573-aae2-bdb90218042e</t>
  </si>
  <si>
    <t>PP-10-013-1</t>
  </si>
  <si>
    <t>18/08/2027</t>
  </si>
  <si>
    <t>e17f9873-0980-44c3-8755-3dc00da369d6</t>
  </si>
  <si>
    <t>PP-10-014-1</t>
  </si>
  <si>
    <t>24/07/2027</t>
  </si>
  <si>
    <t>31689312-4683-4360-aa45-e95cd17e5bd3</t>
  </si>
  <si>
    <t>PP-10-010-1</t>
  </si>
  <si>
    <t>22/07/2027</t>
  </si>
  <si>
    <t>9605711d-a574-42b4-aefb-4a5e2c81bc8a</t>
  </si>
  <si>
    <t>PP-10-011-1</t>
  </si>
  <si>
    <t>15/07/2027</t>
  </si>
  <si>
    <t>954f42fb-ef92-473d-a351-c762d7b6687f</t>
  </si>
  <si>
    <t>PP-15-016-1</t>
  </si>
  <si>
    <t>545745bb-42fc-4976-a0f0-97cc81446c6f</t>
  </si>
  <si>
    <t>PP-15-017-1</t>
  </si>
  <si>
    <t>21/07/2027</t>
  </si>
  <si>
    <t>1374aa35-f854-47df-a60f-30b801b80354</t>
  </si>
  <si>
    <t>PP-10-018-1</t>
  </si>
  <si>
    <t>130be451-2146-48a3-bcc7-3f2114f68365</t>
  </si>
  <si>
    <t>PP-10-008-1</t>
  </si>
  <si>
    <t>7a06eb36-e7b1-4f49-b961-c152cc59214d</t>
  </si>
  <si>
    <t>PP-10-009-1</t>
  </si>
  <si>
    <t>312038cc-8378-4ffc-b712-4d467887b365</t>
  </si>
  <si>
    <t>PP-10-015-1</t>
  </si>
  <si>
    <t>23/07/2027</t>
  </si>
  <si>
    <t>d60b31ca-d040-4db3-b033-37fab452debd</t>
  </si>
  <si>
    <t>PP-15-021-1</t>
  </si>
  <si>
    <t>2e936d0a-a014-4d49-bc39-8203b0f7f4e1</t>
  </si>
  <si>
    <t>PP-15-022-1</t>
  </si>
  <si>
    <t>14/08/2027</t>
  </si>
  <si>
    <t>910017e3-15d2-48c9-b625-76fb5ebcfca8</t>
  </si>
  <si>
    <t>PP-15-023-1</t>
  </si>
  <si>
    <t>16/08/2026</t>
  </si>
  <si>
    <t>228de101-7fe7-4011-9c5b-2f11d7e8d125</t>
  </si>
  <si>
    <t>PP-15-018-1</t>
  </si>
  <si>
    <t>56a6204d-d840-46c6-9ee5-3984fb38e5a4</t>
  </si>
  <si>
    <t>PP-15-019-1</t>
  </si>
  <si>
    <t>18/04/2027</t>
  </si>
  <si>
    <t>13d1a62f-b0b4-4c3a-882d-c02eb7858d17</t>
  </si>
  <si>
    <t>PP-15-014-1</t>
  </si>
  <si>
    <t>c8a39c46-cf10-40c1-bf30-43ec694891c0</t>
  </si>
  <si>
    <t>PP-08-050-1</t>
  </si>
  <si>
    <t>20/12/2026</t>
  </si>
  <si>
    <t>802c59f1-d50b-4de3-bfaa-752879269f47</t>
  </si>
  <si>
    <t>PP-07-030-1</t>
  </si>
  <si>
    <t>20925205M</t>
  </si>
  <si>
    <t>27/09/2026</t>
  </si>
  <si>
    <t>2F</t>
  </si>
  <si>
    <t>8d7f4c70-ad99-4436-8b03-270171d3b4e3</t>
  </si>
  <si>
    <t>PP-07-034-1</t>
  </si>
  <si>
    <t>ba955bfe-a61a-4544-8512-0e20fac51c87</t>
  </si>
  <si>
    <t>PP-10-036-1</t>
  </si>
  <si>
    <t>20744036S</t>
  </si>
  <si>
    <t>16/10/2027</t>
  </si>
  <si>
    <t>618affa7-1588-4039-bf6d-3f66e2c2172e</t>
  </si>
  <si>
    <t>PP-10-037-1</t>
  </si>
  <si>
    <t>2adad085-ba23-4a90-8855-2187647fee0f</t>
  </si>
  <si>
    <t>PP-09-011-1</t>
  </si>
  <si>
    <t>20723926M</t>
  </si>
  <si>
    <t>25/10/2027</t>
  </si>
  <si>
    <t>3c2adc5d-a1a5-4431-9d00-7d1709a3727d</t>
  </si>
  <si>
    <t>PP-08-049-1</t>
  </si>
  <si>
    <t>20844446S</t>
  </si>
  <si>
    <t>14/11/2027</t>
  </si>
  <si>
    <t>be2586b6-ed92-4fcb-b1cc-d84aada2f864</t>
  </si>
  <si>
    <t>PP-09-020-1</t>
  </si>
  <si>
    <t>20744076S</t>
  </si>
  <si>
    <t>13/10/2027</t>
  </si>
  <si>
    <t>81dc94d8-9e5f-4df8-881d-bbd50d93db60</t>
  </si>
  <si>
    <t>PP-07-031-1</t>
  </si>
  <si>
    <t>20744306S</t>
  </si>
  <si>
    <t>21/10/2027</t>
  </si>
  <si>
    <t>dfc2649d-c8af-4c89-a79b-22487dcd23ca</t>
  </si>
  <si>
    <t>PP-09-010-1</t>
  </si>
  <si>
    <t>20723066M</t>
  </si>
  <si>
    <t>14/10/2027</t>
  </si>
  <si>
    <t>55b8e7ab-486a-4275-a8df-565f700857f8</t>
  </si>
  <si>
    <t>PP-07-032-1</t>
  </si>
  <si>
    <t>20744276S</t>
  </si>
  <si>
    <t>a6095b37-4ae6-44e9-91f7-2f9c716f7a65</t>
  </si>
  <si>
    <t>PP-07-033-1</t>
  </si>
  <si>
    <t>20723916M</t>
  </si>
  <si>
    <t>6c1cf4ca-a3a1-45c3-9549-e40646413dee</t>
  </si>
  <si>
    <t>PP-07-028-1</t>
  </si>
  <si>
    <t>20825406M</t>
  </si>
  <si>
    <t>2782ac7e-54d1-4edc-91e1-f964c0e11f57</t>
  </si>
  <si>
    <t>PP-09-022-1</t>
  </si>
  <si>
    <t>20744166S</t>
  </si>
  <si>
    <t>15/10/2027</t>
  </si>
  <si>
    <t>7e3aed39-9b4b-400a-accf-3890152d787a</t>
  </si>
  <si>
    <t>PP-09-021-1</t>
  </si>
  <si>
    <t>20723936M</t>
  </si>
  <si>
    <t>27/10/2027</t>
  </si>
  <si>
    <t>e819fe90-f241-49bf-bc7e-2702e5b1e447</t>
  </si>
  <si>
    <t>PP-10-044-1</t>
  </si>
  <si>
    <t>20824956M</t>
  </si>
  <si>
    <t>d0ba8645-9546-4950-8038-54fc4f940d06</t>
  </si>
  <si>
    <t>PP-10-045-1</t>
  </si>
  <si>
    <t>d835fb48-d3f6-416a-8e1b-9135ef0477f0</t>
  </si>
  <si>
    <t>PP-10-035-1</t>
  </si>
  <si>
    <t>20744126S</t>
  </si>
  <si>
    <t>e1185565-1e9a-414e-a1dc-f7c1a01f75eb</t>
  </si>
  <si>
    <t>PP-09-027-1</t>
  </si>
  <si>
    <t>20621206M</t>
  </si>
  <si>
    <t>7631f527-90e6-4b43-81ac-e0f8490707e5</t>
  </si>
  <si>
    <t>PP-08-045-1</t>
  </si>
  <si>
    <t>20844376S</t>
  </si>
  <si>
    <t>13/11/2027</t>
  </si>
  <si>
    <t>71e4b760-db55-46ef-8a80-83c842b84bfa</t>
  </si>
  <si>
    <t>PP-16-047-1</t>
  </si>
  <si>
    <t>20620966M</t>
  </si>
  <si>
    <t>bea26552-13b4-41bc-a765-ea2e965c69b9</t>
  </si>
  <si>
    <t>PP-16-045-1</t>
  </si>
  <si>
    <t>20721896M</t>
  </si>
  <si>
    <t>dfc83c7c-0d94-44fb-af72-dcde568fdc6c</t>
  </si>
  <si>
    <t>PASILLO</t>
  </si>
  <si>
    <t>EAN</t>
  </si>
  <si>
    <t>CANT.</t>
  </si>
  <si>
    <t>UMA CANT.</t>
  </si>
  <si>
    <t>CAMA</t>
  </si>
  <si>
    <t>eb6e5dc7-cdbb-41ce-a519-9db63379b734</t>
  </si>
  <si>
    <t>bf79d15c-aead-4215-ab87-f93820c18ac9</t>
  </si>
  <si>
    <t>56647ca4-6783-4baa-891e-d0534a8178df</t>
  </si>
  <si>
    <t>2f444ee8-6d2d-4f83-a7ae-0eb2397a2f8e</t>
  </si>
  <si>
    <t>b07e50f8-9315-4b9e-b0c8-cc043904071c</t>
  </si>
  <si>
    <t>86660267-3bff-4639-990e-ebfe8586daf3</t>
  </si>
  <si>
    <t>6c13cb54-22ce-4c19-b500-f8fc16c234e7</t>
  </si>
  <si>
    <t>8d3996ca-5273-4b86-957d-4630e9ca50f2</t>
  </si>
  <si>
    <t>99f2985a-bd91-41b2-9f53-d6e81ef26d63</t>
  </si>
  <si>
    <t>a24b12da-2175-4335-a43b-bc36a0f420a0</t>
  </si>
  <si>
    <t>AP-01-015-1</t>
  </si>
  <si>
    <t>0d4755c9-4429-449f-a0e1-b88b765d999f</t>
  </si>
  <si>
    <t>8f336a74-22ba-46ed-8de8-f35e61e7d517</t>
  </si>
  <si>
    <t>ad7f75c7-2177-4418-812f-5c83e6262c67</t>
  </si>
  <si>
    <t>3e32b7f7-d6f2-46af-81fb-17adff074f9e</t>
  </si>
  <si>
    <t>baf31783-336d-4d55-9895-1e587ebb2a58</t>
  </si>
  <si>
    <t>08fc4ff6-9fd4-4c66-9d47-31e354a43827</t>
  </si>
  <si>
    <t>d96628c6-9e22-4fd6-aab4-673933c1762a</t>
  </si>
  <si>
    <t>17589f50-7ce0-4c31-ab3c-f6a111551420</t>
  </si>
  <si>
    <t>46244bbd-fc52-4da8-befb-ffa79fd33248</t>
  </si>
  <si>
    <t>72cf1749-9017-4515-bc47-257b32c318c2</t>
  </si>
  <si>
    <t>a3b10a18-f889-4218-8c6c-bc594eada428</t>
  </si>
  <si>
    <t>06f1d90f-496e-4dd7-9e1c-e766da370849</t>
  </si>
  <si>
    <t>3144f0e5-2b80-4f36-957b-4679313a7d14</t>
  </si>
  <si>
    <t>e8539cf7-40a5-489a-8945-2e4e3fc8ae0d</t>
  </si>
  <si>
    <t>874f8c94-d3c6-475a-b4ea-83810eb03288</t>
  </si>
  <si>
    <t>e253816f-42ba-4a2d-ad4c-8f4762a851c3</t>
  </si>
  <si>
    <t>AP-01-031-1</t>
  </si>
  <si>
    <t>61ba29b0-63dd-45bd-b9ed-1169d306f7a3</t>
  </si>
  <si>
    <t>AP-01-032-1</t>
  </si>
  <si>
    <t>f2ff6b03-8143-4883-a63f-17b4dd9b77ca</t>
  </si>
  <si>
    <t>AP-01-033-1</t>
  </si>
  <si>
    <t>8db2b0ad-9fe4-4a3d-95aa-f4a4c11b965b</t>
  </si>
  <si>
    <t>AP-01-034-1</t>
  </si>
  <si>
    <t>de4d4a00-31fe-4853-9b50-e4cb31ab0266</t>
  </si>
  <si>
    <t>AP-01-035-1</t>
  </si>
  <si>
    <t>61725ffe-8e73-4195-8a43-07337aef98e1</t>
  </si>
  <si>
    <t>AP-01-036-1</t>
  </si>
  <si>
    <t>d08ad0ed-4068-40f9-aff5-3264aa902bde</t>
  </si>
  <si>
    <t>AP-01-037-1</t>
  </si>
  <si>
    <t>7659feca-51a3-4125-98ad-b6dfee07425b</t>
  </si>
  <si>
    <t>AP-01-038-1</t>
  </si>
  <si>
    <t>7c2d9e4b-c737-46ca-ac71-be07fc5c5bdd</t>
  </si>
  <si>
    <t>AP-01-039-1</t>
  </si>
  <si>
    <t>5b62d5d5-b497-4d4b-9757-055e0639e8ed</t>
  </si>
  <si>
    <t>AP-01-040-1</t>
  </si>
  <si>
    <t>936bed6f-caaa-4987-98f4-8596d06a8687</t>
  </si>
  <si>
    <t>AP-01-041-1</t>
  </si>
  <si>
    <t>26ad8ccc-3d70-41b2-b128-b81c8f5511a0</t>
  </si>
  <si>
    <t>AP-01-042-1</t>
  </si>
  <si>
    <t>2b1f6d97-0da6-464b-9ffa-111fff1509d2</t>
  </si>
  <si>
    <t>AP-01-044-1</t>
  </si>
  <si>
    <t>ccbf63b6-d31a-47ac-a5f1-54509b637eb8</t>
  </si>
  <si>
    <t>94dce15b-708d-487d-9c75-b415a4b32b8e</t>
  </si>
  <si>
    <t>PP-05-005-1</t>
  </si>
  <si>
    <t>075c7c27-6b71-4d12-96c7-5c1953a30d1d</t>
  </si>
  <si>
    <t>PP-05-006-1</t>
  </si>
  <si>
    <t>8e3aee8c-df64-4b2e-8631-dcd61eafadf8</t>
  </si>
  <si>
    <t>PP-05-007-1</t>
  </si>
  <si>
    <t>37b594ad-68e0-4629-a9e7-fb054e9a976e</t>
  </si>
  <si>
    <t>PP-05-008-1</t>
  </si>
  <si>
    <t>cc5513ac-dc15-49e6-9ecb-3ef18dda4cf8</t>
  </si>
  <si>
    <t>PP-05-009-1</t>
  </si>
  <si>
    <t>febfb483-d08f-4f89-9b57-373c9fce3cff</t>
  </si>
  <si>
    <t>PP-05-010-1</t>
  </si>
  <si>
    <t>f0a9a5b2-2359-44d6-9005-fc94269f5162</t>
  </si>
  <si>
    <t>PP-05-011-1</t>
  </si>
  <si>
    <t>c1689616-c537-423b-8823-5053469652dd</t>
  </si>
  <si>
    <t>PP-05-012-1</t>
  </si>
  <si>
    <t>a00074ba-e1bc-4e1e-b97c-90c91e583244</t>
  </si>
  <si>
    <t>PP-05-013-1</t>
  </si>
  <si>
    <t>d9ab10c9-e9d8-4f95-98cd-c237a09dc5e3</t>
  </si>
  <si>
    <t>PP-05-014-1</t>
  </si>
  <si>
    <t>4a776c12-060f-4dff-a722-1ac1806c5a6f</t>
  </si>
  <si>
    <t>PP-05-015-1</t>
  </si>
  <si>
    <t>094fd382-e06c-48d5-bfa5-b6927875652b</t>
  </si>
  <si>
    <t>PP-05-016-1</t>
  </si>
  <si>
    <t>76778cbb-c61b-42d0-857a-6f7f2c531a94</t>
  </si>
  <si>
    <t>PP-05-017-1</t>
  </si>
  <si>
    <t>005a542a-2559-45ba-a7d3-e81b6c2b5c5f</t>
  </si>
  <si>
    <t>PP-05-018-1</t>
  </si>
  <si>
    <t>a7c161cb-35cf-4cc5-afcc-c6f749532ebb</t>
  </si>
  <si>
    <t>PP-05-019-1</t>
  </si>
  <si>
    <t>c0166638-c6d7-4ed2-914b-2aeecd8e0104</t>
  </si>
  <si>
    <t>PP-05-020-1</t>
  </si>
  <si>
    <t>5fde07c4-f622-4435-b9db-941a6f9553ca</t>
  </si>
  <si>
    <t>PP-05-021-1</t>
  </si>
  <si>
    <t>9d1cb263-8d4f-445c-84d3-3b6a95969959</t>
  </si>
  <si>
    <t>PP-05-022-1</t>
  </si>
  <si>
    <t>19b2dcd3-8b38-48a3-a7a2-ae9b7ecc25db</t>
  </si>
  <si>
    <t>PP-05-023-1</t>
  </si>
  <si>
    <t>6f4d0716-1f4d-4fa2-8bb7-11ba7069cabd</t>
  </si>
  <si>
    <t>PP-05-024-1</t>
  </si>
  <si>
    <t>394be4b1-5229-4049-b530-27aafe3e260f</t>
  </si>
  <si>
    <t>PP-05-025-1</t>
  </si>
  <si>
    <t>6b97f742-dcd7-4ba2-b5c0-f41403aebae6</t>
  </si>
  <si>
    <t>PP-05-026-1</t>
  </si>
  <si>
    <t>c73ee09d-4e9a-4f2b-b26b-17a3ac1a40ab</t>
  </si>
  <si>
    <t>PP-05-027-1</t>
  </si>
  <si>
    <t>19d80a68-b220-4f68-a021-a93ee0b1678a</t>
  </si>
  <si>
    <t>PP-05-028-1</t>
  </si>
  <si>
    <t>988da4ac-454c-4e96-9832-be19f85a798e</t>
  </si>
  <si>
    <t>PP-05-029-1</t>
  </si>
  <si>
    <t>67c22552-98b0-4abb-ad48-5960c5b6b633</t>
  </si>
  <si>
    <t>PP-05-030-1</t>
  </si>
  <si>
    <t>18252c27-e951-42cd-920f-02c1839ffcd4</t>
  </si>
  <si>
    <t>PP-05-031-1</t>
  </si>
  <si>
    <t>a4b07a49-7f68-4161-885a-6da86e4a6e27</t>
  </si>
  <si>
    <t>PP-05-032-1</t>
  </si>
  <si>
    <t>03f5b0ea-03eb-47a7-a8dc-4cbecee7fedf</t>
  </si>
  <si>
    <t>PP-05-033-1</t>
  </si>
  <si>
    <t>887cee5e-5f64-49b9-8f86-d9b97e61f39b</t>
  </si>
  <si>
    <t>PP-05-034-1</t>
  </si>
  <si>
    <t>d5603971-a7f7-4fb1-aec1-2cd99c565534</t>
  </si>
  <si>
    <t>PP-05-035-1</t>
  </si>
  <si>
    <t>0df2eb41-897e-4b83-888c-c52e16fb149f</t>
  </si>
  <si>
    <t>PP-05-036-1</t>
  </si>
  <si>
    <t>6a246772-f846-40cc-be78-a55d480dd808</t>
  </si>
  <si>
    <t>PP-05-037-1</t>
  </si>
  <si>
    <t>cef5d836-aefb-446c-90be-086991bd81c1</t>
  </si>
  <si>
    <t>PP-05-038-1</t>
  </si>
  <si>
    <t>c3118625-2f2c-463b-aab1-7a4cd134dac8</t>
  </si>
  <si>
    <t>PP-05-039-1</t>
  </si>
  <si>
    <t>d40bc03a-bec2-4d2a-bf2f-99f3332151a1</t>
  </si>
  <si>
    <t>PP-05-040-1</t>
  </si>
  <si>
    <t>aeb3f2af-a945-44a8-924c-1812faa88880</t>
  </si>
  <si>
    <t>PP-05-041-1</t>
  </si>
  <si>
    <t>e1ab031e-f044-4f5b-9f6a-d7c8cd3123f7</t>
  </si>
  <si>
    <t>PP-05-042-1</t>
  </si>
  <si>
    <t>04f7bbf0-1a1f-48f7-8771-4a889d34ba87</t>
  </si>
  <si>
    <t>PP-05-043-1</t>
  </si>
  <si>
    <t>b36d3483-457c-4f5e-8287-47d89adefbaa</t>
  </si>
  <si>
    <t>PP-05-044-1</t>
  </si>
  <si>
    <t>ffd8a7df-e5f5-45a6-96c7-a9182936e28a</t>
  </si>
  <si>
    <t>PP-05-045-1</t>
  </si>
  <si>
    <t>50270c73-f7ec-41e5-99a1-b4eba3e2ab26</t>
  </si>
  <si>
    <t>PP-05-046-1</t>
  </si>
  <si>
    <t>d55d9184-7292-4bfa-9126-c73c1701c3b0</t>
  </si>
  <si>
    <t>PP-05-047-1</t>
  </si>
  <si>
    <t>5eed298c-572a-4b75-b24a-acd6bb59962e</t>
  </si>
  <si>
    <t>PP-05-048-1</t>
  </si>
  <si>
    <t>3fb06a39-c6cc-4e7e-a81b-c6734064a1e7</t>
  </si>
  <si>
    <t>PP-05-049-1</t>
  </si>
  <si>
    <t>c163039e-fbef-47a7-9794-835c801d4bcf</t>
  </si>
  <si>
    <t>PP-05-050-1</t>
  </si>
  <si>
    <t>faab43e9-2030-40f7-93e2-9fb597da4696</t>
  </si>
  <si>
    <t>PP-05-051-1</t>
  </si>
  <si>
    <t>22a59af3-0dd2-463d-b460-ec7733a6d301</t>
  </si>
  <si>
    <t>PP-05-052-1</t>
  </si>
  <si>
    <t>96c24575-824c-4418-a6f4-c0c53429af84</t>
  </si>
  <si>
    <t>PP-06-001-1</t>
  </si>
  <si>
    <t>7b7048bd-2d60-4609-946c-8ce9197a2667</t>
  </si>
  <si>
    <t>PP-06-002-1</t>
  </si>
  <si>
    <t>c10e836f-2bdd-468c-9d7a-f4a6bd4a1e21</t>
  </si>
  <si>
    <t>PP-06-003-1</t>
  </si>
  <si>
    <t>8db4c62a-279f-43d8-9235-ec6883a6caf3</t>
  </si>
  <si>
    <t>PP-06-004-1</t>
  </si>
  <si>
    <t>3fc75b08-5261-49e4-926d-97231d4edfbb</t>
  </si>
  <si>
    <t>PP-06-005-1</t>
  </si>
  <si>
    <t>1d404deb-ee27-430f-8c9c-3787459f0da4</t>
  </si>
  <si>
    <t>PP-06-006-1</t>
  </si>
  <si>
    <t>e5410bbc-4e98-4861-b71e-e96a898b1f7d</t>
  </si>
  <si>
    <t>PP-06-007-1</t>
  </si>
  <si>
    <t>4ba86c1c-5bae-47c1-8082-bade495590ec</t>
  </si>
  <si>
    <t>PP-06-008-1</t>
  </si>
  <si>
    <t>67151694-894b-42d0-b949-9684019a50d8</t>
  </si>
  <si>
    <t>PP-06-009-1</t>
  </si>
  <si>
    <t>ed94d856-eced-4c57-a8ec-4946fbf9aad0</t>
  </si>
  <si>
    <t>PP-06-010-1</t>
  </si>
  <si>
    <t>68492223-b500-4ab6-bde1-6a5db0c16fa8</t>
  </si>
  <si>
    <t>PP-06-011-1</t>
  </si>
  <si>
    <t>2687309b-fc83-4d86-96ee-23051e255023</t>
  </si>
  <si>
    <t>PP-06-012-1</t>
  </si>
  <si>
    <t>6125b120-360f-4829-8092-057c1f4e1869</t>
  </si>
  <si>
    <t>PP-06-013-1</t>
  </si>
  <si>
    <t>40af3975-e39b-49bb-8f75-aa48fa749d22</t>
  </si>
  <si>
    <t>PP-06-014-1</t>
  </si>
  <si>
    <t>38fc40aa-a90d-4c01-b362-46d3da3a7302</t>
  </si>
  <si>
    <t>PP-06-015-1</t>
  </si>
  <si>
    <t>03fac81c-3c18-47f8-b66c-59bec9dec1df</t>
  </si>
  <si>
    <t>PP-06-016-1</t>
  </si>
  <si>
    <t>82de5f9d-6b2e-4135-8d14-398dcc85e7fd</t>
  </si>
  <si>
    <t>PP-06-017-1</t>
  </si>
  <si>
    <t>d209bde0-af10-4381-ab3c-6fe5088ff721</t>
  </si>
  <si>
    <t>PP-06-018-1</t>
  </si>
  <si>
    <t>8fcbc0a4-31fb-4d84-abe9-3057f071b19b</t>
  </si>
  <si>
    <t>PP-06-019-1</t>
  </si>
  <si>
    <t>fbf9866c-4bd1-4f7e-aa13-b41182c370a3</t>
  </si>
  <si>
    <t>PP-06-020-1</t>
  </si>
  <si>
    <t>2333efc7-c3a9-4d5c-a558-8e5c7588ae25</t>
  </si>
  <si>
    <t>PP-06-021-1</t>
  </si>
  <si>
    <t>1d76c5c6-ccf7-4a3e-b818-fa6c93a0e49a</t>
  </si>
  <si>
    <t>PP-06-022-1</t>
  </si>
  <si>
    <t>7b95fa54-6bc8-4b5a-84c6-5beb20820c0b</t>
  </si>
  <si>
    <t>PP-06-023-1</t>
  </si>
  <si>
    <t>7a147085-e953-4025-8042-a583316b3020</t>
  </si>
  <si>
    <t>PP-06-024-1</t>
  </si>
  <si>
    <t>28a4548e-afed-4b3a-aa76-7509f19c6088</t>
  </si>
  <si>
    <t>PP-06-025-1</t>
  </si>
  <si>
    <t>a2607341-548c-46bd-9406-00b5e6f3bdfb</t>
  </si>
  <si>
    <t>PP-06-026-1</t>
  </si>
  <si>
    <t>aeeafe4f-e822-42cd-945d-b4657842cd5b</t>
  </si>
  <si>
    <t>PP-06-027-1</t>
  </si>
  <si>
    <t>9cd34a4b-fbee-411f-a793-38acc598bf17</t>
  </si>
  <si>
    <t>PP-06-028-1</t>
  </si>
  <si>
    <t>81e76ec5-7483-441e-9314-6839a1bfef15</t>
  </si>
  <si>
    <t>PP-06-029-1</t>
  </si>
  <si>
    <t>8fe96e36-c2d0-4d3a-a707-932ca195a996</t>
  </si>
  <si>
    <t>PP-06-031-1</t>
  </si>
  <si>
    <t>8384e276-45e4-44a0-aeff-4cc78ac77fb5</t>
  </si>
  <si>
    <t>PP-06-032-1</t>
  </si>
  <si>
    <t>d04ecc6d-c224-499c-a5e3-3a938d56910f</t>
  </si>
  <si>
    <t>PP-06-033-1</t>
  </si>
  <si>
    <t>97838787-7a35-4166-b863-5d09b156819f</t>
  </si>
  <si>
    <t>PP-06-034-1</t>
  </si>
  <si>
    <t>6e450d33-6941-432c-83b1-952ef2e454a4</t>
  </si>
  <si>
    <t>PP-06-035-1</t>
  </si>
  <si>
    <t>6a69f3c8-69ad-498b-be7c-4903ffce122e</t>
  </si>
  <si>
    <t>PP-06-036-1</t>
  </si>
  <si>
    <t>6c34cef2-0854-4c9b-9c9f-7036557923fb</t>
  </si>
  <si>
    <t>PP-06-037-1</t>
  </si>
  <si>
    <t>bddadab3-79aa-4852-88b6-43248d3a8a92</t>
  </si>
  <si>
    <t>PP-06-038-1</t>
  </si>
  <si>
    <t>feadcdd4-595c-4a10-9444-d794be604aae</t>
  </si>
  <si>
    <t>PP-06-039-1</t>
  </si>
  <si>
    <t>1edf65c7-7036-43c4-a9bd-f61cc4b57b6a</t>
  </si>
  <si>
    <t>PP-06-040-1</t>
  </si>
  <si>
    <t>320b7b02-e8a5-4bb8-a79c-5d532fa52ef8</t>
  </si>
  <si>
    <t>PP-06-041-1</t>
  </si>
  <si>
    <t>4391a333-b967-4436-961c-065163aadaa5</t>
  </si>
  <si>
    <t>PP-06-042-1</t>
  </si>
  <si>
    <t>729d11b6-4816-4c80-b5b3-111fe483044a</t>
  </si>
  <si>
    <t>PP-06-043-1</t>
  </si>
  <si>
    <t>9a508677-8699-4a82-9f5d-a8ec86c0513a</t>
  </si>
  <si>
    <t>PP-06-044-1</t>
  </si>
  <si>
    <t>bf5dd940-ceba-449e-a703-29ec40633d5d</t>
  </si>
  <si>
    <t>PP-06-045-1</t>
  </si>
  <si>
    <t>7b9edb3b-3893-42d1-8087-87ba27690d37</t>
  </si>
  <si>
    <t>PP-06-046-1</t>
  </si>
  <si>
    <t>ddfacbbd-c57f-438c-9935-a12522b899f9</t>
  </si>
  <si>
    <t>PP-06-047-1</t>
  </si>
  <si>
    <t>e6e4dd42-d257-4be7-a313-7528ad9aaa0e</t>
  </si>
  <si>
    <t>PP-06-048-1</t>
  </si>
  <si>
    <t>793743ab-4a8f-4e28-8ea7-bd61dfc6c47a</t>
  </si>
  <si>
    <t>PP-06-049-1</t>
  </si>
  <si>
    <t>71b6d081-91db-41a6-9eaa-a1d13472332a</t>
  </si>
  <si>
    <t>PP-06-050-1</t>
  </si>
  <si>
    <t>ce95d0d9-c0ac-4558-9299-c1b77567698e</t>
  </si>
  <si>
    <t>PP-06-051-1</t>
  </si>
  <si>
    <t>f865b1cb-eb3b-4cb8-98e0-1a2c099ba4ac</t>
  </si>
  <si>
    <t>PP-06-052-1</t>
  </si>
  <si>
    <t>18328016-c167-434e-a234-53302c5a8a3b</t>
  </si>
  <si>
    <t>87f4ca16-d5e3-4ff1-b639-1f1cff1a76dd</t>
  </si>
  <si>
    <t>5a6d286a-b85d-421d-a9f4-ce0cc3e82968</t>
  </si>
  <si>
    <t>d9fca323-a2f6-4125-a3bf-8ebba79d7d7b</t>
  </si>
  <si>
    <t>f45838d6-ad2c-4017-aa69-17f81b9a57b5</t>
  </si>
  <si>
    <t>23faf5a1-58d2-4358-82ce-e4ceb8f51e5f</t>
  </si>
  <si>
    <t>66788f40-0b72-44cf-a2f1-05e1895759f2</t>
  </si>
  <si>
    <t>fa34d9d9-25cd-43cc-a271-98b955e7ecfe</t>
  </si>
  <si>
    <t>126feecc-dda0-43f4-8724-5ebeb503c6df</t>
  </si>
  <si>
    <t>d908823a-6512-4498-90ab-8dd6413c8d90</t>
  </si>
  <si>
    <t>3e2a6365-813e-4585-aef5-38726799a0ae</t>
  </si>
  <si>
    <t>f869bb59-89c6-4860-8aea-d228a1e38345</t>
  </si>
  <si>
    <t>537300aa-2837-4da8-9e95-6793905ccbce</t>
  </si>
  <si>
    <t>edb90903-a615-4abc-b14f-60dd5fb18b2f</t>
  </si>
  <si>
    <t>4db5754c-bb5e-42df-b1ac-47f98d86c98e</t>
  </si>
  <si>
    <t>c69f31ba-b02e-4055-af25-e4175344327f</t>
  </si>
  <si>
    <t>PP-07-016-1</t>
  </si>
  <si>
    <t>25427f37-4dca-4a9e-9449-8de8e7acdaa5</t>
  </si>
  <si>
    <t>dbbe9d5e-833a-4ee0-a3ef-66067aaf8968</t>
  </si>
  <si>
    <t>035efb6f-1eab-46a3-b006-a612e2bc55a9</t>
  </si>
  <si>
    <t>f5a4e3f9-22b4-4239-903b-4f72793551ed</t>
  </si>
  <si>
    <t>f2a4b6f0-38eb-489c-8242-bad7c90b55c4</t>
  </si>
  <si>
    <t>PP-07-021-1</t>
  </si>
  <si>
    <t>fe1c9e3d-364a-4bf1-aca1-2d2d0993a3d8</t>
  </si>
  <si>
    <t>PP-07-022-1</t>
  </si>
  <si>
    <t>9fd31c14-e48e-4448-99f0-d835635cdba4</t>
  </si>
  <si>
    <t>PP-07-023-1</t>
  </si>
  <si>
    <t>5da9bd89-f7a1-4e6b-a846-5f9739a128aa</t>
  </si>
  <si>
    <t>PP-07-024-1</t>
  </si>
  <si>
    <t>c27ce8b8-856f-4f63-a6d7-b8fc02db66ee</t>
  </si>
  <si>
    <t>PP-07-025-1</t>
  </si>
  <si>
    <t>24463058-b6a5-43b5-b818-f5f649dccebe</t>
  </si>
  <si>
    <t>77645405-92e0-4d36-84a4-df27c574e47c</t>
  </si>
  <si>
    <t>d9333add-a8c5-450b-8096-076258cc64b6</t>
  </si>
  <si>
    <t>d2a034ef-3b00-40a1-9a8e-7603f1afb8f4</t>
  </si>
  <si>
    <t>081aceb4-fab2-4124-8a4b-c4f81a33a80d</t>
  </si>
  <si>
    <t>880499ab-18a1-4102-a456-145e5163ed42</t>
  </si>
  <si>
    <t>062c623f-0074-479e-82f7-daa762446db6</t>
  </si>
  <si>
    <t>c84046a3-057e-42d5-b04e-164e54347901</t>
  </si>
  <si>
    <t>71efbd6c-d8e9-473f-abf9-e914fa067bd7</t>
  </si>
  <si>
    <t>3a71c70d-cdab-4fd4-bc29-a14c75dc3467</t>
  </si>
  <si>
    <t>edd8d6f1-b594-45bf-9014-dca53498c7f3</t>
  </si>
  <si>
    <t>5c145eba-60ca-48ca-b347-2388a0f1e9c9</t>
  </si>
  <si>
    <t>6e5fd525-d572-4412-837f-f67f328b09fc</t>
  </si>
  <si>
    <t>4894ce6c-b522-4117-b439-57967257e784</t>
  </si>
  <si>
    <t>b85fc11d-de81-48c4-9ec7-1b1ce310f8eb</t>
  </si>
  <si>
    <t>5d8da7c6-3a49-4303-8027-7ce0620b45ed</t>
  </si>
  <si>
    <t>dfd5b88e-b695-4264-8858-44d525bc63eb</t>
  </si>
  <si>
    <t>PP-07-043-1</t>
  </si>
  <si>
    <t>ea6a8e5a-3081-418b-8a75-d7a440ed273b</t>
  </si>
  <si>
    <t>PP-07-044-1</t>
  </si>
  <si>
    <t>66834aa0-420e-4185-b8ed-3ae36f20045c</t>
  </si>
  <si>
    <t>492e7b1e-7677-47c9-961e-d2d6ae58058c</t>
  </si>
  <si>
    <t>2128ed2d-4334-4e98-8b5e-f9b64ad33a02</t>
  </si>
  <si>
    <t>3d9d22ac-c066-4d50-a692-57862b2d27fb</t>
  </si>
  <si>
    <t>ca21f608-83df-4fd9-acd2-ef79a786c5c2</t>
  </si>
  <si>
    <t>PP-07-049-1</t>
  </si>
  <si>
    <t>c8be0257-d47c-4666-b5ee-7587269ce338</t>
  </si>
  <si>
    <t>eec73422-7715-4606-9a50-5c8593bcbaa3</t>
  </si>
  <si>
    <t>fcfe0e5f-3e3d-4864-a463-9a357f67f414</t>
  </si>
  <si>
    <t>de02306f-7559-474b-b03a-b9ea37f8fb0f</t>
  </si>
  <si>
    <t>PP-08-001-1</t>
  </si>
  <si>
    <t>723303ec-df83-4494-8c1f-fe55031f6f58</t>
  </si>
  <si>
    <t>PP-08-002-1</t>
  </si>
  <si>
    <t>813e572a-22dd-48ca-8964-69bcc93689bb</t>
  </si>
  <si>
    <t>286ffa86-8e2d-49b0-9f15-a4bebd075ede</t>
  </si>
  <si>
    <t>b44093bf-e258-40b9-ab0d-63d34a1421ef</t>
  </si>
  <si>
    <t>478edd4b-8713-42e8-af4e-e50ff3330810</t>
  </si>
  <si>
    <t>ff6b8b94-2942-4c54-ac8e-614ca42e5ddc</t>
  </si>
  <si>
    <t>625499e4-e758-44df-976e-4fe74c1daade</t>
  </si>
  <si>
    <t>573b9557-42fe-412d-a4cb-374152716752</t>
  </si>
  <si>
    <t>21f7f759-cfe1-4c94-b590-e72803f293f4</t>
  </si>
  <si>
    <t>933902de-95ca-48f5-ae21-231b66b8d6e7</t>
  </si>
  <si>
    <t>eb99b235-ba21-468d-8b27-1a0c0641076e</t>
  </si>
  <si>
    <t>PP-08-012-1</t>
  </si>
  <si>
    <t>ba3b9435-b81f-4ef0-93da-b520ab54dd62</t>
  </si>
  <si>
    <t>87cf7a07-07be-47d6-a9de-e0dd2b162d3e</t>
  </si>
  <si>
    <t>71b0a4e0-d67e-4f3a-809e-ca0a28c753ce</t>
  </si>
  <si>
    <t>f1be5190-3946-4d23-ae20-91a6c6c9f10e</t>
  </si>
  <si>
    <t>c77a531a-2e53-4fd2-90bc-0ec6a6bc5446</t>
  </si>
  <si>
    <t>8458f5bd-fa78-4ebb-b28c-f5f062ea0ab0</t>
  </si>
  <si>
    <t>34c7de28-1f86-42e9-a556-9e2b826aa5f8</t>
  </si>
  <si>
    <t>14b4d820-1447-4415-ad1e-ba95001c945b</t>
  </si>
  <si>
    <t>8487117b-2554-4b92-9f92-244d1828c5e1</t>
  </si>
  <si>
    <t>PP-08-021-1</t>
  </si>
  <si>
    <t>b614d631-ffb1-487c-adc2-657bf71b6b3d</t>
  </si>
  <si>
    <t>4eee6676-ec26-423a-a9bd-ed5cc4a7e6ec</t>
  </si>
  <si>
    <t>0a1bbe01-de58-455d-82bb-d99be361793e</t>
  </si>
  <si>
    <t>41d90c97-885f-43ad-b3d4-e4072a6ff050</t>
  </si>
  <si>
    <t>c4d55d22-d8fb-472c-86c8-4585374f9b12</t>
  </si>
  <si>
    <t>ecd86c23-a33a-4f06-a76e-3efca47b5889</t>
  </si>
  <si>
    <t>8949af60-d7f5-4f12-ba97-0fdff5b919fc</t>
  </si>
  <si>
    <t>9bbac9cb-c549-42ef-8e64-29673db179a0</t>
  </si>
  <si>
    <t>PP-08-029-1</t>
  </si>
  <si>
    <t>e0dc20f3-b3bd-4a22-a17f-8babf0153d96</t>
  </si>
  <si>
    <t>09f8bf44-8653-473a-bc54-789a3d87cf33</t>
  </si>
  <si>
    <t>ceea5fe5-e77d-4c11-a5c0-57ab809bd8b3</t>
  </si>
  <si>
    <t>83289a7f-face-4a65-9246-9d401ece7b49</t>
  </si>
  <si>
    <t>3eff5817-18ff-4608-bfa0-aea1be1dec8c</t>
  </si>
  <si>
    <t>b0c3e49c-8cf7-4f15-8652-a718225f0e32</t>
  </si>
  <si>
    <t>PP-08-035-1</t>
  </si>
  <si>
    <t>63d11998-50a9-4350-a4c6-2c3bb8d7fa46</t>
  </si>
  <si>
    <t>10488f3b-57ec-4d0c-ab53-848786ce7954</t>
  </si>
  <si>
    <t>c3f638f1-ce63-426a-b37c-de1007506df8</t>
  </si>
  <si>
    <t>c0105abe-7a72-43cf-b856-9b8737211999</t>
  </si>
  <si>
    <t>0c8e9307-4e91-4f0f-8378-0ce9a6dd067b</t>
  </si>
  <si>
    <t>c0dacc8a-df11-4314-a3fd-7d86e79f0c4f</t>
  </si>
  <si>
    <t>PP-08-041-1</t>
  </si>
  <si>
    <t>6a8c9e2a-a891-4e69-935d-57958397165b</t>
  </si>
  <si>
    <t>690feb75-67ed-416e-9cc2-bb6f8ee2349a</t>
  </si>
  <si>
    <t>d37c7dcc-5235-46a7-ad0e-d5013407e70f</t>
  </si>
  <si>
    <t>fc051321-9c76-44a4-b64e-5da387630e95</t>
  </si>
  <si>
    <t>df10c02a-ec14-48e4-af31-f885516dd5fe</t>
  </si>
  <si>
    <t>4563af60-e703-4f3c-9683-c1565d6767a3</t>
  </si>
  <si>
    <t>d61542b5-e750-48ed-8183-062ccca19997</t>
  </si>
  <si>
    <t>3f6fbb00-74a5-4839-874b-7d09b5dad688</t>
  </si>
  <si>
    <t>17d6dacd-b0be-4d59-b93f-4aac60ef4044</t>
  </si>
  <si>
    <t>c211d967-7941-4beb-a4c0-a59437994030</t>
  </si>
  <si>
    <t>37b5f8ca-59f1-486d-a383-198b2407bdb1</t>
  </si>
  <si>
    <t>9b9d851e-1ce1-4f81-bec1-152e1b419e46</t>
  </si>
  <si>
    <t>4bfb7762-4e52-47a8-a63d-5ec3ac7e2b00</t>
  </si>
  <si>
    <t>10f2226b-85a2-45f6-b729-67ed9eb291a3</t>
  </si>
  <si>
    <t>94fb2573-d596-4f75-80ee-42c1ac146936</t>
  </si>
  <si>
    <t>154aa9df-96ee-4e9a-803c-3bee1451f558</t>
  </si>
  <si>
    <t>03e34586-3d65-4f39-bf2a-61414b6fb07a</t>
  </si>
  <si>
    <t>28f44ebd-3c23-4d6d-8856-c1b09a2cc895</t>
  </si>
  <si>
    <t>4a14aada-de4e-4050-b460-d849b85c6aae</t>
  </si>
  <si>
    <t>fc57d2c1-954b-41ff-b72c-e80a85dbde83</t>
  </si>
  <si>
    <t>12df5478-90ca-4af0-a7f4-38616999c2d7</t>
  </si>
  <si>
    <t>e0a090f9-848b-49c9-b942-1dc7c07c02c2</t>
  </si>
  <si>
    <t>5c26e6b4-40f9-4d31-a168-2480233afa07</t>
  </si>
  <si>
    <t>1619b8d5-e165-41ff-8e0a-c3e6b8c32d30</t>
  </si>
  <si>
    <t>f4c048aa-5354-4667-810d-baf0ad8cfa58</t>
  </si>
  <si>
    <t>e36d0007-c268-4df1-bd6c-f10f3814ffda</t>
  </si>
  <si>
    <t>0900eb8c-43e3-4892-997f-698e7e6c5ac1</t>
  </si>
  <si>
    <t>1c347b1c-b873-4470-8d34-11590567c34a</t>
  </si>
  <si>
    <t>de517688-f55c-4ad4-a488-4ae53850033a</t>
  </si>
  <si>
    <t>7caa2b53-f6bf-4199-9fe4-f09e9fde5b99</t>
  </si>
  <si>
    <t>dc525912-28c2-4050-beb1-1c8f32f64def</t>
  </si>
  <si>
    <t>251b25f4-949c-4253-a2ca-cb2974f55092</t>
  </si>
  <si>
    <t>77f26c44-613a-4d92-a95c-fe56fd3154ab</t>
  </si>
  <si>
    <t>4854c16d-c896-413a-84de-0e470096dc0e</t>
  </si>
  <si>
    <t>PP-09-023-1</t>
  </si>
  <si>
    <t>b454a304-4286-46f4-aa54-4e6714b15dcc</t>
  </si>
  <si>
    <t>PP-09-024-1</t>
  </si>
  <si>
    <t>a5dcc51a-4720-4a50-ad5c-483e38d21ad3</t>
  </si>
  <si>
    <t>b7a59d4a-bde9-49e9-afe7-b6474557df71</t>
  </si>
  <si>
    <t>66a501f6-a50a-4fb0-8eb1-d71baeaf8900</t>
  </si>
  <si>
    <t>7d166ace-af33-49fb-bce2-6c5974415dd4</t>
  </si>
  <si>
    <t>38d7e07f-4394-467b-b628-b25dd5a9a89d</t>
  </si>
  <si>
    <t>190ed1e1-748f-4406-b2df-6283dd3b4ee3</t>
  </si>
  <si>
    <t>64a04427-1f12-42eb-925a-bd2ebe809e50</t>
  </si>
  <si>
    <t>9e1136d7-f9cd-4321-8cd9-49fa5c1f5b02</t>
  </si>
  <si>
    <t>18585f63-5592-45df-9495-cfb9cb7325cd</t>
  </si>
  <si>
    <t>daf473cc-5c88-46ca-98b7-5a9ddb789437</t>
  </si>
  <si>
    <t>d9407dc4-cac4-4c63-b572-d856ce47e50d</t>
  </si>
  <si>
    <t>4e32de28-01af-48aa-acb2-548314eb42fa</t>
  </si>
  <si>
    <t>19a4d868-e842-4255-ba1b-99c6910baf62</t>
  </si>
  <si>
    <t>be30518d-7827-473a-8f38-aee74c16323b</t>
  </si>
  <si>
    <t>16d43934-b736-43bf-a5f2-fca7aaf78575</t>
  </si>
  <si>
    <t>39d00c69-293a-4fc5-922c-247c5060acf2</t>
  </si>
  <si>
    <t>8852215b-6354-485c-9f2d-eb58181a3618</t>
  </si>
  <si>
    <t>0c133f87-e081-431a-b017-de863fde00dd</t>
  </si>
  <si>
    <t>985ff950-6c73-4bce-8072-8ab547330571</t>
  </si>
  <si>
    <t>c3015d10-22cf-43aa-a6f5-0f046a2ad1c1</t>
  </si>
  <si>
    <t>edb13300-cbf5-4861-a133-7ee3fb0d086e</t>
  </si>
  <si>
    <t>bcc60ca4-ce2e-49b0-8a0f-7bb3ccd771bb</t>
  </si>
  <si>
    <t>88bdd754-c398-448f-a951-7d65d22b09dc</t>
  </si>
  <si>
    <t>67150908-753d-4dc0-86d2-f08aa707f070</t>
  </si>
  <si>
    <t>7a275040-db9f-4858-b35e-ab7b10635a3b</t>
  </si>
  <si>
    <t>0034aa2e-1454-430d-a1b0-2c4af1ed17c1</t>
  </si>
  <si>
    <t>6fd51bac-7476-4198-949b-4c8b09df83d9</t>
  </si>
  <si>
    <t>2a75eae8-4538-4a5b-999c-35f5010ebadd</t>
  </si>
  <si>
    <t>215170c5-989e-471d-acb9-7fe47cfad23c</t>
  </si>
  <si>
    <t>81f642ce-a4d0-4ca8-9f1b-1e83d297df88</t>
  </si>
  <si>
    <t>a30694ef-dc73-4a96-8c8f-b5a82bb92448</t>
  </si>
  <si>
    <t>63c77449-2200-46a1-8f1a-a30a14ddc8de</t>
  </si>
  <si>
    <t>0a48fea9-f3c3-431e-aecc-043e5c5ce61d</t>
  </si>
  <si>
    <t>af7807bf-1e8a-4fc9-aacf-2d1b03608745</t>
  </si>
  <si>
    <t>19a812fb-717a-4e23-8760-4be5a9c9a31d</t>
  </si>
  <si>
    <t>275d1dca-c44d-45ee-818b-b41c0e5d26ff</t>
  </si>
  <si>
    <t>156ad52a-e088-4d3a-832a-1a67009a70a4</t>
  </si>
  <si>
    <t>b339c3d4-67b4-4c52-88f7-dc3383349864</t>
  </si>
  <si>
    <t>d3874850-9004-414e-89c6-7e2fbc76e007</t>
  </si>
  <si>
    <t>db47115a-5c4c-45b2-96e2-7498bfe91662</t>
  </si>
  <si>
    <t>b02c0b7d-21ab-4c1c-bd06-a8471d27476d</t>
  </si>
  <si>
    <t>1365e4ce-194d-4c3a-9e8f-7c64bb21615a</t>
  </si>
  <si>
    <t>a848e31f-dc90-4184-9378-6b81a01f0824</t>
  </si>
  <si>
    <t>df5a3663-1055-4655-a416-19a664d6f683</t>
  </si>
  <si>
    <t>85258144-89de-488f-a98c-662d8dcf083c</t>
  </si>
  <si>
    <t>f45ebb09-e8a8-493e-a8d9-9dae0265b3fe</t>
  </si>
  <si>
    <t>ec71050a-a744-4020-9e2d-ed9b93c7d2e5</t>
  </si>
  <si>
    <t>44ef037c-9c83-4b27-b419-539e627de508</t>
  </si>
  <si>
    <t>a869d470-d83e-432b-b813-091891875312</t>
  </si>
  <si>
    <t>300d4482-1919-4013-b2d2-1a24e37169c1</t>
  </si>
  <si>
    <t>d5768d76-a8a8-44a4-a6f6-6324ab3ede0a</t>
  </si>
  <si>
    <t>ffed5e72-fb6f-4b25-a37e-da196f086d0a</t>
  </si>
  <si>
    <t>27616727-dab9-4de7-ae3f-6c0642ea0eab</t>
  </si>
  <si>
    <t>939a1af5-8063-4e77-83c7-9516e5a3ef00</t>
  </si>
  <si>
    <t>736a5d12-d169-42df-9ce9-10d38a2a1714</t>
  </si>
  <si>
    <t>430963fe-ae73-48ee-b4f0-5f4c8670c495</t>
  </si>
  <si>
    <t>ab789af2-f5f6-4c4d-9de1-757296967101</t>
  </si>
  <si>
    <t>529d09c9-16b9-4717-9e9d-a1cd581d3c9e</t>
  </si>
  <si>
    <t>8950472c-350a-46f5-b0da-755c29ea4ce5</t>
  </si>
  <si>
    <t>d18cff28-6660-450f-a10b-06c7b0abfbef</t>
  </si>
  <si>
    <t>d1a61fd2-e8a4-4a42-9023-965b48f67dd8</t>
  </si>
  <si>
    <t>a9024d53-5ced-4310-90cf-8af0df1bfe44</t>
  </si>
  <si>
    <t>157645a2-eb1f-4bbd-aad4-819a838a1cf0</t>
  </si>
  <si>
    <t>b6ee9b24-57c8-4e60-9e71-8d855a4a8e76</t>
  </si>
  <si>
    <t>33034668-2b35-406f-8e8d-4cc14823f98a</t>
  </si>
  <si>
    <t>b3eec347-dde2-40ef-8f2c-930e877409b7</t>
  </si>
  <si>
    <t>a3145fea-c25e-44d6-bab9-2bcdab5d43b5</t>
  </si>
  <si>
    <t>34e96e9d-d99d-4a83-b7fd-f4d7b6521e82</t>
  </si>
  <si>
    <t>PP-10-042-1</t>
  </si>
  <si>
    <t>c5b2a902-8e9b-418e-b302-cecc3cc9c0ff</t>
  </si>
  <si>
    <t>PP-10-043-1</t>
  </si>
  <si>
    <t>78163aeb-457f-45ba-bffa-94c1ab804ded</t>
  </si>
  <si>
    <t>ec33e32d-e0c1-4fe6-a988-8a1304eac542</t>
  </si>
  <si>
    <t>a881fff1-e75b-44a0-98a8-7ffda802cefa</t>
  </si>
  <si>
    <t>f3b55d7b-b0b3-4a8e-a32c-694400a86dd6</t>
  </si>
  <si>
    <t>ffbc28d5-ec94-494c-a7b0-577fef00b1b3</t>
  </si>
  <si>
    <t>dd411b94-75b9-41ea-aeb0-cb165e2820b4</t>
  </si>
  <si>
    <t>c44be93d-6a31-45bb-9989-30f5869db8dd</t>
  </si>
  <si>
    <t>f54dfa0d-0844-4d89-a7cb-a1c6629ab297</t>
  </si>
  <si>
    <t>a54f9756-5fc4-4c4e-91cb-f42744e5b384</t>
  </si>
  <si>
    <t>0630ac20-0615-47a2-ac60-33ae1b0ef543</t>
  </si>
  <si>
    <t>e0203feb-eaea-4cd2-afbd-3567e4d9bc9d</t>
  </si>
  <si>
    <t>91e0ec41-2b3d-472d-97df-e7a9987a0d10</t>
  </si>
  <si>
    <t>2d451465-5c1b-4a11-86f0-0054b7dbd7e2</t>
  </si>
  <si>
    <t>75a49916-bf64-425b-a2c2-eabe2ea694c6</t>
  </si>
  <si>
    <t>6545ff17-0317-40e2-8800-d3a446969b46</t>
  </si>
  <si>
    <t>f5f4bc4e-09a9-4d6c-a3b1-a9f32205cf72</t>
  </si>
  <si>
    <t>03ee2e47-a60a-48c3-84c4-9fe7960185b1</t>
  </si>
  <si>
    <t>fcc8081d-44ee-447a-9030-d253bc7a91f5</t>
  </si>
  <si>
    <t>fc169e31-368b-444d-b89f-b96571ab18e5</t>
  </si>
  <si>
    <t>a31e58ef-8fd9-4ff6-85cb-97301a388b4a</t>
  </si>
  <si>
    <t>c157b971-269c-4fdb-a6c9-132e5781f5f3</t>
  </si>
  <si>
    <t>62bb0ecb-1f3c-4f7b-8cd1-610f6e002077</t>
  </si>
  <si>
    <t>0d169136-ed2a-40dd-9d5a-6f39b33b41d0</t>
  </si>
  <si>
    <t>7fe4a6ea-ea56-48a7-ac92-1d782915c3cb</t>
  </si>
  <si>
    <t>bf72f6a4-62c0-4e90-a0a2-cbc61b3d78e0</t>
  </si>
  <si>
    <t>c33dd731-e40b-4592-bfe6-2c85affdf178</t>
  </si>
  <si>
    <t>33d92ca4-a0ab-49bb-b919-d62690a9776c</t>
  </si>
  <si>
    <t>PP-11-018-1</t>
  </si>
  <si>
    <t>839747ec-c223-471d-9eae-d2585702ee04</t>
  </si>
  <si>
    <t>341f556c-b271-40bb-a09d-32b706d6eaf9</t>
  </si>
  <si>
    <t>b0d2b2b8-b851-4423-846b-a9ae9a437512</t>
  </si>
  <si>
    <t>812c1692-beb3-4db4-bd3c-2a23d5096d49</t>
  </si>
  <si>
    <t>0fb29342-c67c-4447-a3ae-d9c763d1d51c</t>
  </si>
  <si>
    <t>c2b000b1-c690-46cc-952f-68b017211aaf</t>
  </si>
  <si>
    <t>e23f3f2b-b591-4ba6-9cd1-9cffc7104aef</t>
  </si>
  <si>
    <t>fa8aa81d-6edf-4e75-a550-eb6553889dc2</t>
  </si>
  <si>
    <t>730ab38e-e4d6-4188-a762-e2fe96ca0c9b</t>
  </si>
  <si>
    <t>3d9b729f-9426-425b-822c-5a597355d3bb</t>
  </si>
  <si>
    <t>3130d9ec-a2ba-4c27-a8f8-c2b3db45dbb2</t>
  </si>
  <si>
    <t>420ce26d-9cb8-4b70-bc5a-4bb931f07f78</t>
  </si>
  <si>
    <t>03abc4dd-f48e-4b4e-9474-c113f455cd1a</t>
  </si>
  <si>
    <t>365a1dda-6a20-4c5a-a87c-82c6daafd645</t>
  </si>
  <si>
    <t>b97d9dc9-73ec-4940-a069-8b3e5797d7c3</t>
  </si>
  <si>
    <t>216fe28d-3a40-41de-b088-b23a7ef901c1</t>
  </si>
  <si>
    <t>c95a221c-c341-4b03-8681-b0ee97dae2cd</t>
  </si>
  <si>
    <t>d0a8d5b1-8aaa-4959-bf69-3a6a9442746f</t>
  </si>
  <si>
    <t>602f4e6e-7e34-4a0e-878b-2a063e01dc3d</t>
  </si>
  <si>
    <t>3949e452-bb68-4daa-8d41-dcc8dcd29873</t>
  </si>
  <si>
    <t>740dac22-6fd4-420c-aa5a-121d0394f067</t>
  </si>
  <si>
    <t>eec14584-2b8c-461c-b990-fd3682e4f596</t>
  </si>
  <si>
    <t>d747440e-c812-4ed5-9cc6-f8a0d5a04c2d</t>
  </si>
  <si>
    <t>3c52b39e-09ee-45b9-a06e-db85bac018a3</t>
  </si>
  <si>
    <t>325739e4-9141-412f-860c-1674ad7d1bbd</t>
  </si>
  <si>
    <t>680a4ace-3dcf-4acc-9cfc-5ad5001ed40f</t>
  </si>
  <si>
    <t>ce0c854c-329d-4334-9dce-167befc8a566</t>
  </si>
  <si>
    <t>b1e2c933-bb7c-4a54-a3a7-434348757434</t>
  </si>
  <si>
    <t>8400f6bd-c96b-42ce-811b-0e04f8ee56ca</t>
  </si>
  <si>
    <t>2e312507-d936-4814-83f0-7201ad8fcc02</t>
  </si>
  <si>
    <t>ff9b18d5-cb4c-40e6-9af8-f8803f25b9c7</t>
  </si>
  <si>
    <t>fa3d5ceb-c9d8-4888-a2c5-5a50e082c5e8</t>
  </si>
  <si>
    <t>a601c8a2-9496-456d-a274-03b7c267ab8f</t>
  </si>
  <si>
    <t>c32afcf7-74f7-4c24-85cf-557b47b2c3d5</t>
  </si>
  <si>
    <t>c527e01b-8833-4516-a9b7-241827d73cba</t>
  </si>
  <si>
    <t>616644c8-6bfc-4d41-8e52-36aef9d01ed4</t>
  </si>
  <si>
    <t>fd68022c-8f86-4e1a-a460-daa5f3c0387b</t>
  </si>
  <si>
    <t>0b680972-88c1-4c04-9f6b-d5fb61e06506</t>
  </si>
  <si>
    <t>e6ac8e46-9c51-43ae-9bf4-16c41a15cdae</t>
  </si>
  <si>
    <t>3169bc6a-4b26-4684-97eb-922e33cb5fee</t>
  </si>
  <si>
    <t>b19e5eee-f72a-4f1c-a6c0-7b5b111e1c23</t>
  </si>
  <si>
    <t>b1cf06d9-c91d-47fe-b9d6-32550c2d10dd</t>
  </si>
  <si>
    <t>504a3326-ed4b-420e-b867-1e397ba05c93</t>
  </si>
  <si>
    <t>8e87ae23-9bdb-42d3-9948-96a63db5ba12</t>
  </si>
  <si>
    <t>67a7daca-e681-4e93-bff7-c8c735558e62</t>
  </si>
  <si>
    <t>be44c86a-8aaf-4156-a81e-1f1e685cad58</t>
  </si>
  <si>
    <t>a32c1915-9960-4e8c-a59b-cc0748163ffb</t>
  </si>
  <si>
    <t>0699c963-2e5a-4b7d-8317-7c655731841d</t>
  </si>
  <si>
    <t>b4d275eb-b5f6-4648-bb82-e62e4e89ea70</t>
  </si>
  <si>
    <t>74e44994-9efc-49dc-ab18-69d0b2cb4407</t>
  </si>
  <si>
    <t>844d3429-1cd1-4163-9b5d-d30dbbb60603</t>
  </si>
  <si>
    <t>c4be7e96-1a43-45f5-a768-62e99a1596e4</t>
  </si>
  <si>
    <t>bb22361b-6071-41b7-8391-0f5fdd5b48ee</t>
  </si>
  <si>
    <t>2a18374c-c04b-494d-88d0-77479aad417d</t>
  </si>
  <si>
    <t>fc39a98c-04e1-40f2-a196-bf4bf4df7739</t>
  </si>
  <si>
    <t>2f358168-a6ac-43ab-a384-99fe0d1f45f7</t>
  </si>
  <si>
    <t>4f28dfbd-807d-4b46-80b0-3ca3da14b5e3</t>
  </si>
  <si>
    <t>addd8eff-b68f-40e2-a06e-129ef58afa48</t>
  </si>
  <si>
    <t>f638d927-e795-4766-b159-b74a14ffc3a0</t>
  </si>
  <si>
    <t>3e950681-ff64-43cb-a664-d4d5eadd03bb</t>
  </si>
  <si>
    <t>3248f551-3d6d-4b96-8ed1-56738187687a</t>
  </si>
  <si>
    <t>c0ed4b7e-5871-49cd-b890-100af38cc5f3</t>
  </si>
  <si>
    <t>ed79f875-b3c8-4965-ba72-7cc2601fd619</t>
  </si>
  <si>
    <t>PP-12-029-1</t>
  </si>
  <si>
    <t>f9a5bb84-9a81-4411-b520-8f60705e84ff</t>
  </si>
  <si>
    <t>2db1e86f-9151-46b3-a49e-ccb1ae11441f</t>
  </si>
  <si>
    <t>00a59ce1-5ce3-4b8e-8df1-6ba7b3c0eefb</t>
  </si>
  <si>
    <t>b2330e45-a63f-4ffe-8bad-573a2c2f4f4c</t>
  </si>
  <si>
    <t>4b84da9e-5367-4821-8e7e-dfea15f489e1</t>
  </si>
  <si>
    <t>42e04195-b955-43f8-bddf-5739c7659bb1</t>
  </si>
  <si>
    <t>8556bd20-e830-4342-a5d2-073b84f07901</t>
  </si>
  <si>
    <t>PP-12-037-1</t>
  </si>
  <si>
    <t>9dea7b0e-025f-4764-ae70-7cc718227ddd</t>
  </si>
  <si>
    <t>ae19e96b-9d93-49df-a48b-cb87d0ae825f</t>
  </si>
  <si>
    <t>02fa34d5-baf9-4f22-8993-157aeb2b9426</t>
  </si>
  <si>
    <t>fa98dc10-a9bb-47d2-98ff-f12645754f8c</t>
  </si>
  <si>
    <t>b25e8ed1-8e07-43d1-954a-dc549aa5381d</t>
  </si>
  <si>
    <t>13dde2dd-3bce-454b-b39c-0ba8c0a2dbf7</t>
  </si>
  <si>
    <t>ad6480ea-f9b7-4752-9825-4d60d92605ca</t>
  </si>
  <si>
    <t>ca076a2f-47cd-40cb-8045-e8eeda28552f</t>
  </si>
  <si>
    <t>PP-12-045-1</t>
  </si>
  <si>
    <t>9b9aaca9-d324-4043-b636-deda314fdb8f</t>
  </si>
  <si>
    <t>43781729-0025-4c98-8797-4a107f030295</t>
  </si>
  <si>
    <t>500a309a-d98e-454d-a300-089d31cad0e8</t>
  </si>
  <si>
    <t>5ae084c1-7a60-4d4f-8dee-0d50b23bae44</t>
  </si>
  <si>
    <t>13d99e5e-ac53-496a-848a-bd520ab5d184</t>
  </si>
  <si>
    <t>8a836d60-863e-4a22-80ac-7a900d48bad2</t>
  </si>
  <si>
    <t>PP-12-051-1</t>
  </si>
  <si>
    <t>b294b84c-b261-462a-b709-7d364f8dcb41</t>
  </si>
  <si>
    <t>PP-12-052-1</t>
  </si>
  <si>
    <t>d4dc5006-8389-4ebd-bb52-5eb9b82be85c</t>
  </si>
  <si>
    <t>9a384b25-6fce-4d45-8aab-3d0e1675ab8e</t>
  </si>
  <si>
    <t>e69b1fa7-2d92-4011-8f65-1edf04172786</t>
  </si>
  <si>
    <t>70492aed-25f2-4df7-8935-3df5dcfd37ba</t>
  </si>
  <si>
    <t>73ce37eb-79f9-4a5e-ab8a-54e8d751b87a</t>
  </si>
  <si>
    <t>c1ec000c-607e-4515-aca6-7e5ab1c6feab</t>
  </si>
  <si>
    <t>45018919-cfb7-4f48-b232-d6ed3e505b21</t>
  </si>
  <si>
    <t>f5e3b914-40d4-4293-8f4e-b127a5e12871</t>
  </si>
  <si>
    <t>39ff4e3d-43e7-4ab7-ba50-8c1b646088d4</t>
  </si>
  <si>
    <t>f01b5493-f057-432c-b5b2-f59afcafb0d5</t>
  </si>
  <si>
    <t>83ca1b5e-c4cd-4cba-9df5-6b06a34c5e41</t>
  </si>
  <si>
    <t>46943410-2dba-4faa-91f1-f6e18f86e290</t>
  </si>
  <si>
    <t>c5470c5f-68bd-404a-8adf-dfea26bd2d94</t>
  </si>
  <si>
    <t>0b1835ae-863e-4880-939c-4b1f0190255b</t>
  </si>
  <si>
    <t>508e7a7d-b1ba-475e-88aa-fc66bf3171f0</t>
  </si>
  <si>
    <t>3fabf93b-6801-4b53-b190-a24230c1805c</t>
  </si>
  <si>
    <t>866eb7ae-104a-40bb-9ff9-f94f62621f2c</t>
  </si>
  <si>
    <t>PP-13-017-1</t>
  </si>
  <si>
    <t>e3e7e24c-3cfb-4382-9846-f58c7682431c</t>
  </si>
  <si>
    <t>79d8fed7-6267-4410-8e61-55283704a847</t>
  </si>
  <si>
    <t>3a4262a7-483e-49af-a3e9-88890b4d600e</t>
  </si>
  <si>
    <t>26d8fd58-3ef2-4e6b-9164-f145e2f42ea9</t>
  </si>
  <si>
    <t>3433fd56-f14c-45b2-951c-80e3ee53401a</t>
  </si>
  <si>
    <t>2d3e3896-ca59-4029-bd50-d4c866a59c77</t>
  </si>
  <si>
    <t>bd6147b7-a2a5-4269-88d7-1e51fc9b4110</t>
  </si>
  <si>
    <t>bd3d80f7-ef10-4305-a24c-90d0aad41f49</t>
  </si>
  <si>
    <t>56ff0f5b-78ce-46ad-8e49-f1dc4dce2399</t>
  </si>
  <si>
    <t>7d08f1ba-56a2-4a23-b9fe-aca6547bc347</t>
  </si>
  <si>
    <t>b838cffb-92e6-4be1-a904-0bdfa4084906</t>
  </si>
  <si>
    <t>64323a04-924d-48c2-8247-84ac0acbe8fd</t>
  </si>
  <si>
    <t>001dc137-222c-4bf5-a55e-9607040de469</t>
  </si>
  <si>
    <t>14aca496-6dc6-4cf2-91bb-4eca381ba05b</t>
  </si>
  <si>
    <t>6a2d06c6-70b6-4cae-973a-94c48f964a38</t>
  </si>
  <si>
    <t>66405a80-2bf1-4f65-a3d7-568cfe8b9a39</t>
  </si>
  <si>
    <t>22ec6b97-d525-456e-ba87-961da7d24962</t>
  </si>
  <si>
    <t>9d1c4b14-60f9-4c5b-a3ea-73a3c5d3dbf8</t>
  </si>
  <si>
    <t>288b9b10-d23c-4e06-92ca-1734557086bc</t>
  </si>
  <si>
    <t>38165406-287f-4f90-a251-9612d2779743</t>
  </si>
  <si>
    <t>746e1351-6dc4-4f76-9abf-6ec1cb825fc9</t>
  </si>
  <si>
    <t>8308d81e-fb22-482b-953c-157b3b0d84f8</t>
  </si>
  <si>
    <t>19912601-8560-4c32-bc46-6be8d1d226e6</t>
  </si>
  <si>
    <t>b24302fb-572d-4518-a3ec-9c5828a090bc</t>
  </si>
  <si>
    <t>854fa69d-fe7d-4d79-8763-270c2d230d53</t>
  </si>
  <si>
    <t>782c9ff5-9207-4839-9083-d45af5589982</t>
  </si>
  <si>
    <t>03d427c7-be02-4de6-8847-65fe2cc06344</t>
  </si>
  <si>
    <t>66ff124e-6f8a-4fef-958b-9829731e06cf</t>
  </si>
  <si>
    <t>50176bb3-25c5-44cb-abbd-15e99e6aa3e1</t>
  </si>
  <si>
    <t>PP-13-047-1</t>
  </si>
  <si>
    <t>887f07fa-9f2d-4597-82b6-5704a247334f</t>
  </si>
  <si>
    <t>PP-13-048-1</t>
  </si>
  <si>
    <t>d056aea8-b01f-47d6-9d74-bb94941fd7f7</t>
  </si>
  <si>
    <t>PP-13-049-1</t>
  </si>
  <si>
    <t>d5445951-e55d-4ae4-a145-dfe93a68ed42</t>
  </si>
  <si>
    <t>PP-13-050-1</t>
  </si>
  <si>
    <t>1db481e1-dc0b-4584-b0e0-d955f743a74d</t>
  </si>
  <si>
    <t>PP-13-051-1</t>
  </si>
  <si>
    <t>4609503f-dbe5-4287-bac0-06cfdf15a805</t>
  </si>
  <si>
    <t>PP-13-052-1</t>
  </si>
  <si>
    <t>7642af7b-86e5-44cc-96ed-cc8bd934d2bf</t>
  </si>
  <si>
    <t>588136c1-5249-4468-8646-61cf388dea30</t>
  </si>
  <si>
    <t>9f4022fe-0aa1-4c62-b09b-5ae5701dbeb5</t>
  </si>
  <si>
    <t>334ea779-2e81-49a9-9226-3adef8d617ed</t>
  </si>
  <si>
    <t>43b5ddca-78f0-46f9-8474-9df18e06eb0d</t>
  </si>
  <si>
    <t>0ae2985d-d453-439a-90c8-9f153fa78122</t>
  </si>
  <si>
    <t>160ae3ff-18b9-476f-b53e-c9ade3a9014d</t>
  </si>
  <si>
    <t>24db8811-3ac8-4fa3-82d1-e61151662bf1</t>
  </si>
  <si>
    <t>2e5fb3e3-01f4-4baa-902b-f105aacd7b55</t>
  </si>
  <si>
    <t>61dd93fb-1014-4404-b401-d7532455ab35</t>
  </si>
  <si>
    <t>c29524ef-4c6c-462c-bb25-acd825783513</t>
  </si>
  <si>
    <t>0d89e683-223c-4804-ba5f-deed23177141</t>
  </si>
  <si>
    <t>d2f6ccd0-5bc9-420c-be08-8bb165a01692</t>
  </si>
  <si>
    <t>aadf2a75-c8a7-41f3-a9e7-ba576a22c69f</t>
  </si>
  <si>
    <t>044786a5-fe2f-4791-9e55-b4855fb3f855</t>
  </si>
  <si>
    <t>3ea60082-2416-4c16-b2f3-cd641e2dfb4d</t>
  </si>
  <si>
    <t>78c54e61-f400-431d-99e7-b015b2ed845d</t>
  </si>
  <si>
    <t>bcf2f30a-7f2c-4039-8756-f767d26da3b6</t>
  </si>
  <si>
    <t>67b8dd4d-db44-4522-a18c-4ed14e42a651</t>
  </si>
  <si>
    <t>842ab030-4afe-43d8-bdf7-dea7282fcac0</t>
  </si>
  <si>
    <t>b69af565-539c-44ae-93dd-a16e8f14e1a0</t>
  </si>
  <si>
    <t>e8ec1c97-407f-4b8c-a760-5cc2842f2d7c</t>
  </si>
  <si>
    <t>180efe54-7f41-4430-b540-8588e02eea8d</t>
  </si>
  <si>
    <t>a40b1295-83ee-4207-b803-9b99b24b1b2f</t>
  </si>
  <si>
    <t>225811ce-a3b0-495b-8947-d73615c27897</t>
  </si>
  <si>
    <t>508a0a2a-ce39-48c5-87de-406841cc607a</t>
  </si>
  <si>
    <t>7df8be40-4ff8-4213-ab16-e71b9fe0e40b</t>
  </si>
  <si>
    <t>e822d248-c6f1-495b-bc52-6e60f75594a9</t>
  </si>
  <si>
    <t>6b6635fe-ed4a-4dd5-aa32-638625c3b74f</t>
  </si>
  <si>
    <t>30ece9e1-d6ea-49d5-9346-9cfbd9dd948d</t>
  </si>
  <si>
    <t>06bde737-d6d6-42b8-9626-717782742894</t>
  </si>
  <si>
    <t>349ec4ce-634c-4071-b422-05a421fd0a8e</t>
  </si>
  <si>
    <t>a57da267-d688-46c6-88da-9482459ae70d</t>
  </si>
  <si>
    <t>75428c95-e48e-4367-8764-78e5b0cb1d00</t>
  </si>
  <si>
    <t>aadc6aef-854a-4f2b-b428-9ca016e62cd5</t>
  </si>
  <si>
    <t>42e79597-8aba-4392-8891-3f998925df3e</t>
  </si>
  <si>
    <t>7436c548-9096-433c-9e23-1eb2b41bff7d</t>
  </si>
  <si>
    <t>f0e22813-28f2-4083-a496-0e0889c88f71</t>
  </si>
  <si>
    <t>2f9a8083-38fd-4f34-9760-d626f942a081</t>
  </si>
  <si>
    <t>581b63d0-a60b-4f30-9664-18dadfded617</t>
  </si>
  <si>
    <t>89a2d043-401a-4ee4-bead-b2a9bd24ddc9</t>
  </si>
  <si>
    <t>4053120f-65bf-4556-85c9-cb0b4e39f34f</t>
  </si>
  <si>
    <t>PP-15-043-1</t>
  </si>
  <si>
    <t>9f0e94f2-4573-4a02-a431-35c79022e21f</t>
  </si>
  <si>
    <t>PP-15-044-1</t>
  </si>
  <si>
    <t>d7897f6f-64e3-4999-9545-667d96b4d02d</t>
  </si>
  <si>
    <t>b19816c3-0ed6-4123-a5d3-5954c1bb7635</t>
  </si>
  <si>
    <t>3650cfdb-43f4-4c5b-9027-f17887949b6c</t>
  </si>
  <si>
    <t>e2949a11-27ab-4256-84fa-ecb41fad6d77</t>
  </si>
  <si>
    <t>bc9a384d-3d23-41bb-a5d6-059c5b498993</t>
  </si>
  <si>
    <t>52678cf1-2adb-4e14-9701-69787ea80078</t>
  </si>
  <si>
    <t>4de131df-0b53-4ea3-88da-93b09610eb37</t>
  </si>
  <si>
    <t>fab7f369-2ecc-4c0b-9ad1-9c8d483ff85c</t>
  </si>
  <si>
    <t>dac07b23-8b3e-462e-a7e5-4e8f261fb3a9</t>
  </si>
  <si>
    <t>6c26b49a-affa-4664-a10b-49c08abf7cb4</t>
  </si>
  <si>
    <t>PP-16-002-1</t>
  </si>
  <si>
    <t>08147780-88d3-4fda-85af-665c2c0fe97c</t>
  </si>
  <si>
    <t>PP-16-003-1</t>
  </si>
  <si>
    <t>c82e039e-0e13-4e70-b3d3-44026957896f</t>
  </si>
  <si>
    <t>PP-16-004-1</t>
  </si>
  <si>
    <t>06747807-1e29-4dac-a8b6-1673c4c85286</t>
  </si>
  <si>
    <t>0a5fd911-53d2-4dd7-87e0-a5a6326e6d31</t>
  </si>
  <si>
    <t>PP-16-006-1</t>
  </si>
  <si>
    <t>bf56b787-2f2e-4b55-99c9-6750e793e76f</t>
  </si>
  <si>
    <t>c28e8fd2-9370-46c1-84b5-d5de99f12f05</t>
  </si>
  <si>
    <t>PP-16-008-1</t>
  </si>
  <si>
    <t>08514336-168e-46c4-8a8e-1ae16cb6dd48</t>
  </si>
  <si>
    <t>PP-16-009-1</t>
  </si>
  <si>
    <t>199adde3-2176-4256-ab64-78800fd7cea7</t>
  </si>
  <si>
    <t>PP-16-010-1</t>
  </si>
  <si>
    <t>3a4275df-c054-441b-8a86-73bbf818cd39</t>
  </si>
  <si>
    <t>7415e0a0-819d-41f0-8feb-9eb674c56557</t>
  </si>
  <si>
    <t>PP-16-012-1</t>
  </si>
  <si>
    <t>08252de9-7ff6-4aec-a837-722ed6a46e26</t>
  </si>
  <si>
    <t>7fe973da-d416-4971-9ebf-a42b8e3ed060</t>
  </si>
  <si>
    <t>PP-16-014-1</t>
  </si>
  <si>
    <t>2b95f9e7-5074-47b9-82e6-05f915f568ac</t>
  </si>
  <si>
    <t>PP-16-015-1</t>
  </si>
  <si>
    <t>1ee305dc-7276-4b36-abda-d9a4ba8e56fd</t>
  </si>
  <si>
    <t>PP-16-016-1</t>
  </si>
  <si>
    <t>bb13ad40-ab5e-47bf-a118-fa4e8cfb3e59</t>
  </si>
  <si>
    <t>9eac7a12-42bb-4dfa-9ead-8441133598c8</t>
  </si>
  <si>
    <t>PP-16-018-1</t>
  </si>
  <si>
    <t>f8e645e6-1a7f-41e7-83bf-426156eb7c1e</t>
  </si>
  <si>
    <t>04026287-0424-44a9-803a-13cbc1f45c2c</t>
  </si>
  <si>
    <t>PP-16-020-1</t>
  </si>
  <si>
    <t>a4a85462-cb94-4ab6-8e8c-5cc631f0a768</t>
  </si>
  <si>
    <t>81d98f41-64ee-4d1b-95ce-d72c9e0d9b57</t>
  </si>
  <si>
    <t>PP-16-022-1</t>
  </si>
  <si>
    <t>36023b75-cca6-46a5-824a-465d65e3d552</t>
  </si>
  <si>
    <t>857080b8-1484-4c74-8e65-8bb358f648dc</t>
  </si>
  <si>
    <t>PP-16-024-1</t>
  </si>
  <si>
    <t>1e9daf60-390f-4936-8ef2-16aaffc20e33</t>
  </si>
  <si>
    <t>5da0b9d1-8746-4629-942b-d3eb30176bec</t>
  </si>
  <si>
    <t>PP-16-026-1</t>
  </si>
  <si>
    <t>87e942b2-e467-4c03-ae5f-aedb31021ea0</t>
  </si>
  <si>
    <t>a46f4a9e-7d25-40c0-93eb-c551cd744790</t>
  </si>
  <si>
    <t>PP-16-028-1</t>
  </si>
  <si>
    <t>b3659f3e-e7e6-4ed0-8ea6-ee413bd672e0</t>
  </si>
  <si>
    <t>PP-16-030-1</t>
  </si>
  <si>
    <t>06c9b9f5-d2e3-4022-b2d4-76270f8de8c1</t>
  </si>
  <si>
    <t>24f4075a-66e1-49bd-b3d4-c8bb18e9816d</t>
  </si>
  <si>
    <t>PP-16-032-1</t>
  </si>
  <si>
    <t>4bc04af4-64bf-44c1-99bb-10ceb187860b</t>
  </si>
  <si>
    <t>820138fb-c35c-4a7c-ac21-8dfae65e5943</t>
  </si>
  <si>
    <t>PP-16-034-1</t>
  </si>
  <si>
    <t>f6c011fe-9f2b-4bac-8b5d-a298fea9e7ba</t>
  </si>
  <si>
    <t>a7807f1f-9629-42a5-8d1c-da2d1e996bb0</t>
  </si>
  <si>
    <t>PP-16-036-1</t>
  </si>
  <si>
    <t>bcd8cac3-abfd-4fda-ad67-9745773f1bec</t>
  </si>
  <si>
    <t>bf9a4c92-29fd-4808-b303-b29ed5847e26</t>
  </si>
  <si>
    <t>PP-16-038-1</t>
  </si>
  <si>
    <t>81bd8675-0760-4602-9eb3-44a401c42c5d</t>
  </si>
  <si>
    <t>ab07dbd1-8155-444a-9337-6e2643020759</t>
  </si>
  <si>
    <t>PP-16-040-1</t>
  </si>
  <si>
    <t>f01fff00-1609-4d8e-ae0b-79fa7e15b2cc</t>
  </si>
  <si>
    <t>dae2519f-6a6f-49e7-a530-17e15b18431c</t>
  </si>
  <si>
    <t>PP-16-042-1</t>
  </si>
  <si>
    <t>b948392c-ebb8-4350-b470-b4583a534acf</t>
  </si>
  <si>
    <t>7db3c137-08a6-41d5-b281-da0330ced6d9</t>
  </si>
  <si>
    <t>PP-16-044-1</t>
  </si>
  <si>
    <t>f73ce2ab-424f-4e19-b056-60c663e8f3dd</t>
  </si>
  <si>
    <t>03da95b6-b2b5-4ca3-9cb6-76711ac634ab</t>
  </si>
  <si>
    <t>PP-16-046-1</t>
  </si>
  <si>
    <t>a196f0af-e0d8-475c-87b2-3139da1587b4</t>
  </si>
  <si>
    <t>05b60edf-46ca-4048-824f-f84a6472aba7</t>
  </si>
  <si>
    <t>PP-16-048-1</t>
  </si>
  <si>
    <t>25b96905-859c-4598-8931-6ea46a0abf67</t>
  </si>
  <si>
    <t>PP-16-049-1</t>
  </si>
  <si>
    <t>77a51e57-0e21-47ac-a440-b8d56b63cfd7</t>
  </si>
  <si>
    <t>PP-16-050-1</t>
  </si>
  <si>
    <t>12914a12-5dc5-4c00-b22f-d113560b0c24</t>
  </si>
  <si>
    <t>PP-16-051-1</t>
  </si>
  <si>
    <t>363d1cb1-a238-4245-8c52-b376f83fb918</t>
  </si>
  <si>
    <t>PP-16-052-1</t>
  </si>
  <si>
    <t>5568628d-4aa1-4aa8-a75e-21420380742a</t>
  </si>
  <si>
    <t>NOMBRE</t>
  </si>
  <si>
    <t>RUTH</t>
  </si>
  <si>
    <t>e4194c23-ddd4-4eb1-b4a1-b9461f030591</t>
  </si>
  <si>
    <t>MARCO</t>
  </si>
  <si>
    <t>254aa4c5-88b2-4813-9a06-4a16f37819dc</t>
  </si>
  <si>
    <t>LUIS</t>
  </si>
  <si>
    <t>c40951da-15a6-417f-9e2c-3604e50754d8</t>
  </si>
  <si>
    <t>DOÑES</t>
  </si>
  <si>
    <t>d4337582-fd70-4db0-88a0-45d81f35fc21</t>
  </si>
  <si>
    <t>SCOOBY</t>
  </si>
  <si>
    <t>64ba0427-8251-4ae1-bece-9fc4c6a830ae</t>
  </si>
  <si>
    <t>carlos</t>
  </si>
  <si>
    <t>a9fc3486-e27b-4efe-8b26-d4919ac43f89</t>
  </si>
  <si>
    <t>Pasillo</t>
  </si>
  <si>
    <t>Estado</t>
  </si>
  <si>
    <t>Operario</t>
  </si>
  <si>
    <t>Avance</t>
  </si>
  <si>
    <t>Ub. Registradas</t>
  </si>
  <si>
    <t>Total de Ubicaciones</t>
  </si>
  <si>
    <t>Inicio</t>
  </si>
  <si>
    <t>Fin</t>
  </si>
  <si>
    <t>DuracionMin</t>
  </si>
  <si>
    <t>DIFERENCIAS</t>
  </si>
  <si>
    <t>STATUS</t>
  </si>
  <si>
    <t>DIFERENCIAS2</t>
  </si>
  <si>
    <t>STATUS RECONTEO</t>
  </si>
  <si>
    <t>Pasillo 1</t>
  </si>
  <si>
    <t>En Proceso</t>
  </si>
  <si>
    <t>1f1ee163-8703-45b8-a9ad-78909e947f5e</t>
  </si>
  <si>
    <t>Pasillo 5</t>
  </si>
  <si>
    <t>Pendiente</t>
  </si>
  <si>
    <t>194d4492-109e-45a6-bf45-6caf709d5b34</t>
  </si>
  <si>
    <t>Pasillo 6</t>
  </si>
  <si>
    <t>76c65302-dbca-4bc5-ad98-ec0a172c413f</t>
  </si>
  <si>
    <t>Pasillo 7</t>
  </si>
  <si>
    <t>fdbe60f2-c6db-4617-ae2f-6f07885345d0</t>
  </si>
  <si>
    <t>Pasillo 8</t>
  </si>
  <si>
    <t>f507ee28-44dd-46fa-8952-12d603c9893f</t>
  </si>
  <si>
    <t>Pasillo 9</t>
  </si>
  <si>
    <t>8ee267b8-1051-42c9-a3ca-eeda55364e76</t>
  </si>
  <si>
    <t>Pasillo 10</t>
  </si>
  <si>
    <t>cdd9f442-c8d2-4380-ab8e-f4bf33c7d872</t>
  </si>
  <si>
    <t>Pasillo 11</t>
  </si>
  <si>
    <t>eb7c406e-0b40-4cac-9f90-c8e6604df8f4</t>
  </si>
  <si>
    <t>Pasillo 12</t>
  </si>
  <si>
    <t>d4ed75ff-4c90-493f-81d8-db9925e32d24</t>
  </si>
  <si>
    <t>Pasillo 13</t>
  </si>
  <si>
    <t>544cb243-e28b-4a62-b8dd-6cb17df0813a</t>
  </si>
  <si>
    <t>Pasillo 15</t>
  </si>
  <si>
    <t>22c1e7b9-c56a-40cb-8750-4fe62f376eab</t>
  </si>
  <si>
    <t>Pasillo 16</t>
  </si>
  <si>
    <t>aa9dda26-5515-41b2-b63c-d291ba000810</t>
  </si>
  <si>
    <t>Pasillo 23</t>
  </si>
  <si>
    <t>ecb5d4f6-08b3-43e8-8963-012deccc276b</t>
  </si>
  <si>
    <t>Fecha</t>
  </si>
  <si>
    <t>Ubicacion</t>
  </si>
  <si>
    <t>Codigo</t>
  </si>
  <si>
    <t>Descripcion</t>
  </si>
  <si>
    <t>CamaPqt</t>
  </si>
  <si>
    <t>Niveles</t>
  </si>
  <si>
    <t>Saldo</t>
  </si>
  <si>
    <t>Total</t>
  </si>
  <si>
    <t>28 septiembre 2026 13:00</t>
  </si>
  <si>
    <t>PP-007-001-1</t>
  </si>
  <si>
    <t>VACÍO</t>
  </si>
  <si>
    <t>UBICACIÓN VACÍA</t>
  </si>
  <si>
    <t>-</t>
  </si>
  <si>
    <t>NO DEBE DEJAR GUARDAR CUANDO ESORRO PASILLO</t>
  </si>
  <si>
    <t>28 septiembre 2026 13:03</t>
  </si>
  <si>
    <t>CONTEO 1</t>
  </si>
  <si>
    <t>CONTEO 2</t>
  </si>
  <si>
    <t>SKU</t>
  </si>
  <si>
    <t>DESCRIPCION</t>
  </si>
  <si>
    <t>BULTOS</t>
  </si>
  <si>
    <t>CODIGO</t>
  </si>
  <si>
    <t>TOTAL</t>
  </si>
  <si>
    <t>UMA2</t>
  </si>
  <si>
    <t>Diferencia</t>
  </si>
  <si>
    <t>RECONTEO</t>
  </si>
  <si>
    <t>CODIGO2</t>
  </si>
  <si>
    <t>TOTAL2</t>
  </si>
  <si>
    <t>DIFERENCIA2</t>
  </si>
  <si>
    <t>STATUS2</t>
  </si>
  <si>
    <t>C</t>
  </si>
  <si>
    <t>PASILLO 1</t>
  </si>
  <si>
    <t>e56a3784-2ab1-4e9f-9639-646dacf26db3</t>
  </si>
  <si>
    <t xml:space="preserve"> ---</t>
  </si>
  <si>
    <t>86523e1f-34b1-46c1-8076-e7a5bc59b858</t>
  </si>
  <si>
    <t>7e7c8b47-a04c-442e-b2a8-e805b786effc</t>
  </si>
  <si>
    <t>a48087b5-f38f-420b-a0b4-24fb19d277bf</t>
  </si>
  <si>
    <t>3c749e0a-9c53-4dfe-8f70-d6d550127d39</t>
  </si>
  <si>
    <t>d37699d5-6fdc-40d5-89df-fa6a11f8b4eb</t>
  </si>
  <si>
    <t>c6b4ea8c-82c2-4613-8f9e-b110c4cc6801</t>
  </si>
  <si>
    <t>dd1dbcb3-e43e-4526-b8e7-94dcd1ed66aa</t>
  </si>
  <si>
    <t>ff0849b8-9b24-4a7f-b6cf-7baa42fcecad</t>
  </si>
  <si>
    <t>e797b998-c5c4-40ab-8ddd-ef25fdf495fb</t>
  </si>
  <si>
    <t>264348ae-3284-4b49-8ebe-1efa0358014b</t>
  </si>
  <si>
    <t>19493bac-2d77-4dc7-b666-d88345e9ad66</t>
  </si>
  <si>
    <t>23bc5b3d-e197-4cca-bef2-677b468375a6</t>
  </si>
  <si>
    <t>033e9500-6cd1-4591-a7c2-53327cbcf6f8</t>
  </si>
  <si>
    <t>c26e17aa-b3c8-46d8-aa40-9f4935d577e6</t>
  </si>
  <si>
    <t>612e67f3-a58a-45ef-9d4d-294d3e27e6f9</t>
  </si>
  <si>
    <t>c61f5665-5f4c-4cff-a8f4-907734c0bb99</t>
  </si>
  <si>
    <t>28d51b8f-66c4-4de1-a8d4-9621b6f57d13</t>
  </si>
  <si>
    <t>04b1e0df-5f4a-4522-b50a-ddde2afa36d2</t>
  </si>
  <si>
    <t>398dbbb4-8704-4e01-a0e3-31babc234b09</t>
  </si>
  <si>
    <t>6b12f48e-6928-4618-8275-3ba12c100eb5</t>
  </si>
  <si>
    <t>eb5f614e-340f-41cf-b876-c8a5e2ebed4c</t>
  </si>
  <si>
    <t>6ef1a0ad-872b-44bd-9077-eef059e1ec94</t>
  </si>
  <si>
    <t>9abb580c-cc32-41ef-8dc4-a9a12a64708f</t>
  </si>
  <si>
    <t>ae85e53e-5b0c-4c28-9a61-6419e441ee16</t>
  </si>
  <si>
    <t>ce8f10f8-4bc9-4319-a847-35e924a6d66b</t>
  </si>
  <si>
    <t>1fbd6b3d-9a6c-48b5-aac7-e60687c4df94</t>
  </si>
  <si>
    <t>2f0d9e53-86a6-4885-9258-6c82e1465458</t>
  </si>
  <si>
    <t>610fe278-f351-4a56-87d2-d6c154d98ef3</t>
  </si>
  <si>
    <t>8e702fdb-3911-4129-b88f-08a3db2c3f9f</t>
  </si>
  <si>
    <t>5113aa5b-7088-4267-8e1d-7727150fffc9</t>
  </si>
  <si>
    <t>6937b448-4f74-4255-9b82-d0c3865b4095</t>
  </si>
  <si>
    <t>6ce1df0e-6d68-4b39-a1a1-ca5ee1002a47</t>
  </si>
  <si>
    <t>1e615fe9-7b39-4c52-98b6-57f4fb6aded6</t>
  </si>
  <si>
    <t>d64561df-3008-4791-9eb6-d47bd5ca3ca8</t>
  </si>
  <si>
    <t>081433da-8bc3-4ec4-859a-0351e59ce7dc</t>
  </si>
  <si>
    <t>a1cbcac3-449c-44f8-b95f-5f66481a637d</t>
  </si>
  <si>
    <t>9dfbc586-639b-4d4f-b78b-20293817e132</t>
  </si>
  <si>
    <t>5b120565-66d6-465f-908a-c6a37116c7df</t>
  </si>
  <si>
    <t>75520938-2d05-4ff0-b307-f146e213f5cc</t>
  </si>
  <si>
    <t>PASILLO 5</t>
  </si>
  <si>
    <t>2654e9b1-5d65-47f1-8c4d-1129124fde2b</t>
  </si>
  <si>
    <t>026307e8-0ef3-4008-b912-450fb4a52740</t>
  </si>
  <si>
    <t>959455ed-188e-48fb-8a2c-11f11f0b3b13</t>
  </si>
  <si>
    <t>447011e0-c81c-4906-bd16-a85b1b00dec0</t>
  </si>
  <si>
    <t>ee18dae1-3041-400e-ae7c-3f23cc07d663</t>
  </si>
  <si>
    <t>c9e7bc5e-306b-4a72-8426-7df42abb7abd</t>
  </si>
  <si>
    <t>0e31a412-5e9f-40e2-9de7-54c244932263</t>
  </si>
  <si>
    <t>6d3d51cc-edbb-4459-a5a0-fc79e1748716</t>
  </si>
  <si>
    <t>42ba55ce-3efa-4705-a1f7-a6ab53458529</t>
  </si>
  <si>
    <t>a4f1ae19-cc92-41fb-9e09-3c8c3f16f836</t>
  </si>
  <si>
    <t>6b3b6c25-5f13-469f-8386-cf4cd2aa19a1</t>
  </si>
  <si>
    <t>459a3525-d5cd-4f3d-8d25-5637c3cee1f2</t>
  </si>
  <si>
    <t>2509c783-8486-45be-9b8d-dcb7a4fef6c0</t>
  </si>
  <si>
    <t>6526e731-9b10-4e30-b49f-fcbc2cefc258</t>
  </si>
  <si>
    <t>adafb2de-158e-435c-8a80-521212e1d531</t>
  </si>
  <si>
    <t>10cecbf9-cc17-4e8b-a180-26c303871b44</t>
  </si>
  <si>
    <t>2db438fe-4d22-4283-ad55-8086479d87ea</t>
  </si>
  <si>
    <t>c82b0218-014a-45fb-a892-2048d3f41815</t>
  </si>
  <si>
    <t>6d8a1051-c931-46f0-aa55-e9eaabc972a2</t>
  </si>
  <si>
    <t>34e847fc-3b9a-497d-ad57-06feeb48d486</t>
  </si>
  <si>
    <t>d7f1bf72-ad19-48f6-8bdc-6ece0620ba22</t>
  </si>
  <si>
    <t>98521ff8-e1b3-4fd3-af4c-6514561a6911</t>
  </si>
  <si>
    <t>534e2ac6-3ce0-43e1-a6a4-d3ed7a949e40</t>
  </si>
  <si>
    <t>e5d6859f-56b3-4ab3-ba46-af2d82cecfa1</t>
  </si>
  <si>
    <t>0da9834a-75ca-423d-8d5c-d5f2cd1377a0</t>
  </si>
  <si>
    <t>8e41aaf7-d8fa-4ae0-8647-d8f462154a7f</t>
  </si>
  <si>
    <t>38062f56-79ad-491b-b010-9da8802bcea7</t>
  </si>
  <si>
    <t>2b2ee035-05d1-4a2c-822e-0286cfaea93b</t>
  </si>
  <si>
    <t>cc3436a7-175a-45a1-9099-472fccf5e008</t>
  </si>
  <si>
    <t>ce03a4a5-16b5-46ef-a471-342c114b030e</t>
  </si>
  <si>
    <t>68e314d7-f5ba-45dc-b559-0dfb7ef949fc</t>
  </si>
  <si>
    <t>e41a5659-0502-4b68-a181-62f4d6738f21</t>
  </si>
  <si>
    <t>12524ee5-33c9-4790-9e3a-ea5516f4c885</t>
  </si>
  <si>
    <t>fe81e4b3-641f-4c58-ae17-56be8c5f09b0</t>
  </si>
  <si>
    <t>a0b6b120-882a-44e9-8b18-8e2804ad39f6</t>
  </si>
  <si>
    <t>c3fec5e2-1531-4cf9-a7ba-3ccf087c03f6</t>
  </si>
  <si>
    <t>95a194e3-e342-4709-9fcd-e8704c580cc5</t>
  </si>
  <si>
    <t>e699c425-8b1f-4923-9b6d-583832ff3a62</t>
  </si>
  <si>
    <t>2c510d03-cd4d-41b8-8b6e-7d2805be2f9d</t>
  </si>
  <si>
    <t>a064caf3-f7ff-4bce-b06c-da578efc1284</t>
  </si>
  <si>
    <t>91dd6f61-3925-4ec5-9ca3-984ead9bbfc8</t>
  </si>
  <si>
    <t>278c43ea-238e-4552-b609-4260b497869a</t>
  </si>
  <si>
    <t>baa00e0a-3e2b-4c26-9b9f-b0d346d84a35</t>
  </si>
  <si>
    <t>06b515e3-c0bd-46ac-b369-935c8cf1bd68</t>
  </si>
  <si>
    <t>cf4a808e-2a56-4d2a-8c8a-f7832e3cf440</t>
  </si>
  <si>
    <t>63785161-1228-4066-a108-c3df24289a13</t>
  </si>
  <si>
    <t>594b8a36-c451-49d2-96d1-3e5bc3e2581d</t>
  </si>
  <si>
    <t>91a23468-b3f6-4800-9842-39affe32ee48</t>
  </si>
  <si>
    <t>PASILLO 6</t>
  </si>
  <si>
    <t>e0b38fdf-849a-4b67-9e5d-8f008a7aee89</t>
  </si>
  <si>
    <t>7e5232d6-4b85-49ea-8ba3-3c1ed6ffd800</t>
  </si>
  <si>
    <t>9b36093e-0f1f-497c-b386-c092bb0b70ef</t>
  </si>
  <si>
    <t>270de3b6-f681-4967-85ca-269de8394124</t>
  </si>
  <si>
    <t>904363e6-73ff-48e5-af1d-fee752785b2d</t>
  </si>
  <si>
    <t>9d495f4d-1b93-452b-95f3-859922eb2df5</t>
  </si>
  <si>
    <t>6f0c37b4-8410-46ae-ba1b-cdef258cfa54</t>
  </si>
  <si>
    <t>15745fba-18bb-4e81-9d93-2f70d077382e</t>
  </si>
  <si>
    <t>94614308-9435-4f06-905c-7dac275cbdd2</t>
  </si>
  <si>
    <t>7270dcf2-a870-4295-aad9-4b994523b7aa</t>
  </si>
  <si>
    <t>05de41c7-b172-4f7b-ba77-df14faf6ea52</t>
  </si>
  <si>
    <t>b008b190-b721-4662-ae12-58d33e8a5232</t>
  </si>
  <si>
    <t>1ba15221-c06b-4e25-822b-f7acd528c4b9</t>
  </si>
  <si>
    <t>eaae0ae8-11bf-4bf0-af2e-9c6507627b83</t>
  </si>
  <si>
    <t>13dfccc4-02a0-4488-9528-6b4aa42583c5</t>
  </si>
  <si>
    <t>97e72a59-9ad6-4609-8ab4-1aaa58554b01</t>
  </si>
  <si>
    <t>902548f9-00f0-47b5-b455-49629330643e</t>
  </si>
  <si>
    <t>a6ed7006-db64-479d-9b6e-a4f9ce23b2c3</t>
  </si>
  <si>
    <t>676a8ad8-c459-410d-b98c-a18c999d99e3</t>
  </si>
  <si>
    <t>cde8e24a-d842-45e8-81a0-bf91f5e0e858</t>
  </si>
  <si>
    <t>e8fd3801-9c74-4b71-9e4c-04f5faf288e3</t>
  </si>
  <si>
    <t>0fb7f0c6-16b3-47a1-923e-4a966624402e</t>
  </si>
  <si>
    <t>1981a400-29a2-410b-845a-19dd5c6d1adc</t>
  </si>
  <si>
    <t>678345aa-8f37-416e-b828-3bd6486fc027</t>
  </si>
  <si>
    <t>842df3b2-f183-488c-be15-063ebc63e7c3</t>
  </si>
  <si>
    <t>5fef3822-83c6-47a2-b718-82e8569feb54</t>
  </si>
  <si>
    <t>f2647c5b-f6dc-4b53-80ab-91e3c09d29f9</t>
  </si>
  <si>
    <t>a5edfc80-2583-4cea-aca0-d904f65f7e34</t>
  </si>
  <si>
    <t>b89fa3ba-9d24-45af-b8d8-9e3ab10d1a72</t>
  </si>
  <si>
    <t>edfcddc5-67a3-4ec9-b578-070f62d4fea4</t>
  </si>
  <si>
    <t>678dbfb4-30c4-419e-951c-61fd00b65d50</t>
  </si>
  <si>
    <t>62793a5a-de03-4499-a5b4-f4f282ab39f3</t>
  </si>
  <si>
    <t>9df5470e-a6ef-4eda-add2-6c3891b598ba</t>
  </si>
  <si>
    <t>f1d2eb39-0fdf-4d87-96d7-ea2252a904f7</t>
  </si>
  <si>
    <t>fea73641-252a-4cf9-ad3e-f6ff99c1ee38</t>
  </si>
  <si>
    <t>50d39c37-4c71-47e8-bac9-5b9365964249</t>
  </si>
  <si>
    <t>d5b4551b-855f-4358-934e-e5e87bb4003c</t>
  </si>
  <si>
    <t>def58c4f-eb41-495e-844d-374b7ac9c4e4</t>
  </si>
  <si>
    <t>b414bfbb-9647-46bf-9267-adb994913202</t>
  </si>
  <si>
    <t>6e57e072-414e-4606-86c1-3bb75ad47a63</t>
  </si>
  <si>
    <t>a1343914-b2e8-4274-8d7f-d8005564a442</t>
  </si>
  <si>
    <t>01e9b43b-dcaf-4f40-8320-bd22d9cb70d5</t>
  </si>
  <si>
    <t>d877661d-168e-41c8-adce-cf443c8ac05c</t>
  </si>
  <si>
    <t>34dbedcb-e230-46ba-adee-5af3383c815a</t>
  </si>
  <si>
    <t>1f5c171e-31f7-4e26-a70a-d99225fd1319</t>
  </si>
  <si>
    <t>257fa0a6-f2b3-4d76-8dc6-988e86a711ca</t>
  </si>
  <si>
    <t>5e68a3b8-4f12-4368-afc1-16f766064eae</t>
  </si>
  <si>
    <t>285ce75a-7eac-4fdb-b310-00f6d2ea80d4</t>
  </si>
  <si>
    <t>71e0df80-caad-4f04-8166-c6084a2dd74e</t>
  </si>
  <si>
    <t>c77b12ec-cbfb-4f0a-a27f-a12b73f3c71d</t>
  </si>
  <si>
    <t>b6aa9f63-7e14-402c-88ac-d14f141f009d</t>
  </si>
  <si>
    <t>PASILLO 7</t>
  </si>
  <si>
    <t>995e5720-036d-42e4-86e2-edb8b4d14c80</t>
  </si>
  <si>
    <t>10d953fc-1c86-49e1-ab91-31a5b1ec7c22</t>
  </si>
  <si>
    <t>b6601afc-7773-4cca-b62c-9cebbe8df643</t>
  </si>
  <si>
    <t>df20c326-6307-4494-a0aa-43ff6e2a475b</t>
  </si>
  <si>
    <t>f969bbe5-eb2a-496a-aa23-93cef8995972</t>
  </si>
  <si>
    <t>8ba70364-7739-4f49-b4c6-a8dc769f9c27</t>
  </si>
  <si>
    <t>2a102b1d-58d7-40ab-875f-4c7cbc6c41de</t>
  </si>
  <si>
    <t>5c06daca-6ab3-41a5-952b-159bf7ab8012</t>
  </si>
  <si>
    <t>90a47300-a611-477c-9bec-f63cb4477a04</t>
  </si>
  <si>
    <t>d9f8f839-2f18-4292-8af2-be4b5661f476</t>
  </si>
  <si>
    <t>0704705b-b828-4dc8-916f-8cdba5cd5ab9</t>
  </si>
  <si>
    <t>b5432d23-b31c-47a8-8ae9-8d50638861b3</t>
  </si>
  <si>
    <t>11bf9d82-b49b-4a68-81d1-02ebab49ac88</t>
  </si>
  <si>
    <t>c9de349c-d9b2-46c5-a7bd-64aa2df1b59c</t>
  </si>
  <si>
    <t>96195929-85a7-4256-8527-583df734e49c</t>
  </si>
  <si>
    <t>bb56be3c-6511-4a58-bcf9-f6c21b042e47</t>
  </si>
  <si>
    <t>392ca1a3-99a6-41c5-9f90-cfcc51747565</t>
  </si>
  <si>
    <t>18bd4a05-ca34-47b1-90c4-2553fcc41ee3</t>
  </si>
  <si>
    <t>0d7892b8-9300-40c3-8384-3f34644711cc</t>
  </si>
  <si>
    <t>f11fc19a-5ee5-4c87-8570-573d2e58dd8c</t>
  </si>
  <si>
    <t>1849875f-e8fb-4c1a-a849-5a6c2457f020</t>
  </si>
  <si>
    <t>a510be32-7a75-493c-ae0f-033092198706</t>
  </si>
  <si>
    <t>5acfb4db-9d27-4e7f-aef5-b19764f82340</t>
  </si>
  <si>
    <t>86afc407-8df5-4090-8949-90641feeffbf</t>
  </si>
  <si>
    <t>5f3d7688-e61a-454c-822a-aaba0d421823</t>
  </si>
  <si>
    <t>3515d5f2-5f45-4869-a6ba-b59c697cd8e6</t>
  </si>
  <si>
    <t>2cf0c525-2934-4f86-9f8a-f2e4a7c277e5</t>
  </si>
  <si>
    <t>01ba9d0a-a06e-423c-9110-c8a2b96b2294</t>
  </si>
  <si>
    <t>efcef1a6-540b-4524-b645-617ed6489f10</t>
  </si>
  <si>
    <t>def98c5d-a50d-4871-8994-ba1091a24193</t>
  </si>
  <si>
    <t>5b42493f-2bd8-4c92-8663-1b908d485e7f</t>
  </si>
  <si>
    <t>4dd0f789-4f9d-4450-ae4c-77768e9e6592</t>
  </si>
  <si>
    <t>b53215dc-202e-4134-9bc0-efc19e316e4d</t>
  </si>
  <si>
    <t>a0979642-a708-4b71-a3b4-05b66f31a8e0</t>
  </si>
  <si>
    <t>cbde5c09-5113-45d4-bd51-3c7000af9532</t>
  </si>
  <si>
    <t>5f93029e-a8a6-4ba9-8061-fd19fd428810</t>
  </si>
  <si>
    <t>65a102e2-0e3a-46c5-b0ad-597502d55c75</t>
  </si>
  <si>
    <t>70eb5456-6e25-448f-9c35-133bbe52a010</t>
  </si>
  <si>
    <t>11f9e5f2-d219-4afb-8000-3350f29f6998</t>
  </si>
  <si>
    <t>f41b5a85-5f6c-4587-ae8e-09e2300e8b68</t>
  </si>
  <si>
    <t>683c1231-4097-442c-808b-ce8772683f9e</t>
  </si>
  <si>
    <t>1e1645c7-a443-436b-90c1-42ce2fa5bbe9</t>
  </si>
  <si>
    <t>023dbc2f-3bcd-49de-8058-5814a8a0481d</t>
  </si>
  <si>
    <t>a112c719-4cd9-4e52-bcdb-8b5687c879c9</t>
  </si>
  <si>
    <t>e6d7d365-7268-4bd2-baf6-d4beec88d712</t>
  </si>
  <si>
    <t>b3e4b3a8-a98b-450e-92a4-0fea9ca4f250</t>
  </si>
  <si>
    <t>f31b5990-5b10-4560-b2df-4a9e0b569651</t>
  </si>
  <si>
    <t>5b52eb51-ce90-455e-9519-4c0faa945294</t>
  </si>
  <si>
    <t>a1ae1332-90a4-4b0a-ba5d-469d3d92f0c9</t>
  </si>
  <si>
    <t>f646b98d-c4a2-4dea-b4c6-42ef4cf33a79</t>
  </si>
  <si>
    <t>af7506ef-0ee2-45b9-ade0-60fa65a469cf</t>
  </si>
  <si>
    <t>PASILLO 8</t>
  </si>
  <si>
    <t>79c22d5c-6399-42f1-947d-7d0af556ecf1</t>
  </si>
  <si>
    <t>8b6acc10-8839-4ac3-a752-8362d19ed7c4</t>
  </si>
  <si>
    <t>68bd2679-a163-4845-a1ed-63374b87ca3c</t>
  </si>
  <si>
    <t>988c5cf9-eba6-481b-85a6-bdb1227ba208</t>
  </si>
  <si>
    <t>fbcd15e3-a326-4924-a7ff-f770bf2b3a40</t>
  </si>
  <si>
    <t>276ef6c3-5642-4196-920e-20ae95adac24</t>
  </si>
  <si>
    <t>6b32c31c-405a-40be-a40f-eeba67818e31</t>
  </si>
  <si>
    <t>7ffca60b-5fbb-4222-bdc6-5b4ab498f674</t>
  </si>
  <si>
    <t>25dbf4be-2a10-4456-a415-afbd2a813a86</t>
  </si>
  <si>
    <t>bb36dba3-343e-4e5a-8832-8b47ee4c51a1</t>
  </si>
  <si>
    <t>fd23c160-e2d6-47e9-a051-09216dcc5381</t>
  </si>
  <si>
    <t>ea83f448-d86e-4f18-8dc4-6c813a81dc09</t>
  </si>
  <si>
    <t>a0cbaf08-2416-4b7b-9843-4b447fad2a7d</t>
  </si>
  <si>
    <t>4d5e4e13-d807-4be0-b95b-9bf057464468</t>
  </si>
  <si>
    <t>24aad8b7-edd4-462b-affa-14a9ef5b85c7</t>
  </si>
  <si>
    <t>95b79dc9-2435-43d8-958a-872a8a35fd20</t>
  </si>
  <si>
    <t>8607881e-c7ec-427d-9d41-3591a15014d1</t>
  </si>
  <si>
    <t>d0e7545c-4917-4cf1-9c1c-3403e1781d9d</t>
  </si>
  <si>
    <t>9b1dd1a7-24cb-4541-bde9-76dcd6939b74</t>
  </si>
  <si>
    <t>244dbc73-c021-40ca-934b-8c51a2627866</t>
  </si>
  <si>
    <t>92b1f05d-c879-455b-9037-b7e8d34bcf57</t>
  </si>
  <si>
    <t>766c9a4a-ec61-499c-93f1-ae64b2c99b05</t>
  </si>
  <si>
    <t>ae52852c-d1bd-41ac-b5b8-1dbb4e509212</t>
  </si>
  <si>
    <t>033e3b50-349b-4adc-81f0-20d2c2e9d22c</t>
  </si>
  <si>
    <t>459e1a0c-44cf-4eb7-b5ef-6b3716a380d0</t>
  </si>
  <si>
    <t>8abb43a2-3dd8-465d-b3de-94d63fe76d0a</t>
  </si>
  <si>
    <t>ebf43fce-eaf0-452a-8ad8-6d619b0830f3</t>
  </si>
  <si>
    <t>a75fa1ae-ecec-4078-9ca0-1233d2cd5a58</t>
  </si>
  <si>
    <t>fc78afdb-fd3f-4358-a14b-21154acf069b</t>
  </si>
  <si>
    <t>8f0f74d5-6b31-48d8-88c0-f47ce0c946b6</t>
  </si>
  <si>
    <t>9e06873d-bc38-4e8e-b96c-4eafb4f77a51</t>
  </si>
  <si>
    <t>c366d52e-3dab-42bc-894c-825c9066aab1</t>
  </si>
  <si>
    <t>c6515340-648e-47b2-9685-9f272cf16cde</t>
  </si>
  <si>
    <t>798799b2-42b0-4f21-8fc4-39b49f95812e</t>
  </si>
  <si>
    <t>313e2da6-aad3-42d5-b80b-fd8050bf7160</t>
  </si>
  <si>
    <t>8e195b77-c1a2-4e13-81f1-3977d34529c8</t>
  </si>
  <si>
    <t>b926f370-c145-4bdb-8e15-099ed551a9e7</t>
  </si>
  <si>
    <t>7a1f4b31-61a8-41ae-8869-b34c0eabf541</t>
  </si>
  <si>
    <t>2f1864c7-5f3b-4d9d-bc32-756c117d11c8</t>
  </si>
  <si>
    <t>43a2ea58-c5c4-4af5-a28d-9d1ae72cbd85</t>
  </si>
  <si>
    <t>d8f060ef-a52b-4b96-b924-13d543140d06</t>
  </si>
  <si>
    <t>70eeebae-d899-48d9-8922-49ad658250bc</t>
  </si>
  <si>
    <t>c1d78758-fa8b-4dda-b19c-8c7dbecca1b2</t>
  </si>
  <si>
    <t>9e2c5966-a223-483a-bf55-a5a7fe87e2b8</t>
  </si>
  <si>
    <t>0b09dcbd-4efb-4b6a-84a1-5bebf601d6ae</t>
  </si>
  <si>
    <t>134712e4-d032-4514-b97c-1a972863da0b</t>
  </si>
  <si>
    <t>c0402a3c-5c10-4055-9b88-c8be92bc9e16</t>
  </si>
  <si>
    <t>d32f79ec-cce6-40ae-a682-26df3adf8150</t>
  </si>
  <si>
    <t>6ba909bb-b83e-4fa6-bd0b-9ffe7df708cd</t>
  </si>
  <si>
    <t>13187beb-3100-4595-a311-415cfb5cc93d</t>
  </si>
  <si>
    <t>c7ccebe7-9039-4adf-8b37-782c1bfd620b</t>
  </si>
  <si>
    <t>e0747885-1d6d-4c9c-bce4-3a062d0317ed</t>
  </si>
  <si>
    <t>PASILLO 9</t>
  </si>
  <si>
    <t>456f06c3-87df-4ee0-a896-a942b7282ce4</t>
  </si>
  <si>
    <t>868a89b4-1f36-4dff-b1fa-93723e1ebd50</t>
  </si>
  <si>
    <t>be8f3bfb-02fa-4529-a9ef-9cad92dfe711</t>
  </si>
  <si>
    <t>7cbbf600-ac19-495f-9e82-f1cac4a9ba03</t>
  </si>
  <si>
    <t>6a76ff17-b77b-4934-a0c7-10dbc6e9cf91</t>
  </si>
  <si>
    <t>830db0db-b074-4a19-b689-2de399251f26</t>
  </si>
  <si>
    <t>6c677d5b-1159-4dcd-b5d4-65eff0ed20fb</t>
  </si>
  <si>
    <t>0010dd40-00b0-493d-9fa0-96115563ec46</t>
  </si>
  <si>
    <t>70e2162a-abea-4971-a440-cb61ade9c4f2</t>
  </si>
  <si>
    <t>5c79bc89-d99b-45c0-8e28-627a483abc8b</t>
  </si>
  <si>
    <t>5ca7c9ae-6807-4b2e-93b7-4801bce61b5a</t>
  </si>
  <si>
    <t>2c12adb7-711e-4157-8f1f-6fcd5b0003bb</t>
  </si>
  <si>
    <t>49a26b60-02fe-4054-b152-b5ff5d738ed5</t>
  </si>
  <si>
    <t>da02e8c7-d569-4092-a746-804fc23e76cf</t>
  </si>
  <si>
    <t>96801a4c-9212-49bd-a312-bc1592d4ea8e</t>
  </si>
  <si>
    <t>166d046a-f2af-45d7-9f6e-72d155e486c4</t>
  </si>
  <si>
    <t>10ea5163-4131-45f6-a364-84cbe8bc3128</t>
  </si>
  <si>
    <t>88ce4092-09ea-40a5-8d5d-7202ae0be3b5</t>
  </si>
  <si>
    <t>d162514d-0144-480b-9195-834d2c60d4a6</t>
  </si>
  <si>
    <t>36cd721d-322f-4a78-9a79-600664158bc7</t>
  </si>
  <si>
    <t>306cd4c8-f55e-48a4-9f3b-7f61822b2956</t>
  </si>
  <si>
    <t>80d68adb-7a81-41ac-acc3-f2f014b188fd</t>
  </si>
  <si>
    <t>8251762e-e236-4fba-8e05-f84c76dd0e06</t>
  </si>
  <si>
    <t>2fa1b702-7e42-47c3-a40b-d9a98f87427a</t>
  </si>
  <si>
    <t>60b74fa7-d9e0-40e4-a613-e13906a33d27</t>
  </si>
  <si>
    <t>dfb829c4-34fa-4cf8-8d58-2ffbc949b9c0</t>
  </si>
  <si>
    <t>91531e7c-5599-41b1-9ba7-33b44f161501</t>
  </si>
  <si>
    <t>535ae4d4-1cab-41bb-be96-1572e0e0d539</t>
  </si>
  <si>
    <t>096fd298-212e-4fd7-9360-b2b41a91ccc1</t>
  </si>
  <si>
    <t>9caf21c7-4db1-49ed-ac1e-8ae3c847d8f7</t>
  </si>
  <si>
    <t>88ddd780-c279-4944-b7b5-ac7fcc2b3773</t>
  </si>
  <si>
    <t>4024086e-8f41-4148-83ff-42672eabce7a</t>
  </si>
  <si>
    <t>afd42ea3-85e4-4199-a87c-3bb71d01e92e</t>
  </si>
  <si>
    <t>17a2ebdd-aab6-4884-ad89-225435e6cbe1</t>
  </si>
  <si>
    <t>0e9fa4e5-23b7-40c2-a9d5-657037147282</t>
  </si>
  <si>
    <t>b70c7cd7-15a1-4e1f-a840-ec34acd652dd</t>
  </si>
  <si>
    <t>16b61912-0e93-4ef3-813d-f8f671a53531</t>
  </si>
  <si>
    <t>83fca926-6201-496d-a16b-9b780d3dcba3</t>
  </si>
  <si>
    <t>82a4ebf6-a65b-4eae-8e9f-f16d1c9c6df7</t>
  </si>
  <si>
    <t>d433d594-4bf3-4a6f-bdc9-695a750f6cac</t>
  </si>
  <si>
    <t>5d6fca03-4c66-4116-b683-0c46ba5b9f1c</t>
  </si>
  <si>
    <t>e52bb4ed-f186-4523-b01a-a57b95e95948</t>
  </si>
  <si>
    <t>975c228d-2872-469f-bfd4-2dd74718cc2f</t>
  </si>
  <si>
    <t>211f7918-4744-41b3-8727-efe908405c5c</t>
  </si>
  <si>
    <t>83f1ebbf-f15f-4d4e-9f28-ca575e84a126</t>
  </si>
  <si>
    <t>489a01ce-7183-468c-801a-4c80fd1183a7</t>
  </si>
  <si>
    <t>9ff4ed9a-0258-4bad-beac-23e47639867c</t>
  </si>
  <si>
    <t>9cbbc921-a06b-4619-a499-152786439415</t>
  </si>
  <si>
    <t>2919555f-07c7-4cd9-8b92-36b1a25ba991</t>
  </si>
  <si>
    <t>d1d20686-909f-48b9-8333-a3af2d14e1f7</t>
  </si>
  <si>
    <t>ea736b32-2e6f-4a45-8b54-a9b7360b2bc6</t>
  </si>
  <si>
    <t>PASILLO 10</t>
  </si>
  <si>
    <t>5b491703-5c88-4551-a639-fc88b412dee6</t>
  </si>
  <si>
    <t>ef70fe81-6f8b-42f8-8f15-c286ddb64fec</t>
  </si>
  <si>
    <t>e9b99ee9-ac48-4c4a-b9c9-5675323ca6f5</t>
  </si>
  <si>
    <t>7005569b-de2f-4acb-98e8-2ff91a4f9f6f</t>
  </si>
  <si>
    <t>5f79be98-c7a7-45aa-9014-c40cd88f970d</t>
  </si>
  <si>
    <t>9a58c04e-a428-4814-9f46-9318c67bf3a4</t>
  </si>
  <si>
    <t>36ac7d76-7f67-467d-b8e6-f03913248fcd</t>
  </si>
  <si>
    <t>a6f17c1a-d7ae-451f-b484-054ac01240fb</t>
  </si>
  <si>
    <t>e7098efc-ee98-4e47-8623-e5136a73dc65</t>
  </si>
  <si>
    <t>1d4dc074-a1d1-41e2-997e-0bb80564a943</t>
  </si>
  <si>
    <t>f57899a5-3236-43c7-92e4-f930dc288b3c</t>
  </si>
  <si>
    <t>2ecfa061-af57-4923-a15e-0c81ec5274e3</t>
  </si>
  <si>
    <t>218a6b84-cd24-4de5-accd-9ae498f71e98</t>
  </si>
  <si>
    <t>2fbb294b-26dc-457a-9e14-ec6f4e10ca4b</t>
  </si>
  <si>
    <t>10ee1695-8b0d-4ac7-8ca2-86c0dce1af2d</t>
  </si>
  <si>
    <t>64b1f0ce-98a5-49c3-a6ca-bd948ac2937a</t>
  </si>
  <si>
    <t>19a7b487-116b-4d19-8cec-b5ef62558596</t>
  </si>
  <si>
    <t>9cec5ceb-170b-4a55-aba6-5110a1ed40ef</t>
  </si>
  <si>
    <t>c24c322e-9622-4f00-80ae-4a22e119987b</t>
  </si>
  <si>
    <t>5723257c-0d86-462b-96ec-fa5c9b22962e</t>
  </si>
  <si>
    <t>22533c60-50aa-4786-bb9e-ac15bdb49290</t>
  </si>
  <si>
    <t>64b6564b-434c-458c-b0e7-211655c903c0</t>
  </si>
  <si>
    <t>72d9558f-3216-4426-913f-9f8b2fbb7326</t>
  </si>
  <si>
    <t>ea8aec92-3fe9-4a69-bcef-10d3e3cba1e8</t>
  </si>
  <si>
    <t>05059ad2-6f2e-4690-8730-8a66e1659994</t>
  </si>
  <si>
    <t>55a6fef4-0c11-4d47-8b24-f0d47af0374b</t>
  </si>
  <si>
    <t>9da1cb45-11ba-44e7-a5c7-79705744e6dd</t>
  </si>
  <si>
    <t>11306831-cef3-44fa-9f19-6bc9062c3a98</t>
  </si>
  <si>
    <t>50b3b266-6ce6-4b0c-b03a-d3cafee99f55</t>
  </si>
  <si>
    <t>9591f59b-c6fe-4d50-80c4-029dfc6eeb78</t>
  </si>
  <si>
    <t>973e1e62-d059-423d-a2d6-be21855f0b27</t>
  </si>
  <si>
    <t>cb9fb461-0f87-45f2-a0d4-fbf12f3dc278</t>
  </si>
  <si>
    <t>5b63a99e-52f4-4822-a2e0-8bab2b5950ad</t>
  </si>
  <si>
    <t>329eeb2e-90df-4a88-b750-7ac9f5e6f2e0</t>
  </si>
  <si>
    <t>44eda708-2265-4138-9e61-29f6be1ca7a6</t>
  </si>
  <si>
    <t>944eb38c-ccdd-4e62-a4fb-b82b703383e2</t>
  </si>
  <si>
    <t>c714b509-e326-488c-ab4a-07c6f20608ca</t>
  </si>
  <si>
    <t>ab545830-a131-4bfc-a3a6-e7fab4ad0eea</t>
  </si>
  <si>
    <t>71ae2d52-31db-48ce-af03-d078aba5de06</t>
  </si>
  <si>
    <t>0eba1ad8-f569-4635-87a0-9467aa045f25</t>
  </si>
  <si>
    <t>f03bd2e5-49f3-4670-a6d2-6ff99c8aeaad</t>
  </si>
  <si>
    <t>a8f268bf-51a1-4ad1-8598-11b31221f461</t>
  </si>
  <si>
    <t>e4124778-383d-4924-9efa-0855466e5260</t>
  </si>
  <si>
    <t>7faecf47-0de5-42b9-ba37-d066d40188f5</t>
  </si>
  <si>
    <t>bb7e3541-663c-413b-be36-7cec5448102c</t>
  </si>
  <si>
    <t>91f005c8-354b-4005-8273-7e20ba783408</t>
  </si>
  <si>
    <t>55cca465-4311-4eea-a1af-87bbb1fabf92</t>
  </si>
  <si>
    <t>13c5b739-53b7-4ec4-ad0e-905b60f70d00</t>
  </si>
  <si>
    <t>0af5902c-f522-41c8-a4b7-2cbcdf47b40b</t>
  </si>
  <si>
    <t>8548707f-da0d-47f9-ad73-82bbf8dfe62d</t>
  </si>
  <si>
    <t>67d8949f-95a6-4b2d-a770-b8485d362152</t>
  </si>
  <si>
    <t>PASILLO 11</t>
  </si>
  <si>
    <t>88d803f5-f171-401f-84f8-24836b7ca270</t>
  </si>
  <si>
    <t>38911eca-a495-4700-b3fa-7d9f27e94ee6</t>
  </si>
  <si>
    <t>bb1bd352-2aca-4941-b621-ea1da46bc760</t>
  </si>
  <si>
    <t>869a6eec-ef9b-4227-aa4b-a242407c5b30</t>
  </si>
  <si>
    <t>cc3a0304-1a69-483e-a074-b3a4e5cbe608</t>
  </si>
  <si>
    <t>33179b58-15f7-4b3a-82cb-d63fcb82b762</t>
  </si>
  <si>
    <t>2fea37cd-eeb3-43eb-9fa0-fe49f16b305f</t>
  </si>
  <si>
    <t>59a3e0df-5b6e-434f-a2c5-cdcc1f7fb1d6</t>
  </si>
  <si>
    <t>671add00-d6f5-499f-afe9-83ec8f1c65e2</t>
  </si>
  <si>
    <t>88fc293d-1a8c-4779-aeb1-bacb49785c9f</t>
  </si>
  <si>
    <t>88532c3d-42f1-45d4-8a96-c98f77a82303</t>
  </si>
  <si>
    <t>4a04ef86-566b-4e4b-8b27-ebc7318c5d19</t>
  </si>
  <si>
    <t>90e1acd4-3d66-4c2a-aa74-b9138998d0f9</t>
  </si>
  <si>
    <t>598cdc5c-e115-4fcf-9288-ae64fd77f53b</t>
  </si>
  <si>
    <t>5d1056a5-21df-444f-8cd7-350e7146139a</t>
  </si>
  <si>
    <t>ae780d2e-b272-43fd-919a-d40d1b36e871</t>
  </si>
  <si>
    <t>a60687a1-bc46-43ec-af70-67d70ada2b88</t>
  </si>
  <si>
    <t>64c66352-8295-49ea-ac92-43f9a96e5523</t>
  </si>
  <si>
    <t>9c6c0685-2746-403b-b27b-6e03421e3428</t>
  </si>
  <si>
    <t>0821ece1-d268-4309-ad41-4f062c2502e1</t>
  </si>
  <si>
    <t>fdd72650-df97-45ff-a8c8-1bb5f19997e6</t>
  </si>
  <si>
    <t>f9f76336-4c0c-4c39-b720-b611942cc658</t>
  </si>
  <si>
    <t>b8cd0d7b-7dbe-492d-9267-3cc0d511c6d7</t>
  </si>
  <si>
    <t>7b76086f-ec3b-4978-a65d-c2856647db28</t>
  </si>
  <si>
    <t>059c8ccb-7c50-41ef-8299-6efb8640f0cc</t>
  </si>
  <si>
    <t>ac45f286-9f30-4aaa-a7f8-7c4c77ba058f</t>
  </si>
  <si>
    <t>c08628aa-80d7-4ba5-a0bf-8834b84fc9e3</t>
  </si>
  <si>
    <t>ac34261c-9e90-43b4-bf45-7c157d67bfee</t>
  </si>
  <si>
    <t>c121164b-d43c-4984-bd78-da1c36e4e358</t>
  </si>
  <si>
    <t>ebf73731-4c10-413d-8b92-1a601040001f</t>
  </si>
  <si>
    <t>dcb67b99-a0ab-44df-879a-aa437138d4da</t>
  </si>
  <si>
    <t>30210e89-8825-478f-806a-cf1abb2a4f46</t>
  </si>
  <si>
    <t>65173605-8e54-4fe4-94ec-29a69ed068e7</t>
  </si>
  <si>
    <t>acb20ec8-eb38-42a6-a5c3-138a3c567b16</t>
  </si>
  <si>
    <t>bde1f763-fc73-408c-b772-55d412451d09</t>
  </si>
  <si>
    <t>e300ddef-2d18-4f7b-9e37-e90ce0d8bfdd</t>
  </si>
  <si>
    <t>a3dd8907-9497-441d-a75f-c291e6a82631</t>
  </si>
  <si>
    <t>07326f9e-5375-4896-aee4-f6054cb806c3</t>
  </si>
  <si>
    <t>eb8533d5-6994-4541-a49b-7883e415039f</t>
  </si>
  <si>
    <t>3ce1c5d0-2a27-4e2f-b02f-7ca4315b359b</t>
  </si>
  <si>
    <t>45596df5-2fd7-4cef-a374-673dd674a6c7</t>
  </si>
  <si>
    <t>13490b43-4209-4aa0-90e2-905487556cc3</t>
  </si>
  <si>
    <t>e5548396-5051-42a4-98cd-c19852631d28</t>
  </si>
  <si>
    <t>ba518727-f293-494c-b446-1d935b1ff183</t>
  </si>
  <si>
    <t>321ad4d3-aaa1-4c23-972b-9b8b23283e7e</t>
  </si>
  <si>
    <t>4bece7a8-4d75-4c54-81de-f8e385976731</t>
  </si>
  <si>
    <t>98c3952d-00d8-4a0b-b1da-dbdd53677e70</t>
  </si>
  <si>
    <t>558a8e7e-4fde-4c9e-80c3-156ce0d27a30</t>
  </si>
  <si>
    <t>8e053138-d810-4ad6-9269-0792ca53980b</t>
  </si>
  <si>
    <t>cd652eaa-e6d1-44fd-8703-44a46373a399</t>
  </si>
  <si>
    <t>5e8ccbf0-fe55-4753-8f72-e1c9dcd707e6</t>
  </si>
  <si>
    <t>1a65118a-72db-4992-9368-ed878969284e</t>
  </si>
  <si>
    <t>PASILLO 12</t>
  </si>
  <si>
    <t>48e90db6-69c4-4c12-babe-ca51ed0414f6</t>
  </si>
  <si>
    <t>de98db5e-052a-4649-b695-84a3fe4ecd1b</t>
  </si>
  <si>
    <t>ed7147ce-0a69-4d61-aa57-dc7af8c5eedd</t>
  </si>
  <si>
    <t>19cbabaa-6cd1-427e-8b27-3ccd34e4c398</t>
  </si>
  <si>
    <t>de396ebc-c009-4346-bb21-d57005ba0e70</t>
  </si>
  <si>
    <t>7a9a9754-881d-42e1-983c-b50960c16bbe</t>
  </si>
  <si>
    <t>1f56c09e-fb78-492f-8e41-0aec3ff9b8a0</t>
  </si>
  <si>
    <t>def691fd-c40d-415c-98c0-f11364afc752</t>
  </si>
  <si>
    <t>fb92120f-3c02-4fa8-9bf9-413755e0c831</t>
  </si>
  <si>
    <t>e291be68-d4ae-4776-8a79-f0ddb928049d</t>
  </si>
  <si>
    <t>8a06921d-a49f-4560-94fe-35be8f6ab310</t>
  </si>
  <si>
    <t>ab41e5a0-9a5d-40e4-a5af-88f1871571d4</t>
  </si>
  <si>
    <t>09f81123-1833-42ce-a087-9fd06626305f</t>
  </si>
  <si>
    <t>2d6417d4-d18e-4945-aa92-3476b5a51d65</t>
  </si>
  <si>
    <t>89afcb14-cf0c-49e6-ae3e-ef53854895db</t>
  </si>
  <si>
    <t>1a78b86e-fe59-4310-9494-cc2967ff8a17</t>
  </si>
  <si>
    <t>f1457dcf-12c6-479b-aa83-957bbad3662a</t>
  </si>
  <si>
    <t>07ba3e83-5ae4-48d8-b6a7-2e0bfe127453</t>
  </si>
  <si>
    <t>a988eba5-bea0-4333-ae68-ae5e93e0c9e3</t>
  </si>
  <si>
    <t>f030ca87-ed8d-4869-8315-251e52d91081</t>
  </si>
  <si>
    <t>cf42a0e1-ee40-437a-9936-7b09bb7f6f60</t>
  </si>
  <si>
    <t>71fd5d78-c079-46d8-aedf-1c420f18d3e6</t>
  </si>
  <si>
    <t>7a960006-7423-4d73-a43b-4147d3497c75</t>
  </si>
  <si>
    <t>8330bb4a-b923-4716-813a-90e56328802c</t>
  </si>
  <si>
    <t>2fa9de48-fc29-42ac-86b6-9f67cccf4223</t>
  </si>
  <si>
    <t>6ccb5f14-494f-4cc3-817b-21d17cc2b429</t>
  </si>
  <si>
    <t>5572f753-4bf0-42e9-ab88-0ac5cce0cc18</t>
  </si>
  <si>
    <t>e7f25d37-4ebf-4f49-9826-477cbe51e5c1</t>
  </si>
  <si>
    <t>726475f4-e7da-47a8-90cb-aa2b3762dd3c</t>
  </si>
  <si>
    <t>9d3d352a-4140-4d42-8ba4-37d0e9470032</t>
  </si>
  <si>
    <t>34351827-3815-4458-b353-c8cfc72efe42</t>
  </si>
  <si>
    <t>791baca2-b766-4e21-96a1-8b109765a24a</t>
  </si>
  <si>
    <t>762381e0-f87e-4f77-87cd-aee2378723d2</t>
  </si>
  <si>
    <t>5193f8ca-609b-490f-8e4e-f8083c1520ea</t>
  </si>
  <si>
    <t>43cbd39c-450c-4156-94ae-c6045c2793e7</t>
  </si>
  <si>
    <t>028c92aa-bece-4956-b9c0-3f901e94376d</t>
  </si>
  <si>
    <t>57665137-5ecd-4143-92c1-74fa80ba0706</t>
  </si>
  <si>
    <t>0addc55b-9b22-4db8-82b5-c318bed80aae</t>
  </si>
  <si>
    <t>5fdf9027-8401-431e-a248-689307a4f70d</t>
  </si>
  <si>
    <t>dea68024-ef70-4178-a571-60d76d74cbbf</t>
  </si>
  <si>
    <t>5b0bd27d-d98d-4050-9f38-227925148451</t>
  </si>
  <si>
    <t>b429ee9d-7a79-4979-9ceb-cf367ac2992e</t>
  </si>
  <si>
    <t>ecd33bd4-5242-4ded-a271-4f0f1c92903b</t>
  </si>
  <si>
    <t>1357b20b-808a-46b8-97f5-ccfd63c752fc</t>
  </si>
  <si>
    <t>a531f61b-c210-4c83-8c40-68ce2fbf8fa2</t>
  </si>
  <si>
    <t>b845474f-133a-44c6-a040-1e4290456424</t>
  </si>
  <si>
    <t>238e4083-2a1d-4a40-a3d9-8be99d7a097a</t>
  </si>
  <si>
    <t>28ed5f87-c3d6-4ce4-9e6f-6a4e4405dc05</t>
  </si>
  <si>
    <t>6b234d64-c1b1-4619-881f-1103809f59b0</t>
  </si>
  <si>
    <t>92a9d03e-87d9-43e9-b2f8-cd69f2072f7a</t>
  </si>
  <si>
    <t>1606c8db-e45d-45de-8980-44e7a942e9a0</t>
  </si>
  <si>
    <t>PASILLO 13</t>
  </si>
  <si>
    <t>75b24609-5086-45f4-91c9-4b7b5a717009</t>
  </si>
  <si>
    <t>a161558a-4bd2-40dd-af24-97a875054849</t>
  </si>
  <si>
    <t>96ec2d6b-f396-426c-a997-028913a78197</t>
  </si>
  <si>
    <t>5dbb7c12-8fda-42f5-959b-bfb3fa98e236</t>
  </si>
  <si>
    <t>02c02253-08d5-4c57-a29d-ba0b04a8328d</t>
  </si>
  <si>
    <t>992e748e-8c08-4738-a695-b32e8e89f7ef</t>
  </si>
  <si>
    <t>9b532029-d140-4cae-a1eb-40e2e9d56dd3</t>
  </si>
  <si>
    <t>d22efabb-37fd-4102-b0af-1fc5d27e3cf8</t>
  </si>
  <si>
    <t>5a793662-987a-43e4-8187-6350aa659a10</t>
  </si>
  <si>
    <t>04c73512-cbb1-452a-9832-eb23e3cfec35</t>
  </si>
  <si>
    <t>36aeb479-8039-4317-b4d6-740cc27d731f</t>
  </si>
  <si>
    <t>e4c18b1f-46b9-4bc1-84e2-62c1989274ec</t>
  </si>
  <si>
    <t>f903c127-2360-4aeb-9201-bc535e5e94e4</t>
  </si>
  <si>
    <t>dad87d81-7e4d-400a-9050-fffa44a26a4a</t>
  </si>
  <si>
    <t>6eddb74a-8fc0-4ca8-8669-e355b70e0677</t>
  </si>
  <si>
    <t>da791656-954a-42ec-8b39-47c759fa3ba0</t>
  </si>
  <si>
    <t>c67f91ff-dd03-4276-83cf-d75a7224c89c</t>
  </si>
  <si>
    <t>405413c4-1d05-4aa1-828d-06988f7ef074</t>
  </si>
  <si>
    <t>a5451075-7360-424c-8866-232f1c8591f9</t>
  </si>
  <si>
    <t>903fa6da-81e1-4dff-8f4e-e12709ac8953</t>
  </si>
  <si>
    <t>93b3b218-c0df-4642-856e-b6e5ebf5fa91</t>
  </si>
  <si>
    <t>85770c80-65c4-4acb-b7cf-0038b7d50761</t>
  </si>
  <si>
    <t>68c5d039-27ee-487a-be58-a46c656d8636</t>
  </si>
  <si>
    <t>df3eee31-1805-4a62-b469-fcec88aafe17</t>
  </si>
  <si>
    <t>a2144665-eb2c-4e04-81ba-553be7decb8b</t>
  </si>
  <si>
    <t>c1e256ac-222c-41be-8bbb-89c8d7c36398</t>
  </si>
  <si>
    <t>bcbe4b53-a9c1-4e0c-98c6-46f779898af7</t>
  </si>
  <si>
    <t>3b324dd7-ccca-4785-9a53-014614c1ddca</t>
  </si>
  <si>
    <t>7d74f575-2603-497a-a6c4-6578450af645</t>
  </si>
  <si>
    <t>271de2ac-d77e-4899-9b8a-a5fac3698c70</t>
  </si>
  <si>
    <t>48048318-d5e8-466b-9c81-2e66eac54ab1</t>
  </si>
  <si>
    <t>0accb405-1e62-40f6-b24f-399a65076528</t>
  </si>
  <si>
    <t>b2ab0dd9-ef83-4913-beec-b77779086f22</t>
  </si>
  <si>
    <t>47048eee-94b5-47c9-96bf-59195a68c27a</t>
  </si>
  <si>
    <t>06335c2e-71f5-4c5b-8e68-3c9eca5ef7f3</t>
  </si>
  <si>
    <t>483221e9-9c09-4ca1-b470-89b88f6e4729</t>
  </si>
  <si>
    <t>1e24117a-a60b-4266-974e-f267f6b29e53</t>
  </si>
  <si>
    <t>10ab7fec-3cd4-4af6-8113-616878684cb3</t>
  </si>
  <si>
    <t>f4dc80f0-d96e-464a-b75a-8a432587fc42</t>
  </si>
  <si>
    <t>d71b7bdd-292d-4196-aea6-290e358461c0</t>
  </si>
  <si>
    <t>57f96e67-7cb9-495e-b6a8-4c7fcd621189</t>
  </si>
  <si>
    <t>18cf0bd1-0a2b-452d-ae20-f6250a6323f8</t>
  </si>
  <si>
    <t>6e2dc8f2-7fa2-413a-8a30-934f0630e469</t>
  </si>
  <si>
    <t>415f94fb-9d21-4d98-a170-a915b3f2f1d3</t>
  </si>
  <si>
    <t>1cafdd07-7dbf-454a-b3bc-02bae67d7aa1</t>
  </si>
  <si>
    <t>98a77f8d-d340-483f-8a2d-1eecf451cd1e</t>
  </si>
  <si>
    <t>232707e9-b809-452d-a058-0e8b1eaf689b</t>
  </si>
  <si>
    <t>54746ff9-8fa5-4817-bafb-545cf58f30d6</t>
  </si>
  <si>
    <t>b5fb3d77-504c-4f0e-be9f-7a393cf8ec7d</t>
  </si>
  <si>
    <t>254455d3-18b3-4203-a349-0731b632e4b6</t>
  </si>
  <si>
    <t>168be5c3-59c8-4da0-91cf-ae4eff4dd8c1</t>
  </si>
  <si>
    <t>PASILLO 15</t>
  </si>
  <si>
    <t>4aa954cd-142e-41bc-990a-d92526b07ba5</t>
  </si>
  <si>
    <t>8b8ab5d2-4bf2-43f7-b82e-382edfcc891e</t>
  </si>
  <si>
    <t>fa339b0b-8482-4b16-b329-dfa737042615</t>
  </si>
  <si>
    <t>e75fb47e-a1ed-4720-a056-e81a56852c88</t>
  </si>
  <si>
    <t>b7df1f08-4aa0-4582-9848-1e9428783ca1</t>
  </si>
  <si>
    <t>bbc99137-1c0b-4bda-b551-22beda5887a0</t>
  </si>
  <si>
    <t>1a022713-d42f-4317-81cb-d7af753fd368</t>
  </si>
  <si>
    <t>5d3fd2ae-0057-4df9-b3d2-4e46eaa827d8</t>
  </si>
  <si>
    <t>3fcf0bd2-d25d-4401-8752-39de9039ba1e</t>
  </si>
  <si>
    <t>73a56a59-3063-4f15-98bd-795576f0ff82</t>
  </si>
  <si>
    <t>02c5ea91-7c02-48e6-959a-ce77fe4a111a</t>
  </si>
  <si>
    <t>414493bd-9001-4f4c-a417-9e2ff040028f</t>
  </si>
  <si>
    <t>ad1d649d-c73a-4d55-8989-94ecc1e08a2c</t>
  </si>
  <si>
    <t>98a3cc83-126a-4882-98d6-d153545e3f12</t>
  </si>
  <si>
    <t>b53d219d-39a1-4cf7-83e9-95782f249e10</t>
  </si>
  <si>
    <t>b4768b25-5dea-41c6-b59f-bcde0ce940f4</t>
  </si>
  <si>
    <t>83605904-21ff-4d72-aadd-9d4c9550b414</t>
  </si>
  <si>
    <t>e2d521e2-e831-4065-9ef2-19b1f9316813</t>
  </si>
  <si>
    <t>5efeeaa7-dda1-4468-97a2-b7d6e188e074</t>
  </si>
  <si>
    <t>781be321-37e9-49f2-80e5-7601843ac2b8</t>
  </si>
  <si>
    <t>0a931ab0-1048-4d91-bba7-a642b486bbe4</t>
  </si>
  <si>
    <t>208036df-9d56-4621-ba91-36d9fc3cf966</t>
  </si>
  <si>
    <t>395eaf16-f578-4022-886e-cc0821fffa34</t>
  </si>
  <si>
    <t>a3229862-223b-4003-8f49-878eb0b9e169</t>
  </si>
  <si>
    <t>fb320144-8944-459c-8d3d-d9ba7606321f</t>
  </si>
  <si>
    <t>59560b64-817a-47f9-b5ff-25ad132d1796</t>
  </si>
  <si>
    <t>84d9fa4d-62fe-4e2f-b0ca-f8acab002b13</t>
  </si>
  <si>
    <t>392ac09e-318c-49e1-bf4d-8cd8272087ab</t>
  </si>
  <si>
    <t>6c02377d-f9bc-4e3b-a177-aeecc18bf148</t>
  </si>
  <si>
    <t>05e3f501-6836-45ac-be93-51d18b0836de</t>
  </si>
  <si>
    <t>d904353b-0f94-4c4d-83fb-77ba90117569</t>
  </si>
  <si>
    <t>091346cc-3688-445d-b637-38d12c8b4290</t>
  </si>
  <si>
    <t>39ec8e5d-4bc0-4be5-a16f-e9fce1f8d627</t>
  </si>
  <si>
    <t>bb60c4eb-d090-41f2-bb3a-48a332ba9970</t>
  </si>
  <si>
    <t>b2d4ee27-963b-4769-92c6-3adcce0faff9</t>
  </si>
  <si>
    <t>34ef2f56-f2c7-4931-a8cb-0fef5f56d41d</t>
  </si>
  <si>
    <t>0e994abf-42b4-438a-8425-11f3abc2d882</t>
  </si>
  <si>
    <t>7a185125-338f-4b55-a7e1-ff56a5be3b11</t>
  </si>
  <si>
    <t>2250a567-9645-433a-8f6c-cd83f958f385</t>
  </si>
  <si>
    <t>fc4238aa-3601-4ba9-a824-16f0234423ab</t>
  </si>
  <si>
    <t>99cad7c0-1c16-4362-9e03-f55f3342a1e0</t>
  </si>
  <si>
    <t>a5b0aa0b-9db5-495a-943d-18173a93fe70</t>
  </si>
  <si>
    <t>71658c5a-1c1e-4635-807c-78f1e8a97be7</t>
  </si>
  <si>
    <t>7111047f-9214-4ce2-af1c-43a58d0b329c</t>
  </si>
  <si>
    <t>2de4496c-3d66-4c88-9dc4-b85ba06a6ee3</t>
  </si>
  <si>
    <t>08bd0a96-e064-4524-973d-62080df460c2</t>
  </si>
  <si>
    <t>9dbc38f0-0961-4b01-bd6a-8b80c8602fa1</t>
  </si>
  <si>
    <t>ef5be5db-98d1-450e-98ac-17556b3aa613</t>
  </si>
  <si>
    <t>4571843c-c2e1-4f8d-9276-e58b1b4d9ada</t>
  </si>
  <si>
    <t>3816dcd4-26f1-45fa-817a-c38ef379497d</t>
  </si>
  <si>
    <t>dfdb42a1-e5fc-4c25-a2e2-6dbffac7e35f</t>
  </si>
  <si>
    <t>PASILLO 16</t>
  </si>
  <si>
    <t>dd61f620-0d3c-49cd-92ac-3f8de9e8ba50</t>
  </si>
  <si>
    <t>835688b1-965f-4eac-9a13-76dd47fe037f</t>
  </si>
  <si>
    <t>80752337-8c51-4477-bce1-513d1286a7b6</t>
  </si>
  <si>
    <t>58798fea-ff77-4093-9966-5af03d862dbb</t>
  </si>
  <si>
    <t>4ef9fd0f-df51-4d92-9795-44e65455ea63</t>
  </si>
  <si>
    <t>80077f56-82a9-40e1-9ebf-6bcc16cd85c9</t>
  </si>
  <si>
    <t>b75fec3f-3334-4c4c-919b-082231a3028b</t>
  </si>
  <si>
    <t>988f1dc6-7804-4801-9d26-f200993528f8</t>
  </si>
  <si>
    <t>fe2a712c-dbc1-40e2-a949-d53bc17f1976</t>
  </si>
  <si>
    <t>2d0baf4d-4866-4415-aa43-85dbc3e08d12</t>
  </si>
  <si>
    <t>cb58fa3a-0a2e-453a-8224-b058c6bbcac7</t>
  </si>
  <si>
    <t>5635a768-083e-4515-9c02-5bdac43cad66</t>
  </si>
  <si>
    <t>44864401-ece2-4076-a185-f6587253b94f</t>
  </si>
  <si>
    <t>951249af-a6cd-4df3-9211-880d1936a4dc</t>
  </si>
  <si>
    <t>5277c759-0ec8-48a9-bea7-a097c7660207</t>
  </si>
  <si>
    <t>c47bd82b-e5df-4a7a-823a-196def2db2e1</t>
  </si>
  <si>
    <t>99d923c3-b6e2-4688-90de-88cc0ad4a6f0</t>
  </si>
  <si>
    <t>b7dcfa2a-400f-4beb-97d7-a3ea9ecd0636</t>
  </si>
  <si>
    <t>962e4517-8252-4fcf-9cad-0b09cce3f0ed</t>
  </si>
  <si>
    <t>140dba88-20ac-466b-ad25-c1a70946c861</t>
  </si>
  <si>
    <t>ecf27cef-512a-4355-b92b-0580bc086622</t>
  </si>
  <si>
    <t>b71f7653-74c5-40d0-bdeb-a35cf6955338</t>
  </si>
  <si>
    <t>5826239d-d513-46eb-954d-cb9ea94319e3</t>
  </si>
  <si>
    <t>7a55447e-5954-49bd-b5b5-b40fa93cb5f5</t>
  </si>
  <si>
    <t>40ef7b67-b9c7-4e04-ae6c-6634a60ef372</t>
  </si>
  <si>
    <t>e9cf7c4d-70b9-4e9a-8aa5-d73c05fe12ac</t>
  </si>
  <si>
    <t>fa039d47-965b-4671-b8fe-451fc0cf4ef6</t>
  </si>
  <si>
    <t>191a88d8-7a24-4972-b36c-ddfe9835e7ad</t>
  </si>
  <si>
    <t>b89aa999-6e07-42c7-a319-a81e4d0fb971</t>
  </si>
  <si>
    <t>4da0f000-3189-4cb5-bf37-819fa259a697</t>
  </si>
  <si>
    <t>5a71f5e6-1285-4ef9-917d-04f70eb2a683</t>
  </si>
  <si>
    <t>5606ed31-cfd3-447d-87ca-00e77a7c54d0</t>
  </si>
  <si>
    <t>0e3ed04f-ccb8-4b75-a0c0-16ae772a20a2</t>
  </si>
  <si>
    <t>7a3cf1b0-2218-491f-accb-cd9e00c81ca8</t>
  </si>
  <si>
    <t>b71c349b-30fe-466a-849f-2d574384702e</t>
  </si>
  <si>
    <t>50ad0d3b-1976-4553-a0b6-15e5b61e5690</t>
  </si>
  <si>
    <t>37c1619d-3db8-4832-9412-92a2606b537f</t>
  </si>
  <si>
    <t>18ff5449-0395-41d7-94e3-2a2f7efa250a</t>
  </si>
  <si>
    <t>f85e4980-1a36-4151-890b-75897e6efae0</t>
  </si>
  <si>
    <t>1344ef2f-fd50-44fa-8ee5-58446d966caa</t>
  </si>
  <si>
    <t>e2f8c785-6404-4624-9e21-998aca5d792f</t>
  </si>
  <si>
    <t>98e9c7a1-5e49-4e24-8325-2eeca7e4c8a7</t>
  </si>
  <si>
    <t>2e87b74a-f92a-4863-af0e-49fd589ac78f</t>
  </si>
  <si>
    <t>e50846b7-e623-4ef3-9154-3adbbdc5ecfa</t>
  </si>
  <si>
    <t>127d17cc-3b03-4246-ad71-ace16a2234a6</t>
  </si>
  <si>
    <t>2faccb56-45d6-41e0-965a-e9a17e8c1881</t>
  </si>
  <si>
    <t>eef176e1-d0b1-483c-94a6-8af5683daaa8</t>
  </si>
  <si>
    <t>a0c27bfc-3629-4d58-a3c9-d716b5189f51</t>
  </si>
  <si>
    <t>d546efed-bc39-4e0d-9437-3e9e23feaa26</t>
  </si>
  <si>
    <t>45f7d873-d7c4-4974-8149-ad7457e63b1a</t>
  </si>
  <si>
    <t>4cc5b263-6e3e-49a2-bfc3-76fd71bd8f5e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</si>
</sst>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0"/>
      <color theme="1"/>
      <name val="Arial"/>
      <charset val="1"/>
    </font>
    <font>
      <b/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color rgb="FF434343"/>
      <name val="Roboto"/>
      <charset val="1"/>
    </font>
    <font>
      <sz val="11"/>
      <color theme="1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Arial"/>
      <charset val="1"/>
    </font>
    <font>
      <b/>
      <sz val="11"/>
      <color rgb="FFFFFFFF"/>
      <name val="Courier New"/>
      <charset val="1"/>
    </font>
    <font>
      <b/>
      <sz val="10"/>
      <color rgb="FFFFFFFF"/>
      <name val="Roboto"/>
      <charset val="1"/>
    </font>
    <font>
      <sz val="10"/>
      <color rgb="FF000000"/>
      <name val="Roboto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charset val="1"/>
    </font>
    <font>
      <b/>
      <sz val="9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E1C3A"/>
        <bgColor rgb="FF003300"/>
      </patternFill>
    </fill>
    <fill>
      <patternFill patternType="solid">
        <fgColor rgb="FFDDDDDD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356854"/>
      </right>
      <top/>
      <bottom style="thin">
        <color rgb="FF000000"/>
      </bottom>
      <diagonal/>
    </border>
    <border>
      <left style="thin">
        <color rgb="FFCCCCCC"/>
      </left>
      <right style="thin">
        <color rgb="FF356854"/>
      </right>
      <top/>
      <bottom style="thin">
        <color rgb="FF000000"/>
      </bottom>
      <diagonal/>
    </border>
    <border>
      <left style="thin">
        <color rgb="FFCCCCCC"/>
      </left>
      <right style="thin">
        <color rgb="FFFF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 style="thin">
        <color rgb="FFCCCCCC"/>
      </top>
      <bottom style="thin">
        <color rgb="FFFFFFFF"/>
      </bottom>
      <diagonal/>
    </border>
    <border>
      <left/>
      <right style="thin">
        <color rgb="FFDDEBF7"/>
      </right>
      <top style="thin">
        <color rgb="FFCCCCCC"/>
      </top>
      <bottom style="thin">
        <color rgb="FFFFFFFF"/>
      </bottom>
      <diagonal/>
    </border>
    <border>
      <left/>
      <right style="thin">
        <color rgb="FFBDD7EE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F6F8F9"/>
      </bottom>
      <diagonal/>
    </border>
    <border>
      <left/>
      <right style="thin">
        <color rgb="FFDDDDDD"/>
      </right>
      <top/>
      <bottom style="thin">
        <color rgb="FFFFFFFF"/>
      </bottom>
      <diagonal/>
    </border>
    <border>
      <left style="thin">
        <color rgb="FFCCCCCC"/>
      </left>
      <right style="thin">
        <color rgb="FF356854"/>
      </right>
      <top/>
      <bottom style="thin">
        <color rgb="FFFFFFFF"/>
      </bottom>
      <diagonal/>
    </border>
    <border>
      <left style="thin">
        <color rgb="FFCCCCCC"/>
      </left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/>
      <top/>
      <bottom style="thin">
        <color rgb="FF284E3F"/>
      </bottom>
      <diagonal/>
    </border>
    <border>
      <left/>
      <right style="thin">
        <color rgb="FFDDEBF7"/>
      </right>
      <top style="thin">
        <color rgb="FFCCCCCC"/>
      </top>
      <bottom/>
      <diagonal/>
    </border>
    <border>
      <left style="thin">
        <color rgb="FFCCCCCC"/>
      </left>
      <right style="thin">
        <color rgb="FFF6F8F9"/>
      </right>
      <top style="thin">
        <color rgb="FFCCCCCC"/>
      </top>
      <bottom/>
      <diagonal/>
    </border>
    <border>
      <left style="thin">
        <color rgb="FFCCCCCC"/>
      </left>
      <right style="thin">
        <color rgb="FFFFFFFF"/>
      </right>
      <top style="thin">
        <color rgb="FFCCCCCC"/>
      </top>
      <bottom/>
      <diagonal/>
    </border>
    <border>
      <left/>
      <right style="thin">
        <color rgb="FFFFFFFF"/>
      </right>
      <top style="thin">
        <color rgb="FFCCCCCC"/>
      </top>
      <bottom style="thin">
        <color rgb="FFF6F8F9"/>
      </bottom>
      <diagonal/>
    </border>
    <border>
      <left/>
      <right style="thin">
        <color rgb="FFF6F8F9"/>
      </right>
      <top style="thin">
        <color rgb="FFCCCCCC"/>
      </top>
      <bottom style="thin">
        <color rgb="FFF6F8F9"/>
      </bottom>
      <diagonal/>
    </border>
    <border>
      <left/>
      <right style="thin">
        <color rgb="FF000000"/>
      </right>
      <top style="thin">
        <color rgb="FFCCCCCC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FFFFFF"/>
      </bottom>
      <diagonal/>
    </border>
    <border>
      <left style="thin">
        <color rgb="FFCCCCCC"/>
      </left>
      <right style="thin">
        <color rgb="FFFF0000"/>
      </right>
      <top/>
      <bottom style="thin">
        <color rgb="FF284E3F"/>
      </bottom>
      <diagonal/>
    </border>
    <border>
      <left/>
      <right style="thin">
        <color rgb="FFF6F8F9"/>
      </right>
      <top style="thin">
        <color rgb="FFCCCCCC"/>
      </top>
      <bottom/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 style="thin">
        <color rgb="FF980000"/>
      </right>
      <top/>
      <bottom style="thin">
        <color rgb="FF284E3F"/>
      </bottom>
      <diagonal/>
    </border>
    <border>
      <left style="thin">
        <color rgb="FFCCCCCC"/>
      </left>
      <right style="thin">
        <color rgb="FF000000"/>
      </right>
      <top/>
      <bottom style="thin">
        <color rgb="FF284E3F"/>
      </bottom>
      <diagonal/>
    </border>
    <border>
      <left style="thin">
        <color rgb="FFCCCCCC"/>
      </left>
      <right style="thin">
        <color rgb="FFF6F8F9"/>
      </right>
      <top/>
      <bottom/>
      <diagonal/>
    </border>
    <border>
      <left/>
      <right/>
      <top/>
      <bottom style="thin">
        <color rgb="FF284E3F"/>
      </bottom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F6F8F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8" fontId="1" fillId="2" borderId="0" xfId="0" applyNumberFormat="1" applyFont="1" applyFill="1" applyAlignment="1">
      <alignment horizontal="center"/>
    </xf>
    <xf numFmtId="18" fontId="0" fillId="0" borderId="0" xfId="0" applyNumberFormat="1"/>
    <xf numFmtId="0" fontId="2" fillId="0" borderId="1" xfId="0" applyFont="1" applyBorder="1"/>
    <xf numFmtId="9" fontId="2" fillId="0" borderId="1" xfId="0" applyNumberFormat="1" applyFont="1" applyBorder="1"/>
    <xf numFmtId="22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18" fontId="0" fillId="0" borderId="1" xfId="0" applyNumberFormat="1" applyBorder="1"/>
    <xf numFmtId="0" fontId="3" fillId="7" borderId="2" xfId="0" applyFont="1" applyFill="1" applyBorder="1" applyAlignment="1">
      <alignment readingOrder="1"/>
    </xf>
    <xf numFmtId="0" fontId="3" fillId="6" borderId="3" xfId="0" applyFont="1" applyFill="1" applyBorder="1" applyAlignment="1">
      <alignment readingOrder="1"/>
    </xf>
    <xf numFmtId="0" fontId="3" fillId="9" borderId="2" xfId="0" applyFont="1" applyFill="1" applyBorder="1" applyAlignment="1">
      <alignment readingOrder="1"/>
    </xf>
    <xf numFmtId="0" fontId="3" fillId="9" borderId="4" xfId="0" applyFont="1" applyFill="1" applyBorder="1" applyAlignment="1">
      <alignment readingOrder="1"/>
    </xf>
    <xf numFmtId="14" fontId="3" fillId="7" borderId="2" xfId="0" applyNumberFormat="1" applyFont="1" applyFill="1" applyBorder="1" applyAlignment="1">
      <alignment readingOrder="1"/>
    </xf>
    <xf numFmtId="14" fontId="3" fillId="9" borderId="2" xfId="0" applyNumberFormat="1" applyFont="1" applyFill="1" applyBorder="1" applyAlignment="1">
      <alignment readingOrder="1"/>
    </xf>
    <xf numFmtId="4" fontId="3" fillId="7" borderId="2" xfId="0" applyNumberFormat="1" applyFont="1" applyFill="1" applyBorder="1" applyAlignment="1">
      <alignment readingOrder="1"/>
    </xf>
    <xf numFmtId="4" fontId="3" fillId="9" borderId="4" xfId="0" applyNumberFormat="1" applyFont="1" applyFill="1" applyBorder="1" applyAlignment="1">
      <alignment readingOrder="1"/>
    </xf>
    <xf numFmtId="0" fontId="3" fillId="7" borderId="5" xfId="0" applyFont="1" applyFill="1" applyBorder="1" applyAlignment="1">
      <alignment readingOrder="1"/>
    </xf>
    <xf numFmtId="4" fontId="3" fillId="7" borderId="5" xfId="0" applyNumberFormat="1" applyFont="1" applyFill="1" applyBorder="1" applyAlignment="1">
      <alignment readingOrder="1"/>
    </xf>
    <xf numFmtId="0" fontId="3" fillId="9" borderId="6" xfId="0" applyFont="1" applyFill="1" applyBorder="1" applyAlignment="1">
      <alignment readingOrder="1"/>
    </xf>
    <xf numFmtId="4" fontId="3" fillId="9" borderId="6" xfId="0" applyNumberFormat="1" applyFont="1" applyFill="1" applyBorder="1" applyAlignment="1">
      <alignment readingOrder="1"/>
    </xf>
    <xf numFmtId="0" fontId="3" fillId="7" borderId="6" xfId="0" applyFont="1" applyFill="1" applyBorder="1" applyAlignment="1">
      <alignment readingOrder="1"/>
    </xf>
    <xf numFmtId="4" fontId="3" fillId="7" borderId="6" xfId="0" applyNumberFormat="1" applyFont="1" applyFill="1" applyBorder="1" applyAlignment="1">
      <alignment readingOrder="1"/>
    </xf>
    <xf numFmtId="0" fontId="3" fillId="8" borderId="7" xfId="0" applyFont="1" applyFill="1" applyBorder="1" applyAlignment="1">
      <alignment readingOrder="1"/>
    </xf>
    <xf numFmtId="0" fontId="3" fillId="6" borderId="8" xfId="0" applyFont="1" applyFill="1" applyBorder="1" applyAlignment="1">
      <alignment readingOrder="1"/>
    </xf>
    <xf numFmtId="4" fontId="3" fillId="6" borderId="8" xfId="0" applyNumberFormat="1" applyFont="1" applyFill="1" applyBorder="1" applyAlignment="1">
      <alignment readingOrder="1"/>
    </xf>
    <xf numFmtId="4" fontId="3" fillId="8" borderId="7" xfId="0" applyNumberFormat="1" applyFont="1" applyFill="1" applyBorder="1" applyAlignment="1">
      <alignment readingOrder="1"/>
    </xf>
    <xf numFmtId="1" fontId="3" fillId="7" borderId="2" xfId="0" applyNumberFormat="1" applyFont="1" applyFill="1" applyBorder="1" applyAlignment="1">
      <alignment readingOrder="1"/>
    </xf>
    <xf numFmtId="1" fontId="3" fillId="9" borderId="2" xfId="0" applyNumberFormat="1" applyFont="1" applyFill="1" applyBorder="1" applyAlignment="1">
      <alignment readingOrder="1"/>
    </xf>
    <xf numFmtId="1" fontId="3" fillId="7" borderId="5" xfId="0" applyNumberFormat="1" applyFont="1" applyFill="1" applyBorder="1" applyAlignment="1">
      <alignment readingOrder="1"/>
    </xf>
    <xf numFmtId="1" fontId="3" fillId="9" borderId="6" xfId="0" applyNumberFormat="1" applyFont="1" applyFill="1" applyBorder="1" applyAlignment="1">
      <alignment readingOrder="1"/>
    </xf>
    <xf numFmtId="1" fontId="3" fillId="7" borderId="6" xfId="0" applyNumberFormat="1" applyFont="1" applyFill="1" applyBorder="1" applyAlignment="1">
      <alignment readingOrder="1"/>
    </xf>
    <xf numFmtId="1" fontId="3" fillId="8" borderId="7" xfId="0" applyNumberFormat="1" applyFont="1" applyFill="1" applyBorder="1" applyAlignment="1">
      <alignment readingOrder="1"/>
    </xf>
    <xf numFmtId="1" fontId="3" fillId="6" borderId="8" xfId="0" applyNumberFormat="1" applyFont="1" applyFill="1" applyBorder="1" applyAlignment="1">
      <alignment readingOrder="1"/>
    </xf>
    <xf numFmtId="1" fontId="0" fillId="0" borderId="0" xfId="0" applyNumberFormat="1"/>
    <xf numFmtId="0" fontId="3" fillId="7" borderId="8" xfId="0" applyFont="1" applyFill="1" applyBorder="1" applyAlignment="1">
      <alignment readingOrder="1"/>
    </xf>
    <xf numFmtId="0" fontId="6" fillId="8" borderId="7" xfId="0" applyFont="1" applyFill="1" applyBorder="1" applyAlignment="1">
      <alignment readingOrder="1"/>
    </xf>
    <xf numFmtId="0" fontId="6" fillId="6" borderId="8" xfId="0" applyFont="1" applyFill="1" applyBorder="1" applyAlignment="1">
      <alignment readingOrder="1"/>
    </xf>
    <xf numFmtId="4" fontId="3" fillId="9" borderId="2" xfId="0" applyNumberFormat="1" applyFont="1" applyFill="1" applyBorder="1" applyAlignment="1">
      <alignment readingOrder="1"/>
    </xf>
    <xf numFmtId="14" fontId="3" fillId="9" borderId="4" xfId="0" applyNumberFormat="1" applyFont="1" applyFill="1" applyBorder="1" applyAlignment="1">
      <alignment readingOrder="1"/>
    </xf>
    <xf numFmtId="14" fontId="3" fillId="7" borderId="2" xfId="0" applyNumberFormat="1" applyFont="1" applyFill="1" applyBorder="1" applyAlignment="1">
      <alignment horizontal="center" readingOrder="1"/>
    </xf>
    <xf numFmtId="14" fontId="3" fillId="9" borderId="2" xfId="0" applyNumberFormat="1" applyFont="1" applyFill="1" applyBorder="1" applyAlignment="1">
      <alignment horizontal="center" readingOrder="1"/>
    </xf>
    <xf numFmtId="14" fontId="3" fillId="9" borderId="6" xfId="0" applyNumberFormat="1" applyFont="1" applyFill="1" applyBorder="1" applyAlignment="1">
      <alignment horizontal="center" readingOrder="1"/>
    </xf>
    <xf numFmtId="14" fontId="3" fillId="7" borderId="6" xfId="0" applyNumberFormat="1" applyFont="1" applyFill="1" applyBorder="1" applyAlignment="1">
      <alignment horizontal="center" readingOrder="1"/>
    </xf>
    <xf numFmtId="14" fontId="3" fillId="6" borderId="8" xfId="0" applyNumberFormat="1" applyFont="1" applyFill="1" applyBorder="1" applyAlignment="1">
      <alignment horizontal="center" readingOrder="1"/>
    </xf>
    <xf numFmtId="14" fontId="3" fillId="8" borderId="7" xfId="0" applyNumberFormat="1" applyFont="1" applyFill="1" applyBorder="1" applyAlignment="1">
      <alignment horizontal="center" readingOrder="1"/>
    </xf>
    <xf numFmtId="0" fontId="3" fillId="12" borderId="2" xfId="0" applyFont="1" applyFill="1" applyBorder="1" applyAlignment="1">
      <alignment readingOrder="1"/>
    </xf>
    <xf numFmtId="0" fontId="3" fillId="12" borderId="5" xfId="0" applyFont="1" applyFill="1" applyBorder="1" applyAlignment="1">
      <alignment readingOrder="1"/>
    </xf>
    <xf numFmtId="0" fontId="3" fillId="12" borderId="6" xfId="0" applyFont="1" applyFill="1" applyBorder="1" applyAlignment="1">
      <alignment readingOrder="1"/>
    </xf>
    <xf numFmtId="0" fontId="3" fillId="12" borderId="7" xfId="0" applyFont="1" applyFill="1" applyBorder="1" applyAlignment="1">
      <alignment readingOrder="1"/>
    </xf>
    <xf numFmtId="0" fontId="3" fillId="12" borderId="8" xfId="0" applyFont="1" applyFill="1" applyBorder="1" applyAlignment="1">
      <alignment readingOrder="1"/>
    </xf>
    <xf numFmtId="0" fontId="0" fillId="12" borderId="0" xfId="0" applyFill="1"/>
    <xf numFmtId="0" fontId="7" fillId="6" borderId="6" xfId="0" applyFont="1" applyFill="1" applyBorder="1" applyAlignment="1">
      <alignment readingOrder="1"/>
    </xf>
    <xf numFmtId="0" fontId="7" fillId="8" borderId="6" xfId="0" applyFont="1" applyFill="1" applyBorder="1" applyAlignment="1">
      <alignment readingOrder="1"/>
    </xf>
    <xf numFmtId="0" fontId="3" fillId="6" borderId="6" xfId="0" applyFont="1" applyFill="1" applyBorder="1" applyAlignment="1">
      <alignment readingOrder="1"/>
    </xf>
    <xf numFmtId="1" fontId="7" fillId="6" borderId="6" xfId="0" applyNumberFormat="1" applyFont="1" applyFill="1" applyBorder="1" applyAlignment="1">
      <alignment readingOrder="1"/>
    </xf>
    <xf numFmtId="1" fontId="7" fillId="8" borderId="6" xfId="0" applyNumberFormat="1" applyFont="1" applyFill="1" applyBorder="1" applyAlignment="1">
      <alignment readingOrder="1"/>
    </xf>
    <xf numFmtId="1" fontId="3" fillId="6" borderId="6" xfId="0" applyNumberFormat="1" applyFont="1" applyFill="1" applyBorder="1" applyAlignment="1">
      <alignment readingOrder="1"/>
    </xf>
    <xf numFmtId="1" fontId="3" fillId="8" borderId="6" xfId="0" applyNumberFormat="1" applyFont="1" applyFill="1" applyBorder="1" applyAlignment="1">
      <alignment readingOrder="1"/>
    </xf>
    <xf numFmtId="0" fontId="7" fillId="6" borderId="9" xfId="0" applyFont="1" applyFill="1" applyBorder="1" applyAlignment="1">
      <alignment readingOrder="1"/>
    </xf>
    <xf numFmtId="0" fontId="7" fillId="8" borderId="9" xfId="0" applyFont="1" applyFill="1" applyBorder="1" applyAlignment="1">
      <alignment readingOrder="1"/>
    </xf>
    <xf numFmtId="0" fontId="8" fillId="4" borderId="10" xfId="0" applyFont="1" applyFill="1" applyBorder="1" applyAlignment="1">
      <alignment readingOrder="1"/>
    </xf>
    <xf numFmtId="0" fontId="8" fillId="4" borderId="11" xfId="0" applyFont="1" applyFill="1" applyBorder="1" applyAlignment="1">
      <alignment readingOrder="1"/>
    </xf>
    <xf numFmtId="1" fontId="9" fillId="4" borderId="11" xfId="0" applyNumberFormat="1" applyFont="1" applyFill="1" applyBorder="1" applyAlignment="1">
      <alignment readingOrder="1"/>
    </xf>
    <xf numFmtId="0" fontId="9" fillId="4" borderId="11" xfId="0" applyFont="1" applyFill="1" applyBorder="1" applyAlignment="1">
      <alignment readingOrder="1"/>
    </xf>
    <xf numFmtId="0" fontId="9" fillId="5" borderId="12" xfId="0" applyFont="1" applyFill="1" applyBorder="1" applyAlignment="1">
      <alignment readingOrder="1"/>
    </xf>
    <xf numFmtId="0" fontId="7" fillId="6" borderId="13" xfId="0" applyFont="1" applyFill="1" applyBorder="1" applyAlignment="1">
      <alignment readingOrder="1"/>
    </xf>
    <xf numFmtId="0" fontId="7" fillId="6" borderId="14" xfId="0" applyFont="1" applyFill="1" applyBorder="1" applyAlignment="1">
      <alignment readingOrder="1"/>
    </xf>
    <xf numFmtId="1" fontId="7" fillId="6" borderId="14" xfId="0" applyNumberFormat="1" applyFont="1" applyFill="1" applyBorder="1" applyAlignment="1">
      <alignment readingOrder="1"/>
    </xf>
    <xf numFmtId="0" fontId="6" fillId="8" borderId="3" xfId="0" applyFont="1" applyFill="1" applyBorder="1" applyAlignment="1">
      <alignment readingOrder="1"/>
    </xf>
    <xf numFmtId="0" fontId="6" fillId="6" borderId="3" xfId="0" applyFont="1" applyFill="1" applyBorder="1" applyAlignment="1">
      <alignment readingOrder="1"/>
    </xf>
    <xf numFmtId="1" fontId="6" fillId="6" borderId="8" xfId="0" applyNumberFormat="1" applyFont="1" applyFill="1" applyBorder="1" applyAlignment="1">
      <alignment readingOrder="1"/>
    </xf>
    <xf numFmtId="1" fontId="6" fillId="8" borderId="7" xfId="0" applyNumberFormat="1" applyFont="1" applyFill="1" applyBorder="1" applyAlignment="1">
      <alignment readingOrder="1"/>
    </xf>
    <xf numFmtId="0" fontId="3" fillId="7" borderId="17" xfId="0" applyFont="1" applyFill="1" applyBorder="1" applyAlignment="1">
      <alignment readingOrder="1"/>
    </xf>
    <xf numFmtId="0" fontId="7" fillId="10" borderId="18" xfId="0" applyFont="1" applyFill="1" applyBorder="1" applyAlignment="1">
      <alignment readingOrder="1"/>
    </xf>
    <xf numFmtId="0" fontId="7" fillId="11" borderId="19" xfId="0" applyFont="1" applyFill="1" applyBorder="1" applyAlignment="1">
      <alignment readingOrder="1"/>
    </xf>
    <xf numFmtId="0" fontId="3" fillId="6" borderId="20" xfId="0" applyFont="1" applyFill="1" applyBorder="1" applyAlignment="1">
      <alignment readingOrder="1"/>
    </xf>
    <xf numFmtId="0" fontId="3" fillId="8" borderId="20" xfId="0" applyFont="1" applyFill="1" applyBorder="1" applyAlignment="1">
      <alignment readingOrder="1"/>
    </xf>
    <xf numFmtId="0" fontId="4" fillId="3" borderId="21" xfId="0" applyFont="1" applyFill="1" applyBorder="1" applyAlignment="1">
      <alignment readingOrder="1"/>
    </xf>
    <xf numFmtId="0" fontId="4" fillId="3" borderId="22" xfId="0" applyFont="1" applyFill="1" applyBorder="1" applyAlignment="1">
      <alignment readingOrder="1"/>
    </xf>
    <xf numFmtId="0" fontId="5" fillId="4" borderId="23" xfId="0" applyFont="1" applyFill="1" applyBorder="1" applyAlignment="1">
      <alignment readingOrder="1"/>
    </xf>
    <xf numFmtId="0" fontId="5" fillId="4" borderId="24" xfId="0" applyFont="1" applyFill="1" applyBorder="1" applyAlignment="1">
      <alignment readingOrder="1"/>
    </xf>
    <xf numFmtId="0" fontId="7" fillId="10" borderId="25" xfId="0" applyFont="1" applyFill="1" applyBorder="1" applyAlignment="1">
      <alignment readingOrder="1"/>
    </xf>
    <xf numFmtId="0" fontId="6" fillId="8" borderId="26" xfId="0" applyFont="1" applyFill="1" applyBorder="1" applyAlignment="1">
      <alignment readingOrder="1"/>
    </xf>
    <xf numFmtId="0" fontId="3" fillId="9" borderId="27" xfId="0" applyFont="1" applyFill="1" applyBorder="1" applyAlignment="1">
      <alignment readingOrder="1"/>
    </xf>
    <xf numFmtId="14" fontId="3" fillId="9" borderId="27" xfId="0" applyNumberFormat="1" applyFont="1" applyFill="1" applyBorder="1" applyAlignment="1">
      <alignment readingOrder="1"/>
    </xf>
    <xf numFmtId="4" fontId="3" fillId="9" borderId="27" xfId="0" applyNumberFormat="1" applyFont="1" applyFill="1" applyBorder="1" applyAlignment="1">
      <alignment readingOrder="1"/>
    </xf>
    <xf numFmtId="0" fontId="3" fillId="9" borderId="26" xfId="0" applyFont="1" applyFill="1" applyBorder="1" applyAlignment="1">
      <alignment readingOrder="1"/>
    </xf>
    <xf numFmtId="0" fontId="3" fillId="8" borderId="26" xfId="0" applyFont="1" applyFill="1" applyBorder="1" applyAlignment="1">
      <alignment readingOrder="1"/>
    </xf>
    <xf numFmtId="0" fontId="3" fillId="8" borderId="15" xfId="0" applyFont="1" applyFill="1" applyBorder="1" applyAlignment="1">
      <alignment readingOrder="1"/>
    </xf>
    <xf numFmtId="0" fontId="6" fillId="6" borderId="28" xfId="0" applyFont="1" applyFill="1" applyBorder="1" applyAlignment="1">
      <alignment readingOrder="1"/>
    </xf>
    <xf numFmtId="0" fontId="6" fillId="8" borderId="29" xfId="0" applyFont="1" applyFill="1" applyBorder="1" applyAlignment="1">
      <alignment readingOrder="1"/>
    </xf>
    <xf numFmtId="0" fontId="6" fillId="8" borderId="30" xfId="0" applyFont="1" applyFill="1" applyBorder="1" applyAlignment="1">
      <alignment readingOrder="1"/>
    </xf>
    <xf numFmtId="0" fontId="6" fillId="6" borderId="30" xfId="0" applyFont="1" applyFill="1" applyBorder="1" applyAlignment="1">
      <alignment readingOrder="1"/>
    </xf>
    <xf numFmtId="1" fontId="5" fillId="4" borderId="23" xfId="0" applyNumberFormat="1" applyFont="1" applyFill="1" applyBorder="1" applyAlignment="1">
      <alignment readingOrder="1"/>
    </xf>
    <xf numFmtId="0" fontId="5" fillId="4" borderId="32" xfId="0" applyFont="1" applyFill="1" applyBorder="1" applyAlignment="1">
      <alignment readingOrder="1"/>
    </xf>
    <xf numFmtId="0" fontId="5" fillId="5" borderId="32" xfId="0" applyFont="1" applyFill="1" applyBorder="1" applyAlignment="1">
      <alignment readingOrder="1"/>
    </xf>
    <xf numFmtId="0" fontId="6" fillId="8" borderId="33" xfId="0" applyFont="1" applyFill="1" applyBorder="1" applyAlignment="1">
      <alignment readingOrder="1"/>
    </xf>
    <xf numFmtId="1" fontId="3" fillId="8" borderId="26" xfId="0" applyNumberFormat="1" applyFont="1" applyFill="1" applyBorder="1" applyAlignment="1">
      <alignment readingOrder="1"/>
    </xf>
    <xf numFmtId="0" fontId="3" fillId="12" borderId="26" xfId="0" applyFont="1" applyFill="1" applyBorder="1" applyAlignment="1">
      <alignment readingOrder="1"/>
    </xf>
    <xf numFmtId="0" fontId="6" fillId="6" borderId="20" xfId="0" applyFont="1" applyFill="1" applyBorder="1" applyAlignment="1">
      <alignment readingOrder="1"/>
    </xf>
    <xf numFmtId="0" fontId="6" fillId="8" borderId="20" xfId="0" applyFont="1" applyFill="1" applyBorder="1" applyAlignment="1">
      <alignment readingOrder="1"/>
    </xf>
    <xf numFmtId="0" fontId="10" fillId="4" borderId="34" xfId="0" applyFont="1" applyFill="1" applyBorder="1" applyAlignment="1">
      <alignment readingOrder="1"/>
    </xf>
    <xf numFmtId="0" fontId="10" fillId="4" borderId="23" xfId="0" applyFont="1" applyFill="1" applyBorder="1" applyAlignment="1">
      <alignment readingOrder="1"/>
    </xf>
    <xf numFmtId="1" fontId="11" fillId="4" borderId="23" xfId="0" applyNumberFormat="1" applyFont="1" applyFill="1" applyBorder="1" applyAlignment="1">
      <alignment readingOrder="1"/>
    </xf>
    <xf numFmtId="0" fontId="11" fillId="4" borderId="23" xfId="0" applyFont="1" applyFill="1" applyBorder="1" applyAlignment="1">
      <alignment readingOrder="1"/>
    </xf>
    <xf numFmtId="0" fontId="11" fillId="4" borderId="35" xfId="0" applyFont="1" applyFill="1" applyBorder="1" applyAlignment="1">
      <alignment readingOrder="1"/>
    </xf>
    <xf numFmtId="0" fontId="10" fillId="13" borderId="35" xfId="0" applyFont="1" applyFill="1" applyBorder="1" applyAlignment="1">
      <alignment readingOrder="1"/>
    </xf>
    <xf numFmtId="0" fontId="10" fillId="13" borderId="36" xfId="0" applyFont="1" applyFill="1" applyBorder="1" applyAlignment="1">
      <alignment readingOrder="1"/>
    </xf>
    <xf numFmtId="0" fontId="10" fillId="13" borderId="24" xfId="0" applyFont="1" applyFill="1" applyBorder="1" applyAlignment="1">
      <alignment readingOrder="1"/>
    </xf>
    <xf numFmtId="0" fontId="6" fillId="8" borderId="14" xfId="0" applyFont="1" applyFill="1" applyBorder="1" applyAlignment="1">
      <alignment readingOrder="1"/>
    </xf>
    <xf numFmtId="0" fontId="6" fillId="8" borderId="15" xfId="0" applyFont="1" applyFill="1" applyBorder="1" applyAlignment="1">
      <alignment readingOrder="1"/>
    </xf>
    <xf numFmtId="9" fontId="0" fillId="0" borderId="1" xfId="0" applyNumberFormat="1" applyBorder="1"/>
    <xf numFmtId="0" fontId="4" fillId="14" borderId="31" xfId="0" applyFont="1" applyFill="1" applyBorder="1" applyAlignment="1">
      <alignment readingOrder="1"/>
    </xf>
    <xf numFmtId="14" fontId="5" fillId="4" borderId="23" xfId="0" applyNumberFormat="1" applyFont="1" applyFill="1" applyBorder="1" applyAlignment="1">
      <alignment readingOrder="1"/>
    </xf>
    <xf numFmtId="14" fontId="0" fillId="0" borderId="0" xfId="0" applyNumberFormat="1"/>
    <xf numFmtId="14" fontId="5" fillId="4" borderId="23" xfId="0" applyNumberFormat="1" applyFont="1" applyFill="1" applyBorder="1" applyAlignment="1">
      <alignment horizontal="center" readingOrder="1"/>
    </xf>
    <xf numFmtId="14" fontId="3" fillId="7" borderId="5" xfId="0" applyNumberFormat="1" applyFont="1" applyFill="1" applyBorder="1" applyAlignment="1">
      <alignment horizontal="center" readingOrder="1"/>
    </xf>
    <xf numFmtId="14" fontId="3" fillId="8" borderId="26" xfId="0" applyNumberFormat="1" applyFont="1" applyFill="1" applyBorder="1" applyAlignment="1">
      <alignment horizontal="center" readingOrder="1"/>
    </xf>
    <xf numFmtId="14" fontId="0" fillId="0" borderId="0" xfId="0" applyNumberFormat="1" applyAlignment="1">
      <alignment horizontal="center"/>
    </xf>
    <xf numFmtId="0" fontId="1" fillId="15" borderId="0" xfId="0" applyFont="1" applyFill="1" applyAlignment="1">
      <alignment horizontal="center"/>
    </xf>
    <xf numFmtId="0" fontId="1" fillId="15" borderId="0" xfId="0" applyFont="1" applyFill="1"/>
    <xf numFmtId="0" fontId="13" fillId="0" borderId="0" xfId="0" applyFont="1"/>
    <xf numFmtId="0" fontId="1" fillId="16" borderId="0" xfId="0" applyFont="1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8" borderId="37" xfId="0" applyFont="1" applyFill="1" applyBorder="1" applyAlignment="1">
      <alignment readingOrder="1"/>
    </xf>
    <xf numFmtId="0" fontId="10" fillId="13" borderId="38" xfId="0" applyFont="1" applyFill="1" applyBorder="1" applyAlignment="1">
      <alignment readingOrder="1"/>
    </xf>
    <xf numFmtId="11" fontId="3" fillId="8" borderId="37" xfId="0" applyNumberFormat="1" applyFont="1" applyFill="1" applyBorder="1" applyAlignment="1">
      <alignment readingOrder="1"/>
    </xf>
    <xf numFmtId="0" fontId="15" fillId="17" borderId="11" xfId="0" applyFont="1" applyFill="1" applyBorder="1" applyAlignment="1">
      <alignment readingOrder="1"/>
    </xf>
    <xf numFmtId="0" fontId="7" fillId="6" borderId="39" xfId="0" applyFont="1" applyFill="1" applyBorder="1" applyAlignment="1">
      <alignment readingOrder="1"/>
    </xf>
    <xf numFmtId="0" fontId="9" fillId="4" borderId="16" xfId="0" applyFont="1" applyFill="1" applyBorder="1" applyAlignment="1">
      <alignment readingOrder="1"/>
    </xf>
    <xf numFmtId="11" fontId="7" fillId="6" borderId="39" xfId="0" applyNumberFormat="1" applyFont="1" applyFill="1" applyBorder="1" applyAlignment="1">
      <alignment readingOrder="1"/>
    </xf>
    <xf numFmtId="0" fontId="0" fillId="0" borderId="0" xfId="0" applyAlignment="1">
      <alignment horizontal="center"/>
    </xf>
    <xf numFmtId="0" fontId="5" fillId="5" borderId="0" xfId="0" applyFont="1" applyFill="1" applyAlignment="1">
      <alignment readingOrder="1"/>
    </xf>
    <xf numFmtId="0" fontId="3" fillId="12" borderId="0" xfId="0" applyFont="1" applyFill="1" applyAlignment="1">
      <alignment readingOrder="1"/>
    </xf>
    <xf numFmtId="11" fontId="3" fillId="12" borderId="0" xfId="0" applyNumberFormat="1" applyFont="1" applyFill="1" applyAlignment="1">
      <alignment readingOrder="1"/>
    </xf>
    <xf numFmtId="0" fontId="5" fillId="4" borderId="0" xfId="0" applyFont="1" applyFill="1" applyAlignment="1">
      <alignment readingOrder="1"/>
    </xf>
    <xf numFmtId="0" fontId="6" fillId="8" borderId="40" xfId="0" applyFont="1" applyFill="1" applyBorder="1" applyAlignment="1">
      <alignment readingOrder="1"/>
    </xf>
    <xf numFmtId="0" fontId="14" fillId="0" borderId="1" xfId="0" applyFont="1" applyBorder="1" applyAlignment="1">
      <alignment horizontal="center"/>
    </xf>
    <xf numFmtId="0" fontId="12" fillId="0" borderId="1" xfId="0" applyFont="1" applyBorder="1" applyAlignment="1">
      <alignment readingOrder="1"/>
    </xf>
    <xf numFmtId="0" fontId="14" fillId="0" borderId="41" xfId="0" applyFont="1" applyBorder="1" applyAlignment="1">
      <alignment horizontal="center"/>
    </xf>
    <xf numFmtId="0" fontId="12" fillId="0" borderId="41" xfId="0" applyFont="1" applyBorder="1" applyAlignment="1">
      <alignment readingOrder="1"/>
    </xf>
    <xf numFmtId="0" fontId="0" fillId="17" borderId="16" xfId="0" applyFill="1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284E3F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ourier New"/>
        <charset val="1"/>
        <scheme val="none"/>
      </font>
      <fill>
        <patternFill patternType="solid">
          <fgColor indexed="64"/>
          <bgColor rgb="FF980000"/>
        </patternFill>
      </fill>
      <alignment horizontal="general" vertical="bottom" textRotation="0" wrapText="0" indent="0" justifyLastLine="0" shrinkToFit="0" readingOrder="1"/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numFmt numFmtId="0" formatCode="General"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none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Roboto"/>
        <charset val="1"/>
        <scheme val="none"/>
      </font>
      <fill>
        <patternFill patternType="none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numFmt numFmtId="0" formatCode="General"/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color rgb="FF000000"/>
      </font>
      <fill>
        <patternFill patternType="none"/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h:mm\ AM/PM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h:mm\ AM/PM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3" formatCode="0%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00"/>
          <bgColor rgb="FF0E1C3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m/d/yyyy"/>
      <fill>
        <patternFill patternType="solid">
          <fgColor indexed="64"/>
          <bgColor rgb="FFF6F8F9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" formatCode="0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numFmt numFmtId="0" formatCode="General"/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numFmt numFmtId="165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FF2CC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FFFFF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DDEBF7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DDEBF7"/>
        </right>
        <top style="thin">
          <color rgb="FFCCCCCC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F6F8F9"/>
        </right>
        <top style="thin">
          <color rgb="FFCCCCCC"/>
        </top>
        <bottom style="thin">
          <color rgb="FFF6F8F9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indexed="64"/>
          <bgColor rgb="FF356854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"/>
        <scheme val="none"/>
      </font>
      <fill>
        <patternFill patternType="solid">
          <fgColor indexed="64"/>
          <bgColor rgb="FF356854"/>
        </patternFill>
      </fill>
      <alignment horizontal="general" vertical="bottom" textRotation="0" wrapText="0" indent="0" justifyLastLine="0" shrinkToFit="0" readingOrder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1C3A"/>
      <rgbColor rgb="FF339966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3FDC5-D898-45FE-8B44-F7BFB0DDAF86}" name="MARA" displayName="MARA" ref="A1:H1556" totalsRowShown="0" headerRowDxfId="97" dataDxfId="96" headerRowBorderDxfId="94" tableBorderDxfId="95" totalsRowBorderDxfId="93">
  <autoFilter ref="A1:H1556" xr:uid="{2B23FDC5-D898-45FE-8B44-F7BFB0DDAF86}"/>
  <tableColumns count="8">
    <tableColumn id="1" xr3:uid="{9560CE16-42B7-4097-8A10-C7B5C8745D4A}" name="CÓDIGO" dataDxfId="92"/>
    <tableColumn id="2" xr3:uid="{57F3360B-9DB7-4342-ADC3-6DD1A1BD8B4E}" name="DESCRIPCIÓN" dataDxfId="91"/>
    <tableColumn id="9" xr3:uid="{A22E118B-C44A-481E-9663-8247479513DE}" name="EAN UMA" dataDxfId="90"/>
    <tableColumn id="10" xr3:uid="{D895A502-102D-40DE-B22C-1E491480A093}" name="UMA" dataDxfId="89"/>
    <tableColumn id="16" xr3:uid="{F7606734-F4B2-413D-964C-9BADD8BAC229}" name="CONVERSIÓN CAMA / PQT" dataDxfId="88"/>
    <tableColumn id="22" xr3:uid="{200226BE-6A39-44FA-92F3-C32E7EB4A2CA}" name="CONVERSION PAL / CAM" dataDxfId="87"/>
    <tableColumn id="23" xr3:uid="{B3233013-AC91-4B93-B301-9B7E508A65C8}" name="CONVERSION PAL / PQT" dataDxfId="86"/>
    <tableColumn id="3" xr3:uid="{9057F45D-9D3C-4BDE-8CFA-B823AC5575F9}" name="__PowerAppsId__" dataDxfId="8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9ED58-7964-4635-99A0-1612D7197D6C}" name="SAP" displayName="SAP" ref="A1:P427" totalsRowShown="0" headerRowDxfId="84" dataDxfId="83" tableBorderDxfId="82">
  <autoFilter ref="A1:P427" xr:uid="{B459ED58-7964-4635-99A0-1612D7197D6C}"/>
  <tableColumns count="16">
    <tableColumn id="2" xr3:uid="{199ECD54-EECB-4156-AD54-B5F6ADA5BA70}" name="Ubicación" dataDxfId="81"/>
    <tableColumn id="1" xr3:uid="{BA5B0EFE-63CE-44BB-894C-9EC09AC402AC}" name="Tipo almacén" dataDxfId="80"/>
    <tableColumn id="3" xr3:uid="{8F5F39F1-87B9-4D52-B460-52A2A473A4A2}" name="Producto" dataDxfId="79"/>
    <tableColumn id="4" xr3:uid="{85714F01-766E-4FF9-86F4-40128DD8E78D}" name="Descripción producto" dataDxfId="78"/>
    <tableColumn id="5" xr3:uid="{50D89E85-ADFF-44C8-BBC9-8FC6B8AB8291}" name="Lote" dataDxfId="77"/>
    <tableColumn id="6" xr3:uid="{995CD064-462D-497E-A0EA-87F44AABD7DC}" name="FeCaduc/FePreferCons" dataDxfId="76"/>
    <tableColumn id="7" xr3:uid="{C07CDBDA-0C69-4943-91E1-10E173C6E154}" name="Tipo de stock" dataDxfId="75"/>
    <tableColumn id="8" xr3:uid="{00534D6C-E589-49CE-B363-0D327BA49B8C}" name="Ctd.embalada (UMA)" dataDxfId="74"/>
    <tableColumn id="9" xr3:uid="{2031ED99-E9BF-49A3-BA22-E81D2194A2E2}" name="Un.medida alternat." dataDxfId="73"/>
    <tableColumn id="10" xr3:uid="{D930AB27-5633-4D42-9BD2-CDD373152DBB}" name="Ctd."/>
    <tableColumn id="11" xr3:uid="{41E02655-5764-4BA3-B186-446E943E1747}" name="Fecha EM"/>
    <tableColumn id="12" xr3:uid="{AC645045-7EB5-47FA-8F8C-1D351AE736AC}" name="Documento" dataDxfId="72"/>
    <tableColumn id="13" xr3:uid="{C0D537DD-9B09-4045-B8D9-FC3BF218C0A6}" name="Grupo consolidación" dataDxfId="71"/>
    <tableColumn id="14" xr3:uid="{C6F20443-1CF0-4799-8EAF-3EC50ED95C27}" name="Control de calidad" dataDxfId="70"/>
    <tableColumn id="15" xr3:uid="{00DC5B10-3334-43BE-857E-9C9074AD2AE2}" name="Peso de carga" dataDxfId="69"/>
    <tableColumn id="16" xr3:uid="{CAAB45AD-D0B6-410D-9A69-9300C397E517}" name="__PowerAppsId__" dataDxfId="6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27BD01-F754-4A99-9223-06B76305D62F}" name="CANTIDAD" displayName="CANTIDAD" ref="A1:N601" totalsRowShown="0" tableBorderDxfId="67">
  <autoFilter ref="A1:N601" xr:uid="{C827BD01-F754-4A99-9223-06B76305D62F}">
    <filterColumn colId="0">
      <filters>
        <filter val="PASILLO 1"/>
        <filter val="PASILLO 15"/>
      </filters>
    </filterColumn>
  </autoFilter>
  <tableColumns count="14">
    <tableColumn id="14" xr3:uid="{BE89C6E6-2423-4A18-BF83-012FD4E82E9A}" name="PASILLO" dataDxfId="66">
      <calculatedColumnFormula>"PASILLO " &amp; VALUE(MID(B2, 4, 2))</calculatedColumnFormula>
    </tableColumn>
    <tableColumn id="1" xr3:uid="{5FFDA615-F85A-4A47-A6C5-36DFB4DD6DA3}" name="Ubicación" dataDxfId="65"/>
    <tableColumn id="2" xr3:uid="{CECB013B-32A6-4BF9-AA85-3C7CC91AEE1E}" name="Producto" dataDxfId="64">
      <calculatedColumnFormula>IFERROR(VLOOKUP(CANTIDAD[[#This Row],[Ubicación]],SAP[],3,FALSE),"")</calculatedColumnFormula>
    </tableColumn>
    <tableColumn id="3" xr3:uid="{4F24FD3A-828A-4E0C-A9CB-BD4BCA0DF379}" name="EAN" dataDxfId="63">
      <calculatedColumnFormula>IFERROR(VLOOKUP(CANTIDAD[[#This Row],[Producto]],MARA[],3,FALSE),"")</calculatedColumnFormula>
    </tableColumn>
    <tableColumn id="4" xr3:uid="{2EDCBA77-6435-4C75-8789-1D277C5DDC32}" name="Descripción producto" dataDxfId="62">
      <calculatedColumnFormula>IFERROR(VLOOKUP(CANTIDAD[[#This Row],[Ubicación]],SAP[],4,FALSE),"")</calculatedColumnFormula>
    </tableColumn>
    <tableColumn id="5" xr3:uid="{5FF16743-60D2-43DB-97E6-CF713064520D}" name="CANT." dataDxfId="61">
      <calculatedColumnFormula>IFERROR(VLOOKUP(CANTIDAD[[#This Row],[Ubicación]],SAP[],8,FALSE),"")</calculatedColumnFormula>
    </tableColumn>
    <tableColumn id="6" xr3:uid="{38A5FD3A-D655-4BC1-B323-1EAE418CE623}" name="UMA CANT." dataDxfId="60">
      <calculatedColumnFormula>IFERROR(VLOOKUP(CANTIDAD[[#This Row],[Ubicación]],SAP[],9,FALSE),"")</calculatedColumnFormula>
    </tableColumn>
    <tableColumn id="7" xr3:uid="{E3EFC898-2C43-48FF-97C3-7928B503A18E}" name="Lote" dataDxfId="59">
      <calculatedColumnFormula>IFERROR(VLOOKUP(CANTIDAD[[#This Row],[Ubicación]],SAP[],5,FALSE),"")</calculatedColumnFormula>
    </tableColumn>
    <tableColumn id="8" xr3:uid="{82D8800D-F0C1-4714-AE45-F4CA4EA6051F}" name="FeCaduc/FePreferCons" dataDxfId="58">
      <calculatedColumnFormula>IFERROR(VLOOKUP(CANTIDAD[[#This Row],[Ubicación]],SAP[],6,FALSE),"")</calculatedColumnFormula>
    </tableColumn>
    <tableColumn id="9" xr3:uid="{C24835B4-AA70-4F0C-9095-AF821A45920C}" name="Tipo de stock" dataDxfId="57">
      <calculatedColumnFormula>IFERROR(VLOOKUP(CANTIDAD[[#This Row],[Ubicación]],SAP[],7,FALSE),"")</calculatedColumnFormula>
    </tableColumn>
    <tableColumn id="10" xr3:uid="{A9334C2B-5F35-4DD5-AB86-36536E89F5E0}" name="Ctd." dataDxfId="56">
      <calculatedColumnFormula>IFERROR(VLOOKUP(CANTIDAD[[#This Row],[Ubicación]],SAP[],10,FALSE),"")</calculatedColumnFormula>
    </tableColumn>
    <tableColumn id="11" xr3:uid="{53AD5858-46A1-4102-8677-2143AAB8ADA6}" name="CAMA" dataDxfId="55">
      <calculatedColumnFormula>IFERROR(VLOOKUP(CANTIDAD[[#This Row],[Producto]],MARA[],5,FALSE),"")</calculatedColumnFormula>
    </tableColumn>
    <tableColumn id="12" xr3:uid="{7D0DB501-5976-4414-944A-8EC42B9FD390}" name="UMA" dataDxfId="54">
      <calculatedColumnFormula>IFERROR(VLOOKUP(CANTIDAD[[#This Row],[Producto]],MARA[],4,FALSE),"")</calculatedColumnFormula>
    </tableColumn>
    <tableColumn id="13" xr3:uid="{1721D7C5-AB0D-458E-8A4A-AFB016641DCF}" name="__PowerAppsId__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622EBD-37C9-46C2-8449-ED40834BEC0E}" name="OPERARIOS" displayName="OPERARIOS" ref="A1:B7" totalsRowShown="0" headerRowDxfId="52">
  <autoFilter ref="A1:B7" xr:uid="{CE622EBD-37C9-46C2-8449-ED40834BEC0E}"/>
  <tableColumns count="2">
    <tableColumn id="1" xr3:uid="{B503BDEF-B99D-4839-9574-80876175953B}" name="NOMBRE"/>
    <tableColumn id="2" xr3:uid="{933F20FC-B302-4F35-AE23-4BFB6E27B975}" name="__PowerAppsId__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empos" displayName="Tiempos" ref="A1:N14" totalsRowShown="0">
  <autoFilter ref="A1:N14" xr:uid="{00000000-0009-0000-0100-000002000000}"/>
  <tableColumns count="14">
    <tableColumn id="2" xr3:uid="{00000000-0010-0000-0100-000002000000}" name="Pasillo" dataDxfId="48"/>
    <tableColumn id="6" xr3:uid="{E8D621BB-5FD0-45D8-B9A9-D27BA0627D89}" name="Estado" dataDxfId="47"/>
    <tableColumn id="1" xr3:uid="{00000000-0010-0000-0100-000001000000}" name="Operario" dataDxfId="46"/>
    <tableColumn id="7" xr3:uid="{5C908477-7882-4A83-B95E-A8146762524B}" name="Avance" dataDxfId="45">
      <calculatedColumnFormula>IFERROR(Tiempos[[#This Row],[Ub. Registradas]]/Tiempos[[#This Row],[Total de Ubicaciones]],"")</calculatedColumnFormula>
    </tableColumn>
    <tableColumn id="8" xr3:uid="{3D54CAF9-5FD0-4713-998D-009D67445A7A}" name="Ub. Registradas" dataDxfId="44">
      <calculatedColumnFormula array="1">IFERROR(ROWS(_xlfn.UNIQUE(_xlfn._xlws.FILTER('Registros'!D:D, ('Registros'!C:C=Tiempos[[#This Row],[Pasillo]]) * ('Registros'!E:E&lt;&gt;"")))), 0)</calculatedColumnFormula>
    </tableColumn>
    <tableColumn id="11" xr3:uid="{4EB9890D-BF57-4AA2-8904-4CE866B2AFAF}" name="Total de Ubicaciones" dataDxfId="43">
      <calculatedColumnFormula>COUNTIF('CRUCE'!A:A, Tiempos[[#This Row],[Pasillo]])</calculatedColumnFormula>
    </tableColumn>
    <tableColumn id="3" xr3:uid="{00000000-0010-0000-0100-000003000000}" name="Inicio" dataDxfId="42"/>
    <tableColumn id="4" xr3:uid="{00000000-0010-0000-0100-000004000000}" name="Fin" dataDxfId="41"/>
    <tableColumn id="5" xr3:uid="{00000000-0010-0000-0100-000005000000}" name="DuracionMin" dataDxfId="40">
      <calculatedColumnFormula>IF(OR(Tiempos[[#This Row],[Inicio]]="", Tiempos[[#This Row],[Fin]]=""), "", (Tiempos[[#This Row],[Fin]]-Tiempos[[#This Row],[Inicio]])*1440)</calculatedColumnFormula>
    </tableColumn>
    <tableColumn id="10" xr3:uid="{F0F2DBB0-0258-4E00-BD22-C7B286C9847A}" name="DIFERENCIAS" dataDxfId="39">
      <calculatedColumnFormula>COUNTIFS(CRUCE[PASILLO], Tiempos[[#This Row],[Pasillo]], CRUCE[STATUS], "&lt;&gt;CUADRADO",CRUCE[STATUS], "&lt;&gt;PENDIENTE")</calculatedColumnFormula>
    </tableColumn>
    <tableColumn id="9" xr3:uid="{9A9EA166-554D-4554-A29D-668EE8947312}" name="STATUS" dataDxfId="38">
      <calculatedColumnFormula>IF(Tiempos[[#This Row],[Estado]]="PENDIENTE", "", IF(Tiempos[[#This Row],[DIFERENCIAS]]=0, "Cuadrado", "Reconteo"))</calculatedColumnFormula>
    </tableColumn>
    <tableColumn id="13" xr3:uid="{DFE055E5-D68D-4B51-BCF9-A521D50A548C}" name="DIFERENCIAS2" dataDxfId="37">
      <calculatedColumnFormula>COUNTIFS(CRUCE[PASILLO], Tiempos[[#This Row],[Pasillo]], CRUCE[STATUS2], "&lt;&gt;CUADRADO",CRUCE[STATUS2], "&lt;&gt;PENDIENTE")</calculatedColumnFormula>
    </tableColumn>
    <tableColumn id="12" xr3:uid="{2FC0AB63-E0F0-456D-8E9E-3E19482840AF}" name="STATUS RECONTEO" dataDxfId="36">
      <calculatedColumnFormula>IF(Tiempos[[#This Row],[STATUS]]="cuadrado", "", IF(Tiempos[[#This Row],[DIFERENCIAS2]]=0, "Cuadrado", "Reconteo"))</calculatedColumnFormula>
    </tableColumn>
    <tableColumn id="14" xr3:uid="{5E41FB96-02F9-4E2D-AB32-CC018CC28DB8}" name="__PowerAppsId__" dataDxfId="3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s" displayName="Registros" ref="A1:K3" totalsRowShown="0" dataDxfId="34">
  <autoFilter ref="A1:K3" xr:uid="{00000000-0009-0000-0100-000001000000}"/>
  <tableColumns count="11">
    <tableColumn id="1" xr3:uid="{00000000-0010-0000-0000-000001000000}" name="Fecha" dataDxfId="33"/>
    <tableColumn id="2" xr3:uid="{00000000-0010-0000-0000-000002000000}" name="Operario" dataDxfId="32"/>
    <tableColumn id="3" xr3:uid="{00000000-0010-0000-0000-000003000000}" name="Pasillo" dataDxfId="31"/>
    <tableColumn id="4" xr3:uid="{00000000-0010-0000-0000-000004000000}" name="Ubicacion" dataDxfId="30"/>
    <tableColumn id="5" xr3:uid="{00000000-0010-0000-0000-000005000000}" name="Codigo" dataDxfId="29"/>
    <tableColumn id="6" xr3:uid="{00000000-0010-0000-0000-000006000000}" name="Descripcion" dataDxfId="28"/>
    <tableColumn id="7" xr3:uid="{00000000-0010-0000-0000-000007000000}" name="UMA" dataDxfId="27"/>
    <tableColumn id="8" xr3:uid="{00000000-0010-0000-0000-000008000000}" name="CamaPqt" dataDxfId="26"/>
    <tableColumn id="9" xr3:uid="{00000000-0010-0000-0000-000009000000}" name="Niveles" dataDxfId="25"/>
    <tableColumn id="10" xr3:uid="{00000000-0010-0000-0000-00000A000000}" name="Saldo" dataDxfId="24"/>
    <tableColumn id="11" xr3:uid="{00000000-0010-0000-0000-00000B000000}" name="Total" dataDxfId="2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21B195-DD03-4631-AC3E-9E2A72F8FCE7}" name="CRUCE" displayName="CRUCE" ref="A2:S602" totalsRowShown="0" headerRowDxfId="22" headerRowBorderDxfId="20" tableBorderDxfId="21" totalsRowBorderDxfId="19">
  <autoFilter ref="A2:S602" xr:uid="{6321B195-DD03-4631-AC3E-9E2A72F8FCE7}"/>
  <tableColumns count="19">
    <tableColumn id="1" xr3:uid="{F0E643D0-20AD-4F5E-9BE8-B8852EBD8EFE}" name="PASILLO" dataDxfId="18"/>
    <tableColumn id="2" xr3:uid="{793BA0D3-0338-43CD-9B1F-AC03FCBA8A95}" name="Ubicacion" dataDxfId="17"/>
    <tableColumn id="3" xr3:uid="{983F2F0D-EA81-4E1E-93F3-E4CE5FB30F6C}" name="SKU" dataDxfId="16"/>
    <tableColumn id="4" xr3:uid="{1A97DF91-62A7-4AA4-95FA-129598B6E05E}" name="EAN" dataDxfId="15"/>
    <tableColumn id="5" xr3:uid="{5401D855-B705-44E1-A07E-0C240CA297C0}" name="DESCRIPCION" dataDxfId="14"/>
    <tableColumn id="6" xr3:uid="{CA11A144-E9ED-40BA-970C-A63DEDA760D3}" name="BULTOS" dataDxfId="13"/>
    <tableColumn id="7" xr3:uid="{7B6B8623-FCBB-49F9-9BAC-393E4277FD06}" name="UMA" dataDxfId="12"/>
    <tableColumn id="8" xr3:uid="{2C253E3E-DE28-43CE-BE38-5C43BDB12698}" name="CODIGO" dataDxfId="11">
      <calculatedColumnFormula>_xlfn.XLOOKUP(CRUCE[[#This Row],[Ubicacion]],Registros[Ubicacion],Registros[Codigo], "")</calculatedColumnFormula>
    </tableColumn>
    <tableColumn id="10" xr3:uid="{F7C08E2B-7134-49B9-AC47-DA5BD3E6860D}" name="TOTAL" dataDxfId="10">
      <calculatedColumnFormula>_xlfn.XLOOKUP(CRUCE[[#This Row],[Ubicacion]],Registros[Ubicacion],Registros[Total], "")</calculatedColumnFormula>
    </tableColumn>
    <tableColumn id="9" xr3:uid="{99C59E71-D018-4200-8386-8EF8D47EEBF6}" name="UMA2" dataDxfId="9">
      <calculatedColumnFormula>_xlfn.XLOOKUP(CRUCE[[#This Row],[Ubicacion]],Registros[Ubicacion],Registros[UMA], "")</calculatedColumnFormula>
    </tableColumn>
    <tableColumn id="11" xr3:uid="{F61CF0B1-82A2-4695-A2F1-F2185CDFC7C6}" name="Diferencia" dataDxfId="8">
      <calculatedColumnFormula>IF(CRUCE[[#This Row],[TOTAL]]="","",CRUCE[[#This Row],[TOTAL]]-CRUCE[[#This Row],[BULTOS]])</calculatedColumnFormula>
    </tableColumn>
    <tableColumn id="12" xr3:uid="{695A9B80-08B1-4B52-B86E-215D28B83005}" name="STATUS" dataDxfId="7">
      <calculatedColumnFormula>IF(CRUCE[[#This Row],[TOTAL]]="", "PENDIENTE", IF(CRUCE[[#This Row],[Diferencia]]=0, "CUADRADO", IF(CRUCE[[#This Row],[Diferencia]]&gt;0, "SOBRANTE", "FALTANTE")))</calculatedColumnFormula>
    </tableColumn>
    <tableColumn id="13" xr3:uid="{095F4F38-15E3-4B09-96C2-20705E1C07BC}" name="RECONTEO" dataDxfId="6">
      <calculatedColumnFormula>IF(CRUCE[[#This Row],[Diferencia]]="","",IF(CRUCE[[#This Row],[Diferencia]]=0,"OK","RECONTEO"))</calculatedColumnFormula>
    </tableColumn>
    <tableColumn id="14" xr3:uid="{A7BDDDA5-1795-45CC-83DF-EB72ADF0BA66}" name="CODIGO2" dataDxfId="5"/>
    <tableColumn id="16" xr3:uid="{4BDCC73B-C6C8-4873-A034-7C6909193A84}" name="TOTAL2" dataDxfId="4"/>
    <tableColumn id="17" xr3:uid="{EE1369D8-6A45-4E16-8B61-36B8AA63E294}" name="DIFERENCIA2" dataDxfId="3"/>
    <tableColumn id="18" xr3:uid="{4539E2F7-6690-4290-B62B-F8ED23891068}" name="STATUS2" dataDxfId="2">
      <calculatedColumnFormula>IF(CRUCE[[#This Row],[TOTAL2]]="", "PENDIENTE", IF(CRUCE[[#This Row],[DIFERENCIA2]]=0, "CUADRADO", IF(CRUCE[[#This Row],[DIFERENCIA2]]&gt;0, "SOBRANTE", "FALTANTE")))</calculatedColumnFormula>
    </tableColumn>
    <tableColumn id="19" xr3:uid="{90C95CEF-DE8C-450F-9F87-38941E580D20}" name="C" dataDxfId="1"/>
    <tableColumn id="15" xr3:uid="{F2BC418C-9A45-403B-9114-1D9725D8B656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E42A-7094-4C06-95F7-682E316EAAF6}">
  <dimension ref="A1:H1556"/>
  <sheetViews>
    <sheetView workbookViewId="0">
      <selection activeCell="E2" sqref="E2"/>
    </sheetView>
  </sheetViews>
  <sheetFormatPr defaultRowHeight="15"/>
  <cols>
    <col min="1" max="1" width="10.7109375" bestFit="1" customWidth="1"/>
    <col min="2" max="2" width="30.7109375" bestFit="1" customWidth="1"/>
    <col min="3" max="3" width="19.28515625" style="36" bestFit="1" customWidth="1"/>
    <col min="5" max="5" width="25.85546875" bestFit="1" customWidth="1"/>
    <col min="6" max="6" width="24.5703125" bestFit="1" customWidth="1"/>
    <col min="7" max="7" width="24.28515625" bestFit="1" customWidth="1"/>
  </cols>
  <sheetData>
    <row r="1" spans="1:8">
      <c r="A1" s="63" t="s">
        <v>0</v>
      </c>
      <c r="B1" s="64" t="s">
        <v>1</v>
      </c>
      <c r="C1" s="65" t="s">
        <v>2</v>
      </c>
      <c r="D1" s="66" t="s">
        <v>3</v>
      </c>
      <c r="E1" s="67" t="s">
        <v>4</v>
      </c>
      <c r="F1" s="67" t="s">
        <v>5</v>
      </c>
      <c r="G1" s="130" t="s">
        <v>6</v>
      </c>
      <c r="H1" s="132" t="s">
        <v>7</v>
      </c>
    </row>
    <row r="2" spans="1:8">
      <c r="A2" s="61">
        <v>5905005</v>
      </c>
      <c r="B2" s="54" t="s">
        <v>8</v>
      </c>
      <c r="C2" s="57">
        <v>17750672000784</v>
      </c>
      <c r="D2" s="54" t="s">
        <v>9</v>
      </c>
      <c r="E2" s="54">
        <v>11</v>
      </c>
      <c r="F2" s="54">
        <v>6</v>
      </c>
      <c r="G2" s="54">
        <v>66</v>
      </c>
      <c r="H2" s="131" t="s">
        <v>10</v>
      </c>
    </row>
    <row r="3" spans="1:8">
      <c r="A3" s="62">
        <v>5905006</v>
      </c>
      <c r="B3" s="55" t="s">
        <v>11</v>
      </c>
      <c r="C3" s="58">
        <v>17750672000777</v>
      </c>
      <c r="D3" s="55" t="s">
        <v>9</v>
      </c>
      <c r="E3" s="55">
        <v>19</v>
      </c>
      <c r="F3" s="55">
        <v>7</v>
      </c>
      <c r="G3" s="55">
        <v>133</v>
      </c>
      <c r="H3" s="131" t="s">
        <v>12</v>
      </c>
    </row>
    <row r="4" spans="1:8">
      <c r="A4" s="61">
        <v>5905007</v>
      </c>
      <c r="B4" s="54" t="s">
        <v>13</v>
      </c>
      <c r="C4" s="57">
        <v>17750672000760</v>
      </c>
      <c r="D4" s="54" t="s">
        <v>9</v>
      </c>
      <c r="E4" s="54">
        <v>11</v>
      </c>
      <c r="F4" s="54">
        <v>6</v>
      </c>
      <c r="G4" s="54">
        <v>66</v>
      </c>
      <c r="H4" s="131" t="s">
        <v>14</v>
      </c>
    </row>
    <row r="5" spans="1:8">
      <c r="A5" s="62">
        <v>5905008</v>
      </c>
      <c r="B5" s="55" t="s">
        <v>15</v>
      </c>
      <c r="C5" s="58">
        <v>17750672001422</v>
      </c>
      <c r="D5" s="55" t="s">
        <v>9</v>
      </c>
      <c r="E5" s="55">
        <v>8</v>
      </c>
      <c r="F5" s="55">
        <v>8</v>
      </c>
      <c r="G5" s="55">
        <v>64</v>
      </c>
      <c r="H5" s="131" t="s">
        <v>16</v>
      </c>
    </row>
    <row r="6" spans="1:8">
      <c r="A6" s="61">
        <v>5905009</v>
      </c>
      <c r="B6" s="54" t="s">
        <v>17</v>
      </c>
      <c r="C6" s="57">
        <v>17750672001408</v>
      </c>
      <c r="D6" s="54" t="s">
        <v>9</v>
      </c>
      <c r="E6" s="54">
        <v>16</v>
      </c>
      <c r="F6" s="54">
        <v>6</v>
      </c>
      <c r="G6" s="54">
        <v>96</v>
      </c>
      <c r="H6" s="131" t="s">
        <v>18</v>
      </c>
    </row>
    <row r="7" spans="1:8">
      <c r="A7" s="62">
        <v>5905010</v>
      </c>
      <c r="B7" s="55" t="s">
        <v>19</v>
      </c>
      <c r="C7" s="58">
        <v>17750672001415</v>
      </c>
      <c r="D7" s="55" t="s">
        <v>9</v>
      </c>
      <c r="E7" s="55">
        <v>16</v>
      </c>
      <c r="F7" s="55">
        <v>6</v>
      </c>
      <c r="G7" s="55">
        <v>96</v>
      </c>
      <c r="H7" s="131" t="s">
        <v>20</v>
      </c>
    </row>
    <row r="8" spans="1:8">
      <c r="A8" s="61">
        <v>5905102</v>
      </c>
      <c r="B8" s="54" t="s">
        <v>21</v>
      </c>
      <c r="C8" s="57">
        <v>17750672000722</v>
      </c>
      <c r="D8" s="54" t="s">
        <v>9</v>
      </c>
      <c r="E8" s="54">
        <v>19</v>
      </c>
      <c r="F8" s="54">
        <v>7</v>
      </c>
      <c r="G8" s="54">
        <v>133</v>
      </c>
      <c r="H8" s="131" t="s">
        <v>22</v>
      </c>
    </row>
    <row r="9" spans="1:8">
      <c r="A9" s="62">
        <v>5905103</v>
      </c>
      <c r="B9" s="55" t="s">
        <v>23</v>
      </c>
      <c r="C9" s="58">
        <v>17750672000678</v>
      </c>
      <c r="D9" s="55" t="s">
        <v>9</v>
      </c>
      <c r="E9" s="55">
        <v>11</v>
      </c>
      <c r="F9" s="55">
        <v>6</v>
      </c>
      <c r="G9" s="55">
        <v>66</v>
      </c>
      <c r="H9" s="131" t="s">
        <v>24</v>
      </c>
    </row>
    <row r="10" spans="1:8">
      <c r="A10" s="61">
        <v>5905104</v>
      </c>
      <c r="B10" s="54" t="s">
        <v>25</v>
      </c>
      <c r="C10" s="57">
        <v>17750672001187</v>
      </c>
      <c r="D10" s="54" t="s">
        <v>9</v>
      </c>
      <c r="E10" s="54">
        <v>12</v>
      </c>
      <c r="F10" s="54">
        <v>6</v>
      </c>
      <c r="G10" s="54">
        <v>72</v>
      </c>
      <c r="H10" s="131" t="s">
        <v>26</v>
      </c>
    </row>
    <row r="11" spans="1:8">
      <c r="A11" s="62">
        <v>5905105</v>
      </c>
      <c r="B11" s="55" t="s">
        <v>27</v>
      </c>
      <c r="C11" s="58">
        <v>17750672001002</v>
      </c>
      <c r="D11" s="55" t="s">
        <v>9</v>
      </c>
      <c r="E11" s="55">
        <v>19</v>
      </c>
      <c r="F11" s="55">
        <v>8</v>
      </c>
      <c r="G11" s="55">
        <v>152</v>
      </c>
      <c r="H11" s="131" t="s">
        <v>28</v>
      </c>
    </row>
    <row r="12" spans="1:8">
      <c r="A12" s="61">
        <v>5905106</v>
      </c>
      <c r="B12" s="54" t="s">
        <v>29</v>
      </c>
      <c r="C12" s="57">
        <v>17750672001064</v>
      </c>
      <c r="D12" s="54" t="s">
        <v>9</v>
      </c>
      <c r="E12" s="54">
        <v>8</v>
      </c>
      <c r="F12" s="54">
        <v>8</v>
      </c>
      <c r="G12" s="54">
        <v>64</v>
      </c>
      <c r="H12" s="131" t="s">
        <v>30</v>
      </c>
    </row>
    <row r="13" spans="1:8">
      <c r="A13" s="62">
        <v>5905107</v>
      </c>
      <c r="B13" s="55" t="s">
        <v>31</v>
      </c>
      <c r="C13" s="58">
        <v>17750672001385</v>
      </c>
      <c r="D13" s="55" t="s">
        <v>9</v>
      </c>
      <c r="E13" s="55">
        <v>16</v>
      </c>
      <c r="F13" s="55">
        <v>6</v>
      </c>
      <c r="G13" s="55">
        <v>96</v>
      </c>
      <c r="H13" s="131" t="s">
        <v>32</v>
      </c>
    </row>
    <row r="14" spans="1:8">
      <c r="A14" s="61">
        <v>5905202</v>
      </c>
      <c r="B14" s="54" t="s">
        <v>33</v>
      </c>
      <c r="C14" s="57">
        <v>17750672000876</v>
      </c>
      <c r="D14" s="54" t="s">
        <v>9</v>
      </c>
      <c r="E14" s="54">
        <v>19</v>
      </c>
      <c r="F14" s="54">
        <v>7</v>
      </c>
      <c r="G14" s="54">
        <v>133</v>
      </c>
      <c r="H14" s="131" t="s">
        <v>34</v>
      </c>
    </row>
    <row r="15" spans="1:8">
      <c r="A15" s="62">
        <v>5905203</v>
      </c>
      <c r="B15" s="55" t="s">
        <v>35</v>
      </c>
      <c r="C15" s="58">
        <v>17750672000883</v>
      </c>
      <c r="D15" s="55" t="s">
        <v>9</v>
      </c>
      <c r="E15" s="55">
        <v>11</v>
      </c>
      <c r="F15" s="55">
        <v>6</v>
      </c>
      <c r="G15" s="55">
        <v>66</v>
      </c>
      <c r="H15" s="131" t="s">
        <v>36</v>
      </c>
    </row>
    <row r="16" spans="1:8">
      <c r="A16" s="61">
        <v>5905204</v>
      </c>
      <c r="B16" s="54" t="s">
        <v>37</v>
      </c>
      <c r="C16" s="57">
        <v>17750672001347</v>
      </c>
      <c r="D16" s="54" t="s">
        <v>9</v>
      </c>
      <c r="E16" s="54">
        <v>19</v>
      </c>
      <c r="F16" s="54">
        <v>8</v>
      </c>
      <c r="G16" s="54">
        <v>152</v>
      </c>
      <c r="H16" s="131" t="s">
        <v>38</v>
      </c>
    </row>
    <row r="17" spans="1:8">
      <c r="A17" s="62">
        <v>5905205</v>
      </c>
      <c r="B17" s="55" t="s">
        <v>39</v>
      </c>
      <c r="C17" s="58">
        <v>17750672001378</v>
      </c>
      <c r="D17" s="55" t="s">
        <v>9</v>
      </c>
      <c r="E17" s="55">
        <v>8</v>
      </c>
      <c r="F17" s="55">
        <v>8</v>
      </c>
      <c r="G17" s="55">
        <v>64</v>
      </c>
      <c r="H17" s="131" t="s">
        <v>40</v>
      </c>
    </row>
    <row r="18" spans="1:8">
      <c r="A18" s="61">
        <v>5905301</v>
      </c>
      <c r="B18" s="54" t="s">
        <v>41</v>
      </c>
      <c r="C18" s="57">
        <v>17750672000487</v>
      </c>
      <c r="D18" s="54" t="s">
        <v>9</v>
      </c>
      <c r="E18" s="54">
        <v>12</v>
      </c>
      <c r="F18" s="54">
        <v>6</v>
      </c>
      <c r="G18" s="54">
        <v>72</v>
      </c>
      <c r="H18" s="131" t="s">
        <v>42</v>
      </c>
    </row>
    <row r="19" spans="1:8">
      <c r="A19" s="62">
        <v>5905402</v>
      </c>
      <c r="B19" s="55" t="s">
        <v>43</v>
      </c>
      <c r="C19" s="58">
        <v>17750672000753</v>
      </c>
      <c r="D19" s="55" t="s">
        <v>9</v>
      </c>
      <c r="E19" s="55">
        <v>19</v>
      </c>
      <c r="F19" s="55">
        <v>7</v>
      </c>
      <c r="G19" s="55">
        <v>133</v>
      </c>
      <c r="H19" s="131" t="s">
        <v>44</v>
      </c>
    </row>
    <row r="20" spans="1:8">
      <c r="A20" s="61">
        <v>5905403</v>
      </c>
      <c r="B20" s="54" t="s">
        <v>45</v>
      </c>
      <c r="C20" s="57">
        <v>17750672000708</v>
      </c>
      <c r="D20" s="54" t="s">
        <v>9</v>
      </c>
      <c r="E20" s="54">
        <v>11</v>
      </c>
      <c r="F20" s="54">
        <v>6</v>
      </c>
      <c r="G20" s="54">
        <v>66</v>
      </c>
      <c r="H20" s="131" t="s">
        <v>46</v>
      </c>
    </row>
    <row r="21" spans="1:8">
      <c r="A21" s="62">
        <v>5905404</v>
      </c>
      <c r="B21" s="55" t="s">
        <v>47</v>
      </c>
      <c r="C21" s="58">
        <v>17750672001194</v>
      </c>
      <c r="D21" s="55" t="s">
        <v>9</v>
      </c>
      <c r="E21" s="55">
        <v>12</v>
      </c>
      <c r="F21" s="55">
        <v>6</v>
      </c>
      <c r="G21" s="55">
        <v>72</v>
      </c>
      <c r="H21" s="131" t="s">
        <v>48</v>
      </c>
    </row>
    <row r="22" spans="1:8">
      <c r="A22" s="61">
        <v>5905405</v>
      </c>
      <c r="B22" s="54" t="s">
        <v>49</v>
      </c>
      <c r="C22" s="57">
        <v>17750672001019</v>
      </c>
      <c r="D22" s="54" t="s">
        <v>9</v>
      </c>
      <c r="E22" s="54">
        <v>19</v>
      </c>
      <c r="F22" s="54">
        <v>8</v>
      </c>
      <c r="G22" s="54">
        <v>152</v>
      </c>
      <c r="H22" s="131" t="s">
        <v>50</v>
      </c>
    </row>
    <row r="23" spans="1:8">
      <c r="A23" s="62">
        <v>5905406</v>
      </c>
      <c r="B23" s="55" t="s">
        <v>51</v>
      </c>
      <c r="C23" s="58">
        <v>17750672001071</v>
      </c>
      <c r="D23" s="55" t="s">
        <v>9</v>
      </c>
      <c r="E23" s="55">
        <v>8</v>
      </c>
      <c r="F23" s="55">
        <v>8</v>
      </c>
      <c r="G23" s="55">
        <v>64</v>
      </c>
      <c r="H23" s="131" t="s">
        <v>52</v>
      </c>
    </row>
    <row r="24" spans="1:8">
      <c r="A24" s="61">
        <v>5905407</v>
      </c>
      <c r="B24" s="54" t="s">
        <v>53</v>
      </c>
      <c r="C24" s="57">
        <v>17750672001392</v>
      </c>
      <c r="D24" s="54" t="s">
        <v>9</v>
      </c>
      <c r="E24" s="54">
        <v>16</v>
      </c>
      <c r="F24" s="54">
        <v>6</v>
      </c>
      <c r="G24" s="54">
        <v>96</v>
      </c>
      <c r="H24" s="131" t="s">
        <v>54</v>
      </c>
    </row>
    <row r="25" spans="1:8">
      <c r="A25" s="62">
        <v>5905500</v>
      </c>
      <c r="B25" s="55" t="s">
        <v>55</v>
      </c>
      <c r="C25" s="58">
        <v>17750672000517</v>
      </c>
      <c r="D25" s="55" t="s">
        <v>9</v>
      </c>
      <c r="E25" s="55">
        <v>19</v>
      </c>
      <c r="F25" s="55">
        <v>7</v>
      </c>
      <c r="G25" s="55">
        <v>133</v>
      </c>
      <c r="H25" s="131" t="s">
        <v>56</v>
      </c>
    </row>
    <row r="26" spans="1:8">
      <c r="A26" s="61">
        <v>5905501</v>
      </c>
      <c r="B26" s="54" t="s">
        <v>57</v>
      </c>
      <c r="C26" s="57">
        <v>17750672000524</v>
      </c>
      <c r="D26" s="54" t="s">
        <v>9</v>
      </c>
      <c r="E26" s="54">
        <v>12</v>
      </c>
      <c r="F26" s="54">
        <v>6</v>
      </c>
      <c r="G26" s="54">
        <v>72</v>
      </c>
      <c r="H26" s="131" t="s">
        <v>58</v>
      </c>
    </row>
    <row r="27" spans="1:8">
      <c r="A27" s="62">
        <v>5905600</v>
      </c>
      <c r="B27" s="55" t="s">
        <v>59</v>
      </c>
      <c r="C27" s="58">
        <v>17750672000746</v>
      </c>
      <c r="D27" s="55" t="s">
        <v>9</v>
      </c>
      <c r="E27" s="55">
        <v>19</v>
      </c>
      <c r="F27" s="55">
        <v>7</v>
      </c>
      <c r="G27" s="55">
        <v>133</v>
      </c>
      <c r="H27" s="131" t="s">
        <v>60</v>
      </c>
    </row>
    <row r="28" spans="1:8">
      <c r="A28" s="61">
        <v>5905601</v>
      </c>
      <c r="B28" s="54" t="s">
        <v>61</v>
      </c>
      <c r="C28" s="57">
        <v>17750672000692</v>
      </c>
      <c r="D28" s="54" t="s">
        <v>9</v>
      </c>
      <c r="E28" s="54">
        <v>11</v>
      </c>
      <c r="F28" s="54">
        <v>6</v>
      </c>
      <c r="G28" s="54">
        <v>66</v>
      </c>
      <c r="H28" s="133" t="s">
        <v>62</v>
      </c>
    </row>
    <row r="29" spans="1:8">
      <c r="A29" s="62">
        <v>5905602</v>
      </c>
      <c r="B29" s="55" t="s">
        <v>63</v>
      </c>
      <c r="C29" s="58">
        <v>17750672001330</v>
      </c>
      <c r="D29" s="55" t="s">
        <v>9</v>
      </c>
      <c r="E29" s="55">
        <v>19</v>
      </c>
      <c r="F29" s="55">
        <v>8</v>
      </c>
      <c r="G29" s="55">
        <v>152</v>
      </c>
      <c r="H29" s="131" t="s">
        <v>64</v>
      </c>
    </row>
    <row r="30" spans="1:8">
      <c r="A30" s="61">
        <v>5905603</v>
      </c>
      <c r="B30" s="54" t="s">
        <v>65</v>
      </c>
      <c r="C30" s="57">
        <v>17750672001361</v>
      </c>
      <c r="D30" s="54" t="s">
        <v>9</v>
      </c>
      <c r="E30" s="54">
        <v>8</v>
      </c>
      <c r="F30" s="54">
        <v>8</v>
      </c>
      <c r="G30" s="54">
        <v>64</v>
      </c>
      <c r="H30" s="131" t="s">
        <v>66</v>
      </c>
    </row>
    <row r="31" spans="1:8">
      <c r="A31" s="62">
        <v>5905700</v>
      </c>
      <c r="B31" s="55" t="s">
        <v>67</v>
      </c>
      <c r="C31" s="58">
        <v>17750672000715</v>
      </c>
      <c r="D31" s="55" t="s">
        <v>9</v>
      </c>
      <c r="E31" s="55">
        <v>19</v>
      </c>
      <c r="F31" s="55">
        <v>7</v>
      </c>
      <c r="G31" s="55">
        <v>133</v>
      </c>
      <c r="H31" s="131" t="s">
        <v>68</v>
      </c>
    </row>
    <row r="32" spans="1:8">
      <c r="A32" s="61">
        <v>5905701</v>
      </c>
      <c r="B32" s="54" t="s">
        <v>69</v>
      </c>
      <c r="C32" s="57">
        <v>17750672000661</v>
      </c>
      <c r="D32" s="54" t="s">
        <v>9</v>
      </c>
      <c r="E32" s="54">
        <v>11</v>
      </c>
      <c r="F32" s="54">
        <v>6</v>
      </c>
      <c r="G32" s="54">
        <v>66</v>
      </c>
      <c r="H32" s="131" t="s">
        <v>70</v>
      </c>
    </row>
    <row r="33" spans="1:8">
      <c r="A33" s="62">
        <v>5905702</v>
      </c>
      <c r="B33" s="55" t="s">
        <v>71</v>
      </c>
      <c r="C33" s="58">
        <v>17750672001323</v>
      </c>
      <c r="D33" s="55" t="s">
        <v>9</v>
      </c>
      <c r="E33" s="55">
        <v>19</v>
      </c>
      <c r="F33" s="55">
        <v>8</v>
      </c>
      <c r="G33" s="55">
        <v>152</v>
      </c>
      <c r="H33" s="131" t="s">
        <v>72</v>
      </c>
    </row>
    <row r="34" spans="1:8">
      <c r="A34" s="61">
        <v>5905703</v>
      </c>
      <c r="B34" s="54" t="s">
        <v>73</v>
      </c>
      <c r="C34" s="57">
        <v>17750672001354</v>
      </c>
      <c r="D34" s="54" t="s">
        <v>9</v>
      </c>
      <c r="E34" s="54">
        <v>8</v>
      </c>
      <c r="F34" s="54">
        <v>8</v>
      </c>
      <c r="G34" s="54">
        <v>64</v>
      </c>
      <c r="H34" s="131" t="s">
        <v>74</v>
      </c>
    </row>
    <row r="35" spans="1:8">
      <c r="A35" s="62">
        <v>5905800</v>
      </c>
      <c r="B35" s="55" t="s">
        <v>75</v>
      </c>
      <c r="C35" s="58">
        <v>17750672000739</v>
      </c>
      <c r="D35" s="55" t="s">
        <v>9</v>
      </c>
      <c r="E35" s="55">
        <v>19</v>
      </c>
      <c r="F35" s="55">
        <v>7</v>
      </c>
      <c r="G35" s="55">
        <v>133</v>
      </c>
      <c r="H35" s="131" t="s">
        <v>76</v>
      </c>
    </row>
    <row r="36" spans="1:8">
      <c r="A36" s="61">
        <v>5905801</v>
      </c>
      <c r="B36" s="54" t="s">
        <v>77</v>
      </c>
      <c r="C36" s="57">
        <v>17750672000685</v>
      </c>
      <c r="D36" s="54" t="s">
        <v>9</v>
      </c>
      <c r="E36" s="54">
        <v>11</v>
      </c>
      <c r="F36" s="54">
        <v>6</v>
      </c>
      <c r="G36" s="54">
        <v>66</v>
      </c>
      <c r="H36" s="131" t="s">
        <v>78</v>
      </c>
    </row>
    <row r="37" spans="1:8">
      <c r="A37" s="62">
        <v>5905802</v>
      </c>
      <c r="B37" s="55" t="s">
        <v>79</v>
      </c>
      <c r="C37" s="58">
        <v>17750672001026</v>
      </c>
      <c r="D37" s="55" t="s">
        <v>9</v>
      </c>
      <c r="E37" s="55">
        <v>19</v>
      </c>
      <c r="F37" s="55">
        <v>8</v>
      </c>
      <c r="G37" s="55">
        <v>152</v>
      </c>
      <c r="H37" s="131" t="s">
        <v>80</v>
      </c>
    </row>
    <row r="38" spans="1:8">
      <c r="A38" s="61">
        <v>5905803</v>
      </c>
      <c r="B38" s="54" t="s">
        <v>81</v>
      </c>
      <c r="C38" s="57">
        <v>17750672001088</v>
      </c>
      <c r="D38" s="54" t="s">
        <v>9</v>
      </c>
      <c r="E38" s="54">
        <v>8</v>
      </c>
      <c r="F38" s="54">
        <v>8</v>
      </c>
      <c r="G38" s="54">
        <v>64</v>
      </c>
      <c r="H38" s="131" t="s">
        <v>82</v>
      </c>
    </row>
    <row r="39" spans="1:8">
      <c r="A39" s="62">
        <v>5905810</v>
      </c>
      <c r="B39" s="55" t="s">
        <v>83</v>
      </c>
      <c r="C39" s="58">
        <v>17750672002795</v>
      </c>
      <c r="D39" s="55" t="s">
        <v>9</v>
      </c>
      <c r="E39" s="55">
        <v>16</v>
      </c>
      <c r="F39" s="55">
        <v>5</v>
      </c>
      <c r="G39" s="55">
        <v>80</v>
      </c>
      <c r="H39" s="131" t="s">
        <v>84</v>
      </c>
    </row>
    <row r="40" spans="1:8">
      <c r="A40" s="61">
        <v>5905811</v>
      </c>
      <c r="B40" s="54" t="s">
        <v>85</v>
      </c>
      <c r="C40" s="57">
        <v>17750672002788</v>
      </c>
      <c r="D40" s="54" t="s">
        <v>9</v>
      </c>
      <c r="E40" s="54">
        <v>16</v>
      </c>
      <c r="F40" s="54">
        <v>5</v>
      </c>
      <c r="G40" s="54">
        <v>80</v>
      </c>
      <c r="H40" s="131" t="s">
        <v>86</v>
      </c>
    </row>
    <row r="41" spans="1:8">
      <c r="A41" s="62">
        <v>5905812</v>
      </c>
      <c r="B41" s="55" t="s">
        <v>87</v>
      </c>
      <c r="C41" s="58">
        <v>17750672002801</v>
      </c>
      <c r="D41" s="55" t="s">
        <v>9</v>
      </c>
      <c r="E41" s="55">
        <v>8</v>
      </c>
      <c r="F41" s="55">
        <v>8</v>
      </c>
      <c r="G41" s="55">
        <v>64</v>
      </c>
      <c r="H41" s="131" t="s">
        <v>88</v>
      </c>
    </row>
    <row r="42" spans="1:8">
      <c r="A42" s="61">
        <v>5905813</v>
      </c>
      <c r="B42" s="54" t="s">
        <v>89</v>
      </c>
      <c r="C42" s="59"/>
      <c r="D42" s="54" t="s">
        <v>9</v>
      </c>
      <c r="E42" s="54">
        <v>8</v>
      </c>
      <c r="F42" s="54">
        <v>8</v>
      </c>
      <c r="G42" s="54">
        <v>64</v>
      </c>
      <c r="H42" s="131" t="s">
        <v>90</v>
      </c>
    </row>
    <row r="43" spans="1:8">
      <c r="A43" s="62">
        <v>5905814</v>
      </c>
      <c r="B43" s="55" t="s">
        <v>91</v>
      </c>
      <c r="C43" s="60"/>
      <c r="D43" s="55" t="s">
        <v>9</v>
      </c>
      <c r="E43" s="55">
        <v>8</v>
      </c>
      <c r="F43" s="55">
        <v>8</v>
      </c>
      <c r="G43" s="55">
        <v>64</v>
      </c>
      <c r="H43" s="131" t="s">
        <v>92</v>
      </c>
    </row>
    <row r="44" spans="1:8">
      <c r="A44" s="61">
        <v>5905822</v>
      </c>
      <c r="B44" s="54" t="s">
        <v>93</v>
      </c>
      <c r="C44" s="57">
        <v>17750672003020</v>
      </c>
      <c r="D44" s="54" t="s">
        <v>9</v>
      </c>
      <c r="E44" s="54">
        <v>8</v>
      </c>
      <c r="F44" s="54">
        <v>8</v>
      </c>
      <c r="G44" s="54">
        <v>64</v>
      </c>
      <c r="H44" s="131" t="s">
        <v>94</v>
      </c>
    </row>
    <row r="45" spans="1:8">
      <c r="A45" s="62">
        <v>5905903</v>
      </c>
      <c r="B45" s="55" t="s">
        <v>95</v>
      </c>
      <c r="C45" s="58">
        <v>17750672001781</v>
      </c>
      <c r="D45" s="55" t="s">
        <v>9</v>
      </c>
      <c r="E45" s="55">
        <v>8</v>
      </c>
      <c r="F45" s="55">
        <v>8</v>
      </c>
      <c r="G45" s="55">
        <v>64</v>
      </c>
      <c r="H45" s="131" t="s">
        <v>96</v>
      </c>
    </row>
    <row r="46" spans="1:8">
      <c r="A46" s="61">
        <v>8300003</v>
      </c>
      <c r="B46" s="54" t="s">
        <v>97</v>
      </c>
      <c r="C46" s="57">
        <v>17751851027028</v>
      </c>
      <c r="D46" s="54" t="s">
        <v>9</v>
      </c>
      <c r="E46" s="54">
        <v>9</v>
      </c>
      <c r="F46" s="54">
        <v>3</v>
      </c>
      <c r="G46" s="54">
        <v>27</v>
      </c>
      <c r="H46" s="131" t="s">
        <v>98</v>
      </c>
    </row>
    <row r="47" spans="1:8">
      <c r="A47" s="62">
        <v>8300013</v>
      </c>
      <c r="B47" s="55" t="s">
        <v>99</v>
      </c>
      <c r="C47" s="58">
        <v>7751851029292</v>
      </c>
      <c r="D47" s="55" t="s">
        <v>100</v>
      </c>
      <c r="E47" s="55">
        <v>17</v>
      </c>
      <c r="F47" s="55">
        <v>2</v>
      </c>
      <c r="G47" s="55">
        <v>34</v>
      </c>
      <c r="H47" s="131" t="s">
        <v>101</v>
      </c>
    </row>
    <row r="48" spans="1:8">
      <c r="A48" s="61">
        <v>8300014</v>
      </c>
      <c r="B48" s="54" t="s">
        <v>102</v>
      </c>
      <c r="C48" s="57">
        <v>7751851029315</v>
      </c>
      <c r="D48" s="54" t="s">
        <v>100</v>
      </c>
      <c r="E48" s="54">
        <v>17</v>
      </c>
      <c r="F48" s="54">
        <v>2</v>
      </c>
      <c r="G48" s="54">
        <v>34</v>
      </c>
      <c r="H48" s="131" t="s">
        <v>103</v>
      </c>
    </row>
    <row r="49" spans="1:8">
      <c r="A49" s="62">
        <v>8300021</v>
      </c>
      <c r="B49" s="55" t="s">
        <v>104</v>
      </c>
      <c r="C49" s="58">
        <v>27751851021412</v>
      </c>
      <c r="D49" s="55" t="s">
        <v>9</v>
      </c>
      <c r="E49" s="55">
        <v>19</v>
      </c>
      <c r="F49" s="55">
        <v>6</v>
      </c>
      <c r="G49" s="55">
        <v>114</v>
      </c>
      <c r="H49" s="131" t="s">
        <v>105</v>
      </c>
    </row>
    <row r="50" spans="1:8">
      <c r="A50" s="61">
        <v>8300022</v>
      </c>
      <c r="B50" s="54" t="s">
        <v>106</v>
      </c>
      <c r="C50" s="57">
        <v>27751851021429</v>
      </c>
      <c r="D50" s="54" t="s">
        <v>9</v>
      </c>
      <c r="E50" s="54">
        <v>13</v>
      </c>
      <c r="F50" s="54">
        <v>5</v>
      </c>
      <c r="G50" s="54">
        <v>65</v>
      </c>
      <c r="H50" s="131" t="s">
        <v>107</v>
      </c>
    </row>
    <row r="51" spans="1:8">
      <c r="A51" s="62">
        <v>8300023</v>
      </c>
      <c r="B51" s="55" t="s">
        <v>108</v>
      </c>
      <c r="C51" s="58">
        <v>17751851017340</v>
      </c>
      <c r="D51" s="55" t="s">
        <v>9</v>
      </c>
      <c r="E51" s="55">
        <v>11</v>
      </c>
      <c r="F51" s="55">
        <v>4</v>
      </c>
      <c r="G51" s="55">
        <v>44</v>
      </c>
      <c r="H51" s="131" t="s">
        <v>109</v>
      </c>
    </row>
    <row r="52" spans="1:8">
      <c r="A52" s="61">
        <v>8300038</v>
      </c>
      <c r="B52" s="54" t="s">
        <v>110</v>
      </c>
      <c r="C52" s="59"/>
      <c r="D52" s="54" t="s">
        <v>111</v>
      </c>
      <c r="E52" s="56"/>
      <c r="F52" s="56"/>
      <c r="G52" s="56"/>
      <c r="H52" s="131" t="s">
        <v>112</v>
      </c>
    </row>
    <row r="53" spans="1:8">
      <c r="A53" s="62">
        <v>8300041</v>
      </c>
      <c r="B53" s="55" t="s">
        <v>113</v>
      </c>
      <c r="C53" s="58">
        <v>17750243060643</v>
      </c>
      <c r="D53" s="55" t="s">
        <v>9</v>
      </c>
      <c r="E53" s="55">
        <v>9</v>
      </c>
      <c r="F53" s="55">
        <v>3</v>
      </c>
      <c r="G53" s="55">
        <v>27</v>
      </c>
      <c r="H53" s="131" t="s">
        <v>114</v>
      </c>
    </row>
    <row r="54" spans="1:8">
      <c r="A54" s="61">
        <v>8300052</v>
      </c>
      <c r="B54" s="54" t="s">
        <v>115</v>
      </c>
      <c r="C54" s="57">
        <v>17750243060735</v>
      </c>
      <c r="D54" s="54" t="s">
        <v>9</v>
      </c>
      <c r="E54" s="54">
        <v>9</v>
      </c>
      <c r="F54" s="54">
        <v>4</v>
      </c>
      <c r="G54" s="54">
        <v>36</v>
      </c>
      <c r="H54" s="131" t="s">
        <v>116</v>
      </c>
    </row>
    <row r="55" spans="1:8">
      <c r="A55" s="62">
        <v>8300062</v>
      </c>
      <c r="B55" s="55" t="s">
        <v>117</v>
      </c>
      <c r="C55" s="58">
        <v>17750243066393</v>
      </c>
      <c r="D55" s="55" t="s">
        <v>9</v>
      </c>
      <c r="E55" s="55">
        <v>13</v>
      </c>
      <c r="F55" s="55">
        <v>5</v>
      </c>
      <c r="G55" s="55">
        <v>65</v>
      </c>
      <c r="H55" s="131" t="s">
        <v>118</v>
      </c>
    </row>
    <row r="56" spans="1:8">
      <c r="A56" s="61">
        <v>8300073</v>
      </c>
      <c r="B56" s="54" t="s">
        <v>119</v>
      </c>
      <c r="C56" s="57">
        <v>17750243067819</v>
      </c>
      <c r="D56" s="54" t="s">
        <v>9</v>
      </c>
      <c r="E56" s="54">
        <v>13</v>
      </c>
      <c r="F56" s="54">
        <v>5</v>
      </c>
      <c r="G56" s="54">
        <v>65</v>
      </c>
      <c r="H56" s="131" t="s">
        <v>120</v>
      </c>
    </row>
    <row r="57" spans="1:8">
      <c r="A57" s="62">
        <v>8300074</v>
      </c>
      <c r="B57" s="55" t="s">
        <v>121</v>
      </c>
      <c r="C57" s="58">
        <v>17750243067826</v>
      </c>
      <c r="D57" s="55" t="s">
        <v>9</v>
      </c>
      <c r="E57" s="55">
        <v>11</v>
      </c>
      <c r="F57" s="55">
        <v>4</v>
      </c>
      <c r="G57" s="55">
        <v>44</v>
      </c>
      <c r="H57" s="131" t="s">
        <v>122</v>
      </c>
    </row>
    <row r="58" spans="1:8">
      <c r="A58" s="61">
        <v>8300079</v>
      </c>
      <c r="B58" s="54" t="s">
        <v>123</v>
      </c>
      <c r="C58" s="57">
        <v>17750243073292</v>
      </c>
      <c r="D58" s="54" t="s">
        <v>9</v>
      </c>
      <c r="E58" s="54">
        <v>11</v>
      </c>
      <c r="F58" s="54">
        <v>4</v>
      </c>
      <c r="G58" s="54">
        <v>44</v>
      </c>
      <c r="H58" s="131" t="s">
        <v>124</v>
      </c>
    </row>
    <row r="59" spans="1:8">
      <c r="A59" s="62">
        <v>8300080</v>
      </c>
      <c r="B59" s="55" t="s">
        <v>125</v>
      </c>
      <c r="C59" s="58">
        <v>17750243073308</v>
      </c>
      <c r="D59" s="55" t="s">
        <v>9</v>
      </c>
      <c r="E59" s="55">
        <v>10</v>
      </c>
      <c r="F59" s="55">
        <v>4</v>
      </c>
      <c r="G59" s="55">
        <v>40</v>
      </c>
      <c r="H59" s="131" t="s">
        <v>126</v>
      </c>
    </row>
    <row r="60" spans="1:8">
      <c r="A60" s="61">
        <v>8300085</v>
      </c>
      <c r="B60" s="54" t="s">
        <v>127</v>
      </c>
      <c r="C60" s="57">
        <v>17750243073353</v>
      </c>
      <c r="D60" s="54" t="s">
        <v>9</v>
      </c>
      <c r="E60" s="54">
        <v>19</v>
      </c>
      <c r="F60" s="54">
        <v>6</v>
      </c>
      <c r="G60" s="54">
        <v>114</v>
      </c>
      <c r="H60" s="131" t="s">
        <v>128</v>
      </c>
    </row>
    <row r="61" spans="1:8">
      <c r="A61" s="62">
        <v>8300089</v>
      </c>
      <c r="B61" s="55" t="s">
        <v>129</v>
      </c>
      <c r="C61" s="58">
        <v>17750243074077</v>
      </c>
      <c r="D61" s="55" t="s">
        <v>9</v>
      </c>
      <c r="E61" s="55">
        <v>19</v>
      </c>
      <c r="F61" s="55">
        <v>5</v>
      </c>
      <c r="G61" s="55">
        <v>95</v>
      </c>
      <c r="H61" s="131" t="s">
        <v>130</v>
      </c>
    </row>
    <row r="62" spans="1:8">
      <c r="A62" s="61">
        <v>8300091</v>
      </c>
      <c r="B62" s="54" t="s">
        <v>131</v>
      </c>
      <c r="C62" s="57">
        <v>17750243074091</v>
      </c>
      <c r="D62" s="54" t="s">
        <v>9</v>
      </c>
      <c r="E62" s="54">
        <v>11</v>
      </c>
      <c r="F62" s="54">
        <v>3</v>
      </c>
      <c r="G62" s="54">
        <v>33</v>
      </c>
      <c r="H62" s="131" t="s">
        <v>132</v>
      </c>
    </row>
    <row r="63" spans="1:8">
      <c r="A63" s="62">
        <v>8300093</v>
      </c>
      <c r="B63" s="55" t="s">
        <v>133</v>
      </c>
      <c r="C63" s="58">
        <v>27751851027025</v>
      </c>
      <c r="D63" s="55" t="s">
        <v>9</v>
      </c>
      <c r="E63" s="55">
        <v>9</v>
      </c>
      <c r="F63" s="55">
        <v>3</v>
      </c>
      <c r="G63" s="55">
        <v>27</v>
      </c>
      <c r="H63" s="131" t="s">
        <v>134</v>
      </c>
    </row>
    <row r="64" spans="1:8">
      <c r="A64" s="61">
        <v>8300095</v>
      </c>
      <c r="B64" s="54" t="s">
        <v>135</v>
      </c>
      <c r="C64" s="57">
        <v>27750243074081</v>
      </c>
      <c r="D64" s="54" t="s">
        <v>9</v>
      </c>
      <c r="E64" s="54">
        <v>13</v>
      </c>
      <c r="F64" s="54">
        <v>4</v>
      </c>
      <c r="G64" s="54">
        <v>52</v>
      </c>
      <c r="H64" s="131" t="s">
        <v>136</v>
      </c>
    </row>
    <row r="65" spans="1:8">
      <c r="A65" s="62">
        <v>8300097</v>
      </c>
      <c r="B65" s="55" t="s">
        <v>137</v>
      </c>
      <c r="C65" s="58">
        <v>17750243075715</v>
      </c>
      <c r="D65" s="55" t="s">
        <v>9</v>
      </c>
      <c r="E65" s="55">
        <v>17</v>
      </c>
      <c r="F65" s="55">
        <v>5</v>
      </c>
      <c r="G65" s="55">
        <v>85</v>
      </c>
      <c r="H65" s="131" t="s">
        <v>138</v>
      </c>
    </row>
    <row r="66" spans="1:8">
      <c r="A66" s="61">
        <v>8300098</v>
      </c>
      <c r="B66" s="54" t="s">
        <v>139</v>
      </c>
      <c r="C66" s="57">
        <v>17750243075722</v>
      </c>
      <c r="D66" s="54" t="s">
        <v>9</v>
      </c>
      <c r="E66" s="54">
        <v>11</v>
      </c>
      <c r="F66" s="54">
        <v>4</v>
      </c>
      <c r="G66" s="54">
        <v>44</v>
      </c>
      <c r="H66" s="131" t="s">
        <v>140</v>
      </c>
    </row>
    <row r="67" spans="1:8">
      <c r="A67" s="62">
        <v>8300100</v>
      </c>
      <c r="B67" s="55" t="s">
        <v>141</v>
      </c>
      <c r="C67" s="58">
        <v>17750243076460</v>
      </c>
      <c r="D67" s="55" t="s">
        <v>9</v>
      </c>
      <c r="E67" s="55">
        <v>10</v>
      </c>
      <c r="F67" s="55">
        <v>3</v>
      </c>
      <c r="G67" s="55">
        <v>30</v>
      </c>
      <c r="H67" s="131" t="s">
        <v>142</v>
      </c>
    </row>
    <row r="68" spans="1:8">
      <c r="A68" s="61">
        <v>8300102</v>
      </c>
      <c r="B68" s="54" t="s">
        <v>143</v>
      </c>
      <c r="C68" s="57">
        <v>27750243075705</v>
      </c>
      <c r="D68" s="54" t="s">
        <v>9</v>
      </c>
      <c r="E68" s="54">
        <v>19</v>
      </c>
      <c r="F68" s="54">
        <v>5</v>
      </c>
      <c r="G68" s="54">
        <v>95</v>
      </c>
      <c r="H68" s="131" t="s">
        <v>144</v>
      </c>
    </row>
    <row r="69" spans="1:8">
      <c r="A69" s="62">
        <v>8300103</v>
      </c>
      <c r="B69" s="55" t="s">
        <v>145</v>
      </c>
      <c r="C69" s="58">
        <v>27750243075712</v>
      </c>
      <c r="D69" s="55" t="s">
        <v>9</v>
      </c>
      <c r="E69" s="55">
        <v>17</v>
      </c>
      <c r="F69" s="55">
        <v>5</v>
      </c>
      <c r="G69" s="55">
        <v>85</v>
      </c>
      <c r="H69" s="131" t="s">
        <v>146</v>
      </c>
    </row>
    <row r="70" spans="1:8">
      <c r="A70" s="61">
        <v>8300104</v>
      </c>
      <c r="B70" s="54" t="s">
        <v>147</v>
      </c>
      <c r="C70" s="57">
        <v>27750243075729</v>
      </c>
      <c r="D70" s="54" t="s">
        <v>9</v>
      </c>
      <c r="E70" s="54">
        <v>11</v>
      </c>
      <c r="F70" s="54">
        <v>4</v>
      </c>
      <c r="G70" s="54">
        <v>44</v>
      </c>
      <c r="H70" s="131" t="s">
        <v>148</v>
      </c>
    </row>
    <row r="71" spans="1:8">
      <c r="A71" s="62">
        <v>8300105</v>
      </c>
      <c r="B71" s="55" t="s">
        <v>149</v>
      </c>
      <c r="C71" s="58">
        <v>17750243077177</v>
      </c>
      <c r="D71" s="55" t="s">
        <v>9</v>
      </c>
      <c r="E71" s="55">
        <v>9</v>
      </c>
      <c r="F71" s="55">
        <v>3</v>
      </c>
      <c r="G71" s="55">
        <v>27</v>
      </c>
      <c r="H71" s="131" t="s">
        <v>150</v>
      </c>
    </row>
    <row r="72" spans="1:8">
      <c r="A72" s="61">
        <v>8300108</v>
      </c>
      <c r="B72" s="54" t="s">
        <v>151</v>
      </c>
      <c r="C72" s="57">
        <v>17750243078488</v>
      </c>
      <c r="D72" s="54" t="s">
        <v>9</v>
      </c>
      <c r="E72" s="54">
        <v>9</v>
      </c>
      <c r="F72" s="54">
        <v>3</v>
      </c>
      <c r="G72" s="54">
        <v>27</v>
      </c>
      <c r="H72" s="131" t="s">
        <v>152</v>
      </c>
    </row>
    <row r="73" spans="1:8">
      <c r="A73" s="62">
        <v>8300110</v>
      </c>
      <c r="B73" s="55" t="s">
        <v>153</v>
      </c>
      <c r="C73" s="58">
        <v>17750243082218</v>
      </c>
      <c r="D73" s="55" t="s">
        <v>9</v>
      </c>
      <c r="E73" s="55">
        <v>19</v>
      </c>
      <c r="F73" s="55">
        <v>5</v>
      </c>
      <c r="G73" s="55">
        <v>95</v>
      </c>
      <c r="H73" s="131" t="s">
        <v>154</v>
      </c>
    </row>
    <row r="74" spans="1:8">
      <c r="A74" s="61">
        <v>8300111</v>
      </c>
      <c r="B74" s="54" t="s">
        <v>155</v>
      </c>
      <c r="C74" s="57">
        <v>17750243082225</v>
      </c>
      <c r="D74" s="54" t="s">
        <v>9</v>
      </c>
      <c r="E74" s="54">
        <v>17</v>
      </c>
      <c r="F74" s="54">
        <v>5</v>
      </c>
      <c r="G74" s="54">
        <v>85</v>
      </c>
      <c r="H74" s="131" t="s">
        <v>156</v>
      </c>
    </row>
    <row r="75" spans="1:8">
      <c r="A75" s="62">
        <v>8300112</v>
      </c>
      <c r="B75" s="55" t="s">
        <v>157</v>
      </c>
      <c r="C75" s="58">
        <v>17750243082232</v>
      </c>
      <c r="D75" s="55" t="s">
        <v>9</v>
      </c>
      <c r="E75" s="55">
        <v>11</v>
      </c>
      <c r="F75" s="55">
        <v>4</v>
      </c>
      <c r="G75" s="55">
        <v>44</v>
      </c>
      <c r="H75" s="131" t="s">
        <v>158</v>
      </c>
    </row>
    <row r="76" spans="1:8">
      <c r="A76" s="61">
        <v>8300113</v>
      </c>
      <c r="B76" s="54" t="s">
        <v>159</v>
      </c>
      <c r="C76" s="57">
        <v>17750243082249</v>
      </c>
      <c r="D76" s="54" t="s">
        <v>9</v>
      </c>
      <c r="E76" s="54">
        <v>19</v>
      </c>
      <c r="F76" s="54">
        <v>5</v>
      </c>
      <c r="G76" s="54">
        <v>95</v>
      </c>
      <c r="H76" s="131" t="s">
        <v>160</v>
      </c>
    </row>
    <row r="77" spans="1:8">
      <c r="A77" s="62">
        <v>8300114</v>
      </c>
      <c r="B77" s="55" t="s">
        <v>161</v>
      </c>
      <c r="C77" s="58">
        <v>17750243082256</v>
      </c>
      <c r="D77" s="55" t="s">
        <v>9</v>
      </c>
      <c r="E77" s="55">
        <v>13</v>
      </c>
      <c r="F77" s="55">
        <v>4</v>
      </c>
      <c r="G77" s="55">
        <v>52</v>
      </c>
      <c r="H77" s="131" t="s">
        <v>162</v>
      </c>
    </row>
    <row r="78" spans="1:8">
      <c r="A78" s="61">
        <v>8300115</v>
      </c>
      <c r="B78" s="54" t="s">
        <v>163</v>
      </c>
      <c r="C78" s="57">
        <v>17750243082263</v>
      </c>
      <c r="D78" s="54" t="s">
        <v>9</v>
      </c>
      <c r="E78" s="54">
        <v>11</v>
      </c>
      <c r="F78" s="54">
        <v>3</v>
      </c>
      <c r="G78" s="54">
        <v>33</v>
      </c>
      <c r="H78" s="131" t="s">
        <v>164</v>
      </c>
    </row>
    <row r="79" spans="1:8">
      <c r="A79" s="62">
        <v>8300116</v>
      </c>
      <c r="B79" s="55" t="s">
        <v>165</v>
      </c>
      <c r="C79" s="58">
        <v>17750243082270</v>
      </c>
      <c r="D79" s="55" t="s">
        <v>9</v>
      </c>
      <c r="E79" s="55">
        <v>10</v>
      </c>
      <c r="F79" s="55">
        <v>3</v>
      </c>
      <c r="G79" s="55">
        <v>30</v>
      </c>
      <c r="H79" s="131" t="s">
        <v>166</v>
      </c>
    </row>
    <row r="80" spans="1:8">
      <c r="A80" s="61">
        <v>8300117</v>
      </c>
      <c r="B80" s="54" t="s">
        <v>167</v>
      </c>
      <c r="C80" s="57">
        <v>17750243082287</v>
      </c>
      <c r="D80" s="54" t="s">
        <v>9</v>
      </c>
      <c r="E80" s="54">
        <v>9</v>
      </c>
      <c r="F80" s="54">
        <v>3</v>
      </c>
      <c r="G80" s="54">
        <v>27</v>
      </c>
      <c r="H80" s="131" t="s">
        <v>168</v>
      </c>
    </row>
    <row r="81" spans="1:8">
      <c r="A81" s="62">
        <v>8300118</v>
      </c>
      <c r="B81" s="55" t="s">
        <v>169</v>
      </c>
      <c r="C81" s="58">
        <v>7750243083959</v>
      </c>
      <c r="D81" s="55" t="s">
        <v>100</v>
      </c>
      <c r="E81" s="55">
        <v>36</v>
      </c>
      <c r="F81" s="55">
        <v>3</v>
      </c>
      <c r="G81" s="55">
        <v>108</v>
      </c>
      <c r="H81" s="131" t="s">
        <v>170</v>
      </c>
    </row>
    <row r="82" spans="1:8">
      <c r="A82" s="61">
        <v>8300119</v>
      </c>
      <c r="B82" s="54" t="s">
        <v>171</v>
      </c>
      <c r="C82" s="57">
        <v>17750243084618</v>
      </c>
      <c r="D82" s="54" t="s">
        <v>9</v>
      </c>
      <c r="E82" s="54">
        <v>6</v>
      </c>
      <c r="F82" s="54">
        <v>4</v>
      </c>
      <c r="G82" s="54">
        <v>24</v>
      </c>
      <c r="H82" s="131" t="s">
        <v>172</v>
      </c>
    </row>
    <row r="83" spans="1:8">
      <c r="A83" s="62">
        <v>8300120</v>
      </c>
      <c r="B83" s="55" t="s">
        <v>173</v>
      </c>
      <c r="C83" s="58">
        <v>17750243085424</v>
      </c>
      <c r="D83" s="55" t="s">
        <v>9</v>
      </c>
      <c r="E83" s="55">
        <v>13</v>
      </c>
      <c r="F83" s="55">
        <v>4</v>
      </c>
      <c r="G83" s="55">
        <v>52</v>
      </c>
      <c r="H83" s="133" t="s">
        <v>174</v>
      </c>
    </row>
    <row r="84" spans="1:8">
      <c r="A84" s="61">
        <v>8300121</v>
      </c>
      <c r="B84" s="54" t="s">
        <v>175</v>
      </c>
      <c r="C84" s="57">
        <v>27750243086688</v>
      </c>
      <c r="D84" s="54" t="s">
        <v>9</v>
      </c>
      <c r="E84" s="54">
        <v>9</v>
      </c>
      <c r="F84" s="54">
        <v>3</v>
      </c>
      <c r="G84" s="54">
        <v>27</v>
      </c>
      <c r="H84" s="131" t="s">
        <v>176</v>
      </c>
    </row>
    <row r="85" spans="1:8">
      <c r="A85" s="62">
        <v>8300122</v>
      </c>
      <c r="B85" s="55" t="s">
        <v>177</v>
      </c>
      <c r="C85" s="58">
        <v>17750243087558</v>
      </c>
      <c r="D85" s="55" t="s">
        <v>9</v>
      </c>
      <c r="E85" s="55">
        <v>11</v>
      </c>
      <c r="F85" s="55">
        <v>4</v>
      </c>
      <c r="G85" s="55">
        <v>44</v>
      </c>
      <c r="H85" s="131" t="s">
        <v>178</v>
      </c>
    </row>
    <row r="86" spans="1:8">
      <c r="A86" s="61">
        <v>8300123</v>
      </c>
      <c r="B86" s="54" t="s">
        <v>179</v>
      </c>
      <c r="C86" s="57">
        <v>17750243087565</v>
      </c>
      <c r="D86" s="54" t="s">
        <v>9</v>
      </c>
      <c r="E86" s="54">
        <v>19</v>
      </c>
      <c r="F86" s="54">
        <v>5</v>
      </c>
      <c r="G86" s="54">
        <v>95</v>
      </c>
      <c r="H86" s="131" t="s">
        <v>180</v>
      </c>
    </row>
    <row r="87" spans="1:8">
      <c r="A87" s="62">
        <v>8301000</v>
      </c>
      <c r="B87" s="55" t="s">
        <v>181</v>
      </c>
      <c r="C87" s="58">
        <v>17751851013380</v>
      </c>
      <c r="D87" s="55" t="s">
        <v>9</v>
      </c>
      <c r="E87" s="55">
        <v>12</v>
      </c>
      <c r="F87" s="55">
        <v>3</v>
      </c>
      <c r="G87" s="55">
        <v>36</v>
      </c>
      <c r="H87" s="131" t="s">
        <v>182</v>
      </c>
    </row>
    <row r="88" spans="1:8">
      <c r="A88" s="61">
        <v>8301001</v>
      </c>
      <c r="B88" s="54" t="s">
        <v>183</v>
      </c>
      <c r="C88" s="57">
        <v>17751851009062</v>
      </c>
      <c r="D88" s="54" t="s">
        <v>9</v>
      </c>
      <c r="E88" s="54">
        <v>10</v>
      </c>
      <c r="F88" s="54">
        <v>4</v>
      </c>
      <c r="G88" s="54">
        <v>40</v>
      </c>
      <c r="H88" s="131" t="s">
        <v>184</v>
      </c>
    </row>
    <row r="89" spans="1:8">
      <c r="A89" s="62">
        <v>8301002</v>
      </c>
      <c r="B89" s="55" t="s">
        <v>185</v>
      </c>
      <c r="C89" s="58">
        <v>27751851544195</v>
      </c>
      <c r="D89" s="55" t="s">
        <v>9</v>
      </c>
      <c r="E89" s="55">
        <v>12</v>
      </c>
      <c r="F89" s="55">
        <v>3</v>
      </c>
      <c r="G89" s="55">
        <v>36</v>
      </c>
      <c r="H89" s="131" t="s">
        <v>186</v>
      </c>
    </row>
    <row r="90" spans="1:8">
      <c r="A90" s="61">
        <v>8301003</v>
      </c>
      <c r="B90" s="54" t="s">
        <v>187</v>
      </c>
      <c r="C90" s="57">
        <v>27751851001728</v>
      </c>
      <c r="D90" s="54" t="s">
        <v>9</v>
      </c>
      <c r="E90" s="54">
        <v>11</v>
      </c>
      <c r="F90" s="54">
        <v>3</v>
      </c>
      <c r="G90" s="54">
        <v>33</v>
      </c>
      <c r="H90" s="131" t="s">
        <v>188</v>
      </c>
    </row>
    <row r="91" spans="1:8">
      <c r="A91" s="62">
        <v>8301004</v>
      </c>
      <c r="B91" s="55" t="s">
        <v>189</v>
      </c>
      <c r="C91" s="58">
        <v>17751851015520</v>
      </c>
      <c r="D91" s="55" t="s">
        <v>9</v>
      </c>
      <c r="E91" s="55">
        <v>52</v>
      </c>
      <c r="F91" s="55">
        <v>7</v>
      </c>
      <c r="G91" s="55">
        <v>364</v>
      </c>
      <c r="H91" s="131" t="s">
        <v>190</v>
      </c>
    </row>
    <row r="92" spans="1:8">
      <c r="A92" s="61">
        <v>8301018</v>
      </c>
      <c r="B92" s="54" t="s">
        <v>191</v>
      </c>
      <c r="C92" s="57">
        <v>17751851029077</v>
      </c>
      <c r="D92" s="54" t="s">
        <v>9</v>
      </c>
      <c r="E92" s="54">
        <v>10</v>
      </c>
      <c r="F92" s="54">
        <v>6</v>
      </c>
      <c r="G92" s="54">
        <v>60</v>
      </c>
      <c r="H92" s="131" t="s">
        <v>192</v>
      </c>
    </row>
    <row r="93" spans="1:8">
      <c r="A93" s="62">
        <v>8301019</v>
      </c>
      <c r="B93" s="55" t="s">
        <v>193</v>
      </c>
      <c r="C93" s="58">
        <v>17751851026441</v>
      </c>
      <c r="D93" s="55" t="s">
        <v>9</v>
      </c>
      <c r="E93" s="55">
        <v>12</v>
      </c>
      <c r="F93" s="55">
        <v>3</v>
      </c>
      <c r="G93" s="55">
        <v>36</v>
      </c>
      <c r="H93" s="131" t="s">
        <v>194</v>
      </c>
    </row>
    <row r="94" spans="1:8">
      <c r="A94" s="61">
        <v>8301020</v>
      </c>
      <c r="B94" s="54" t="s">
        <v>195</v>
      </c>
      <c r="C94" s="57">
        <v>17751851014820</v>
      </c>
      <c r="D94" s="54" t="s">
        <v>9</v>
      </c>
      <c r="E94" s="54">
        <v>10</v>
      </c>
      <c r="F94" s="54">
        <v>4</v>
      </c>
      <c r="G94" s="54">
        <v>40</v>
      </c>
      <c r="H94" s="131" t="s">
        <v>196</v>
      </c>
    </row>
    <row r="95" spans="1:8">
      <c r="A95" s="62">
        <v>8301022</v>
      </c>
      <c r="B95" s="55" t="s">
        <v>197</v>
      </c>
      <c r="C95" s="58">
        <v>17751851032428</v>
      </c>
      <c r="D95" s="55" t="s">
        <v>9</v>
      </c>
      <c r="E95" s="55">
        <v>11</v>
      </c>
      <c r="F95" s="55">
        <v>3</v>
      </c>
      <c r="G95" s="55">
        <v>33</v>
      </c>
      <c r="H95" s="131" t="s">
        <v>198</v>
      </c>
    </row>
    <row r="96" spans="1:8">
      <c r="A96" s="61">
        <v>8301030</v>
      </c>
      <c r="B96" s="54" t="s">
        <v>199</v>
      </c>
      <c r="C96" s="57">
        <v>17751851032725</v>
      </c>
      <c r="D96" s="54" t="s">
        <v>9</v>
      </c>
      <c r="E96" s="54">
        <v>11</v>
      </c>
      <c r="F96" s="54">
        <v>5</v>
      </c>
      <c r="G96" s="54">
        <v>55</v>
      </c>
      <c r="H96" s="131" t="s">
        <v>200</v>
      </c>
    </row>
    <row r="97" spans="1:8">
      <c r="A97" s="62">
        <v>8301043</v>
      </c>
      <c r="B97" s="55" t="s">
        <v>201</v>
      </c>
      <c r="C97" s="58">
        <v>17751851027448</v>
      </c>
      <c r="D97" s="55" t="s">
        <v>9</v>
      </c>
      <c r="E97" s="55">
        <v>10</v>
      </c>
      <c r="F97" s="55">
        <v>4</v>
      </c>
      <c r="G97" s="55">
        <v>40</v>
      </c>
      <c r="H97" s="131" t="s">
        <v>202</v>
      </c>
    </row>
    <row r="98" spans="1:8">
      <c r="A98" s="61">
        <v>8301100</v>
      </c>
      <c r="B98" s="54" t="s">
        <v>203</v>
      </c>
      <c r="C98" s="57">
        <v>17751851020463</v>
      </c>
      <c r="D98" s="54" t="s">
        <v>9</v>
      </c>
      <c r="E98" s="54">
        <v>17</v>
      </c>
      <c r="F98" s="54">
        <v>4</v>
      </c>
      <c r="G98" s="54">
        <v>68</v>
      </c>
      <c r="H98" s="131" t="s">
        <v>204</v>
      </c>
    </row>
    <row r="99" spans="1:8">
      <c r="A99" s="62">
        <v>8301101</v>
      </c>
      <c r="B99" s="55" t="s">
        <v>205</v>
      </c>
      <c r="C99" s="58">
        <v>17751851014912</v>
      </c>
      <c r="D99" s="55" t="s">
        <v>9</v>
      </c>
      <c r="E99" s="55">
        <v>17</v>
      </c>
      <c r="F99" s="55">
        <v>4</v>
      </c>
      <c r="G99" s="55">
        <v>68</v>
      </c>
      <c r="H99" s="131" t="s">
        <v>206</v>
      </c>
    </row>
    <row r="100" spans="1:8">
      <c r="A100" s="61">
        <v>8301102</v>
      </c>
      <c r="B100" s="54" t="s">
        <v>207</v>
      </c>
      <c r="C100" s="57">
        <v>17751851014929</v>
      </c>
      <c r="D100" s="54" t="s">
        <v>9</v>
      </c>
      <c r="E100" s="54">
        <v>17</v>
      </c>
      <c r="F100" s="54">
        <v>4</v>
      </c>
      <c r="G100" s="54">
        <v>68</v>
      </c>
      <c r="H100" s="131" t="s">
        <v>208</v>
      </c>
    </row>
    <row r="101" spans="1:8">
      <c r="A101" s="62">
        <v>8301103</v>
      </c>
      <c r="B101" s="55" t="s">
        <v>209</v>
      </c>
      <c r="C101" s="58">
        <v>17751851014936</v>
      </c>
      <c r="D101" s="55" t="s">
        <v>9</v>
      </c>
      <c r="E101" s="55">
        <v>17</v>
      </c>
      <c r="F101" s="55">
        <v>4</v>
      </c>
      <c r="G101" s="55">
        <v>68</v>
      </c>
      <c r="H101" s="131" t="s">
        <v>210</v>
      </c>
    </row>
    <row r="102" spans="1:8">
      <c r="A102" s="61">
        <v>8301104</v>
      </c>
      <c r="B102" s="54" t="s">
        <v>211</v>
      </c>
      <c r="C102" s="57">
        <v>17751851014967</v>
      </c>
      <c r="D102" s="54" t="s">
        <v>9</v>
      </c>
      <c r="E102" s="54">
        <v>17</v>
      </c>
      <c r="F102" s="54">
        <v>4</v>
      </c>
      <c r="G102" s="54">
        <v>68</v>
      </c>
      <c r="H102" s="131" t="s">
        <v>212</v>
      </c>
    </row>
    <row r="103" spans="1:8">
      <c r="A103" s="62">
        <v>8301105</v>
      </c>
      <c r="B103" s="55" t="s">
        <v>213</v>
      </c>
      <c r="C103" s="58">
        <v>17751851001011</v>
      </c>
      <c r="D103" s="55" t="s">
        <v>9</v>
      </c>
      <c r="E103" s="55">
        <v>29</v>
      </c>
      <c r="F103" s="55">
        <v>6</v>
      </c>
      <c r="G103" s="55">
        <v>174</v>
      </c>
      <c r="H103" s="131" t="s">
        <v>214</v>
      </c>
    </row>
    <row r="104" spans="1:8">
      <c r="A104" s="61">
        <v>8301106</v>
      </c>
      <c r="B104" s="54" t="s">
        <v>215</v>
      </c>
      <c r="C104" s="57">
        <v>17751851001028</v>
      </c>
      <c r="D104" s="54" t="s">
        <v>9</v>
      </c>
      <c r="E104" s="54">
        <v>29</v>
      </c>
      <c r="F104" s="54">
        <v>6</v>
      </c>
      <c r="G104" s="54">
        <v>174</v>
      </c>
      <c r="H104" s="131" t="s">
        <v>216</v>
      </c>
    </row>
    <row r="105" spans="1:8">
      <c r="A105" s="62">
        <v>8301107</v>
      </c>
      <c r="B105" s="55" t="s">
        <v>217</v>
      </c>
      <c r="C105" s="58">
        <v>17751851001035</v>
      </c>
      <c r="D105" s="55" t="s">
        <v>9</v>
      </c>
      <c r="E105" s="55">
        <v>29</v>
      </c>
      <c r="F105" s="55">
        <v>6</v>
      </c>
      <c r="G105" s="55">
        <v>174</v>
      </c>
      <c r="H105" s="131" t="s">
        <v>218</v>
      </c>
    </row>
    <row r="106" spans="1:8">
      <c r="A106" s="61">
        <v>8301108</v>
      </c>
      <c r="B106" s="54" t="s">
        <v>219</v>
      </c>
      <c r="C106" s="57">
        <v>17751851015322</v>
      </c>
      <c r="D106" s="54" t="s">
        <v>9</v>
      </c>
      <c r="E106" s="54">
        <v>29</v>
      </c>
      <c r="F106" s="54">
        <v>6</v>
      </c>
      <c r="G106" s="54">
        <v>174</v>
      </c>
      <c r="H106" s="131" t="s">
        <v>220</v>
      </c>
    </row>
    <row r="107" spans="1:8">
      <c r="A107" s="62">
        <v>8301109</v>
      </c>
      <c r="B107" s="55" t="s">
        <v>221</v>
      </c>
      <c r="C107" s="58">
        <v>17751851015339</v>
      </c>
      <c r="D107" s="55" t="s">
        <v>9</v>
      </c>
      <c r="E107" s="55">
        <v>29</v>
      </c>
      <c r="F107" s="55">
        <v>6</v>
      </c>
      <c r="G107" s="55">
        <v>174</v>
      </c>
      <c r="H107" s="131" t="s">
        <v>222</v>
      </c>
    </row>
    <row r="108" spans="1:8">
      <c r="A108" s="61">
        <v>8301110</v>
      </c>
      <c r="B108" s="54" t="s">
        <v>223</v>
      </c>
      <c r="C108" s="57">
        <v>17751851016534</v>
      </c>
      <c r="D108" s="54" t="s">
        <v>9</v>
      </c>
      <c r="E108" s="54">
        <v>29</v>
      </c>
      <c r="F108" s="54">
        <v>6</v>
      </c>
      <c r="G108" s="54">
        <v>174</v>
      </c>
      <c r="H108" s="131" t="s">
        <v>224</v>
      </c>
    </row>
    <row r="109" spans="1:8">
      <c r="A109" s="62">
        <v>8301111</v>
      </c>
      <c r="B109" s="55" t="s">
        <v>225</v>
      </c>
      <c r="C109" s="58">
        <v>27751851001049</v>
      </c>
      <c r="D109" s="55" t="s">
        <v>9</v>
      </c>
      <c r="E109" s="55">
        <v>20</v>
      </c>
      <c r="F109" s="55">
        <v>5</v>
      </c>
      <c r="G109" s="55">
        <v>100</v>
      </c>
      <c r="H109" s="131" t="s">
        <v>226</v>
      </c>
    </row>
    <row r="110" spans="1:8">
      <c r="A110" s="61">
        <v>8301112</v>
      </c>
      <c r="B110" s="54" t="s">
        <v>227</v>
      </c>
      <c r="C110" s="57">
        <v>27751851001056</v>
      </c>
      <c r="D110" s="54" t="s">
        <v>9</v>
      </c>
      <c r="E110" s="54">
        <v>20</v>
      </c>
      <c r="F110" s="54">
        <v>5</v>
      </c>
      <c r="G110" s="54">
        <v>100</v>
      </c>
      <c r="H110" s="131" t="s">
        <v>228</v>
      </c>
    </row>
    <row r="111" spans="1:8">
      <c r="A111" s="62">
        <v>8301113</v>
      </c>
      <c r="B111" s="55" t="s">
        <v>229</v>
      </c>
      <c r="C111" s="58">
        <v>27751851001063</v>
      </c>
      <c r="D111" s="55" t="s">
        <v>9</v>
      </c>
      <c r="E111" s="55">
        <v>20</v>
      </c>
      <c r="F111" s="55">
        <v>5</v>
      </c>
      <c r="G111" s="55">
        <v>100</v>
      </c>
      <c r="H111" s="131" t="s">
        <v>230</v>
      </c>
    </row>
    <row r="112" spans="1:8">
      <c r="A112" s="61">
        <v>8301123</v>
      </c>
      <c r="B112" s="54" t="s">
        <v>231</v>
      </c>
      <c r="C112" s="57">
        <v>17751851025000</v>
      </c>
      <c r="D112" s="54" t="s">
        <v>9</v>
      </c>
      <c r="E112" s="54">
        <v>20</v>
      </c>
      <c r="F112" s="54">
        <v>5</v>
      </c>
      <c r="G112" s="54">
        <v>100</v>
      </c>
      <c r="H112" s="131" t="s">
        <v>232</v>
      </c>
    </row>
    <row r="113" spans="1:8">
      <c r="A113" s="62">
        <v>8301124</v>
      </c>
      <c r="B113" s="55" t="s">
        <v>233</v>
      </c>
      <c r="C113" s="58">
        <v>17751851025017</v>
      </c>
      <c r="D113" s="55" t="s">
        <v>9</v>
      </c>
      <c r="E113" s="55">
        <v>20</v>
      </c>
      <c r="F113" s="55">
        <v>5</v>
      </c>
      <c r="G113" s="55">
        <v>100</v>
      </c>
      <c r="H113" s="131" t="s">
        <v>234</v>
      </c>
    </row>
    <row r="114" spans="1:8">
      <c r="A114" s="61">
        <v>8301211</v>
      </c>
      <c r="B114" s="54" t="s">
        <v>235</v>
      </c>
      <c r="C114" s="57">
        <v>17751851033289</v>
      </c>
      <c r="D114" s="54" t="s">
        <v>9</v>
      </c>
      <c r="E114" s="54">
        <v>27</v>
      </c>
      <c r="F114" s="54">
        <v>4</v>
      </c>
      <c r="G114" s="54">
        <v>108</v>
      </c>
      <c r="H114" s="131" t="s">
        <v>236</v>
      </c>
    </row>
    <row r="115" spans="1:8">
      <c r="A115" s="62">
        <v>8301212</v>
      </c>
      <c r="B115" s="55" t="s">
        <v>237</v>
      </c>
      <c r="C115" s="58">
        <v>17751851033302</v>
      </c>
      <c r="D115" s="55" t="s">
        <v>9</v>
      </c>
      <c r="E115" s="55">
        <v>27</v>
      </c>
      <c r="F115" s="55">
        <v>4</v>
      </c>
      <c r="G115" s="55">
        <v>108</v>
      </c>
      <c r="H115" s="131" t="s">
        <v>238</v>
      </c>
    </row>
    <row r="116" spans="1:8">
      <c r="A116" s="61">
        <v>8301213</v>
      </c>
      <c r="B116" s="54" t="s">
        <v>239</v>
      </c>
      <c r="C116" s="57">
        <v>17751851033272</v>
      </c>
      <c r="D116" s="54" t="s">
        <v>9</v>
      </c>
      <c r="E116" s="54">
        <v>27</v>
      </c>
      <c r="F116" s="54">
        <v>4</v>
      </c>
      <c r="G116" s="54">
        <v>108</v>
      </c>
      <c r="H116" s="131" t="s">
        <v>240</v>
      </c>
    </row>
    <row r="117" spans="1:8">
      <c r="A117" s="62">
        <v>8301214</v>
      </c>
      <c r="B117" s="55" t="s">
        <v>241</v>
      </c>
      <c r="C117" s="58">
        <v>17751851033296</v>
      </c>
      <c r="D117" s="55" t="s">
        <v>9</v>
      </c>
      <c r="E117" s="55">
        <v>27</v>
      </c>
      <c r="F117" s="55">
        <v>4</v>
      </c>
      <c r="G117" s="55">
        <v>108</v>
      </c>
      <c r="H117" s="131" t="s">
        <v>242</v>
      </c>
    </row>
    <row r="118" spans="1:8">
      <c r="A118" s="61">
        <v>8301216</v>
      </c>
      <c r="B118" s="54" t="s">
        <v>243</v>
      </c>
      <c r="C118" s="57">
        <v>17751851033265</v>
      </c>
      <c r="D118" s="54" t="s">
        <v>9</v>
      </c>
      <c r="E118" s="54">
        <v>27</v>
      </c>
      <c r="F118" s="54">
        <v>4</v>
      </c>
      <c r="G118" s="54">
        <v>108</v>
      </c>
      <c r="H118" s="131" t="s">
        <v>244</v>
      </c>
    </row>
    <row r="119" spans="1:8">
      <c r="A119" s="62">
        <v>8301236</v>
      </c>
      <c r="B119" s="55" t="s">
        <v>245</v>
      </c>
      <c r="C119" s="58">
        <v>37751851001046</v>
      </c>
      <c r="D119" s="55" t="s">
        <v>9</v>
      </c>
      <c r="E119" s="55">
        <v>20</v>
      </c>
      <c r="F119" s="55">
        <v>5</v>
      </c>
      <c r="G119" s="55">
        <v>100</v>
      </c>
      <c r="H119" s="131" t="s">
        <v>246</v>
      </c>
    </row>
    <row r="120" spans="1:8">
      <c r="A120" s="61">
        <v>8301237</v>
      </c>
      <c r="B120" s="54" t="s">
        <v>247</v>
      </c>
      <c r="C120" s="57">
        <v>37751851001053</v>
      </c>
      <c r="D120" s="54" t="s">
        <v>9</v>
      </c>
      <c r="E120" s="54">
        <v>20</v>
      </c>
      <c r="F120" s="54">
        <v>5</v>
      </c>
      <c r="G120" s="54">
        <v>100</v>
      </c>
      <c r="H120" s="131" t="s">
        <v>248</v>
      </c>
    </row>
    <row r="121" spans="1:8">
      <c r="A121" s="62">
        <v>8301238</v>
      </c>
      <c r="B121" s="55" t="s">
        <v>249</v>
      </c>
      <c r="C121" s="58">
        <v>37751851001060</v>
      </c>
      <c r="D121" s="55" t="s">
        <v>9</v>
      </c>
      <c r="E121" s="55">
        <v>20</v>
      </c>
      <c r="F121" s="55">
        <v>5</v>
      </c>
      <c r="G121" s="55">
        <v>100</v>
      </c>
      <c r="H121" s="131" t="s">
        <v>250</v>
      </c>
    </row>
    <row r="122" spans="1:8">
      <c r="A122" s="61">
        <v>8301256</v>
      </c>
      <c r="B122" s="54" t="s">
        <v>251</v>
      </c>
      <c r="C122" s="57">
        <v>17751851014905</v>
      </c>
      <c r="D122" s="54" t="s">
        <v>9</v>
      </c>
      <c r="E122" s="54">
        <v>17</v>
      </c>
      <c r="F122" s="54">
        <v>4</v>
      </c>
      <c r="G122" s="54">
        <v>68</v>
      </c>
      <c r="H122" s="131" t="s">
        <v>252</v>
      </c>
    </row>
    <row r="123" spans="1:8">
      <c r="A123" s="62">
        <v>8301260</v>
      </c>
      <c r="B123" s="55" t="s">
        <v>253</v>
      </c>
      <c r="C123" s="58">
        <v>17751851020470</v>
      </c>
      <c r="D123" s="55" t="s">
        <v>9</v>
      </c>
      <c r="E123" s="55">
        <v>17</v>
      </c>
      <c r="F123" s="55">
        <v>4</v>
      </c>
      <c r="G123" s="55">
        <v>68</v>
      </c>
      <c r="H123" s="131" t="s">
        <v>254</v>
      </c>
    </row>
    <row r="124" spans="1:8">
      <c r="A124" s="61">
        <v>8301261</v>
      </c>
      <c r="B124" s="54" t="s">
        <v>255</v>
      </c>
      <c r="C124" s="57">
        <v>17751851020487</v>
      </c>
      <c r="D124" s="54" t="s">
        <v>9</v>
      </c>
      <c r="E124" s="54">
        <v>17</v>
      </c>
      <c r="F124" s="54">
        <v>4</v>
      </c>
      <c r="G124" s="54">
        <v>68</v>
      </c>
      <c r="H124" s="131" t="s">
        <v>256</v>
      </c>
    </row>
    <row r="125" spans="1:8">
      <c r="A125" s="62">
        <v>8301266</v>
      </c>
      <c r="B125" s="55" t="s">
        <v>257</v>
      </c>
      <c r="C125" s="58">
        <v>17751851029770</v>
      </c>
      <c r="D125" s="55" t="s">
        <v>9</v>
      </c>
      <c r="E125" s="55">
        <v>9</v>
      </c>
      <c r="F125" s="55">
        <v>4</v>
      </c>
      <c r="G125" s="55">
        <v>36</v>
      </c>
      <c r="H125" s="131" t="s">
        <v>258</v>
      </c>
    </row>
    <row r="126" spans="1:8">
      <c r="A126" s="61">
        <v>8301268</v>
      </c>
      <c r="B126" s="54" t="s">
        <v>259</v>
      </c>
      <c r="C126" s="57">
        <v>17751851029794</v>
      </c>
      <c r="D126" s="54" t="s">
        <v>9</v>
      </c>
      <c r="E126" s="54">
        <v>9</v>
      </c>
      <c r="F126" s="54">
        <v>4</v>
      </c>
      <c r="G126" s="54">
        <v>36</v>
      </c>
      <c r="H126" s="131" t="s">
        <v>260</v>
      </c>
    </row>
    <row r="127" spans="1:8">
      <c r="A127" s="62">
        <v>8301271</v>
      </c>
      <c r="B127" s="55" t="s">
        <v>261</v>
      </c>
      <c r="C127" s="58">
        <v>17751851029619</v>
      </c>
      <c r="D127" s="55" t="s">
        <v>9</v>
      </c>
      <c r="E127" s="55">
        <v>9</v>
      </c>
      <c r="F127" s="55">
        <v>4</v>
      </c>
      <c r="G127" s="55">
        <v>36</v>
      </c>
      <c r="H127" s="131" t="s">
        <v>262</v>
      </c>
    </row>
    <row r="128" spans="1:8">
      <c r="A128" s="61">
        <v>8301272</v>
      </c>
      <c r="B128" s="54" t="s">
        <v>263</v>
      </c>
      <c r="C128" s="57">
        <v>17751851029626</v>
      </c>
      <c r="D128" s="54" t="s">
        <v>9</v>
      </c>
      <c r="E128" s="54">
        <v>9</v>
      </c>
      <c r="F128" s="54">
        <v>4</v>
      </c>
      <c r="G128" s="54">
        <v>36</v>
      </c>
      <c r="H128" s="131" t="s">
        <v>264</v>
      </c>
    </row>
    <row r="129" spans="1:8">
      <c r="A129" s="62">
        <v>8301274</v>
      </c>
      <c r="B129" s="55" t="s">
        <v>265</v>
      </c>
      <c r="C129" s="58">
        <v>17751851029602</v>
      </c>
      <c r="D129" s="55" t="s">
        <v>9</v>
      </c>
      <c r="E129" s="55">
        <v>9</v>
      </c>
      <c r="F129" s="55">
        <v>4</v>
      </c>
      <c r="G129" s="55">
        <v>36</v>
      </c>
      <c r="H129" s="131" t="s">
        <v>266</v>
      </c>
    </row>
    <row r="130" spans="1:8">
      <c r="A130" s="61">
        <v>8301278</v>
      </c>
      <c r="B130" s="54" t="s">
        <v>267</v>
      </c>
      <c r="C130" s="57">
        <v>17750243076682</v>
      </c>
      <c r="D130" s="54" t="s">
        <v>9</v>
      </c>
      <c r="E130" s="54">
        <v>17</v>
      </c>
      <c r="F130" s="54">
        <v>4</v>
      </c>
      <c r="G130" s="54">
        <v>68</v>
      </c>
      <c r="H130" s="131" t="s">
        <v>268</v>
      </c>
    </row>
    <row r="131" spans="1:8">
      <c r="A131" s="62">
        <v>8301279</v>
      </c>
      <c r="B131" s="55" t="s">
        <v>269</v>
      </c>
      <c r="C131" s="58">
        <v>17750243076699</v>
      </c>
      <c r="D131" s="55" t="s">
        <v>9</v>
      </c>
      <c r="E131" s="55">
        <v>17</v>
      </c>
      <c r="F131" s="55">
        <v>4</v>
      </c>
      <c r="G131" s="55">
        <v>68</v>
      </c>
      <c r="H131" s="131" t="s">
        <v>270</v>
      </c>
    </row>
    <row r="132" spans="1:8">
      <c r="A132" s="61">
        <v>8301280</v>
      </c>
      <c r="B132" s="54" t="s">
        <v>271</v>
      </c>
      <c r="C132" s="57">
        <v>17750243076705</v>
      </c>
      <c r="D132" s="54" t="s">
        <v>9</v>
      </c>
      <c r="E132" s="54">
        <v>17</v>
      </c>
      <c r="F132" s="54">
        <v>4</v>
      </c>
      <c r="G132" s="54">
        <v>68</v>
      </c>
      <c r="H132" s="131" t="s">
        <v>272</v>
      </c>
    </row>
    <row r="133" spans="1:8">
      <c r="A133" s="62">
        <v>8303000</v>
      </c>
      <c r="B133" s="55" t="s">
        <v>273</v>
      </c>
      <c r="C133" s="58">
        <v>17751851021354</v>
      </c>
      <c r="D133" s="55" t="s">
        <v>9</v>
      </c>
      <c r="E133" s="55">
        <v>12</v>
      </c>
      <c r="F133" s="55">
        <v>4</v>
      </c>
      <c r="G133" s="55">
        <v>48</v>
      </c>
      <c r="H133" s="131" t="s">
        <v>274</v>
      </c>
    </row>
    <row r="134" spans="1:8">
      <c r="A134" s="61">
        <v>8303001</v>
      </c>
      <c r="B134" s="54" t="s">
        <v>275</v>
      </c>
      <c r="C134" s="57">
        <v>17751851021361</v>
      </c>
      <c r="D134" s="54" t="s">
        <v>9</v>
      </c>
      <c r="E134" s="54">
        <v>12</v>
      </c>
      <c r="F134" s="54">
        <v>4</v>
      </c>
      <c r="G134" s="54">
        <v>48</v>
      </c>
      <c r="H134" s="131" t="s">
        <v>276</v>
      </c>
    </row>
    <row r="135" spans="1:8">
      <c r="A135" s="62">
        <v>8303003</v>
      </c>
      <c r="B135" s="55" t="s">
        <v>277</v>
      </c>
      <c r="C135" s="58">
        <v>17751851021385</v>
      </c>
      <c r="D135" s="55" t="s">
        <v>9</v>
      </c>
      <c r="E135" s="55">
        <v>15</v>
      </c>
      <c r="F135" s="55">
        <v>3</v>
      </c>
      <c r="G135" s="55">
        <v>45</v>
      </c>
      <c r="H135" s="131" t="s">
        <v>278</v>
      </c>
    </row>
    <row r="136" spans="1:8">
      <c r="A136" s="61">
        <v>8303004</v>
      </c>
      <c r="B136" s="54" t="s">
        <v>279</v>
      </c>
      <c r="C136" s="57">
        <v>17751851021392</v>
      </c>
      <c r="D136" s="54" t="s">
        <v>9</v>
      </c>
      <c r="E136" s="54">
        <v>15</v>
      </c>
      <c r="F136" s="54">
        <v>3</v>
      </c>
      <c r="G136" s="54">
        <v>45</v>
      </c>
      <c r="H136" s="131" t="s">
        <v>280</v>
      </c>
    </row>
    <row r="137" spans="1:8">
      <c r="A137" s="62">
        <v>8303005</v>
      </c>
      <c r="B137" s="55" t="s">
        <v>281</v>
      </c>
      <c r="C137" s="58">
        <v>17751851021408</v>
      </c>
      <c r="D137" s="55" t="s">
        <v>9</v>
      </c>
      <c r="E137" s="55">
        <v>15</v>
      </c>
      <c r="F137" s="55">
        <v>3</v>
      </c>
      <c r="G137" s="55">
        <v>45</v>
      </c>
      <c r="H137" s="131" t="s">
        <v>282</v>
      </c>
    </row>
    <row r="138" spans="1:8">
      <c r="A138" s="61">
        <v>8303007</v>
      </c>
      <c r="B138" s="54" t="s">
        <v>283</v>
      </c>
      <c r="C138" s="57">
        <v>17751851022016</v>
      </c>
      <c r="D138" s="54" t="s">
        <v>9</v>
      </c>
      <c r="E138" s="54">
        <v>9</v>
      </c>
      <c r="F138" s="54">
        <v>3</v>
      </c>
      <c r="G138" s="54">
        <v>27</v>
      </c>
      <c r="H138" s="131" t="s">
        <v>284</v>
      </c>
    </row>
    <row r="139" spans="1:8">
      <c r="A139" s="62">
        <v>8303008</v>
      </c>
      <c r="B139" s="55" t="s">
        <v>285</v>
      </c>
      <c r="C139" s="58">
        <v>17751851022009</v>
      </c>
      <c r="D139" s="55" t="s">
        <v>9</v>
      </c>
      <c r="E139" s="55">
        <v>9</v>
      </c>
      <c r="F139" s="55">
        <v>3</v>
      </c>
      <c r="G139" s="55">
        <v>27</v>
      </c>
      <c r="H139" s="131" t="s">
        <v>286</v>
      </c>
    </row>
    <row r="140" spans="1:8">
      <c r="A140" s="61">
        <v>8303011</v>
      </c>
      <c r="B140" s="54" t="s">
        <v>287</v>
      </c>
      <c r="C140" s="57">
        <v>17751851023051</v>
      </c>
      <c r="D140" s="54" t="s">
        <v>288</v>
      </c>
      <c r="E140" s="54">
        <v>5</v>
      </c>
      <c r="F140" s="54">
        <v>9</v>
      </c>
      <c r="G140" s="54">
        <v>45</v>
      </c>
      <c r="H140" s="131" t="s">
        <v>289</v>
      </c>
    </row>
    <row r="141" spans="1:8">
      <c r="A141" s="62">
        <v>8303012</v>
      </c>
      <c r="B141" s="55" t="s">
        <v>290</v>
      </c>
      <c r="C141" s="58">
        <v>17751851024126</v>
      </c>
      <c r="D141" s="55" t="s">
        <v>288</v>
      </c>
      <c r="E141" s="55">
        <v>5</v>
      </c>
      <c r="F141" s="55">
        <v>9</v>
      </c>
      <c r="G141" s="55">
        <v>45</v>
      </c>
      <c r="H141" s="131" t="s">
        <v>291</v>
      </c>
    </row>
    <row r="142" spans="1:8">
      <c r="A142" s="61">
        <v>8303013</v>
      </c>
      <c r="B142" s="54" t="s">
        <v>292</v>
      </c>
      <c r="C142" s="57">
        <v>17751851024133</v>
      </c>
      <c r="D142" s="54" t="s">
        <v>288</v>
      </c>
      <c r="E142" s="54">
        <v>5</v>
      </c>
      <c r="F142" s="54">
        <v>9</v>
      </c>
      <c r="G142" s="54">
        <v>45</v>
      </c>
      <c r="H142" s="131" t="s">
        <v>293</v>
      </c>
    </row>
    <row r="143" spans="1:8">
      <c r="A143" s="62">
        <v>8303018</v>
      </c>
      <c r="B143" s="55" t="s">
        <v>294</v>
      </c>
      <c r="C143" s="58">
        <v>17751851013977</v>
      </c>
      <c r="D143" s="55" t="s">
        <v>288</v>
      </c>
      <c r="E143" s="55">
        <v>5</v>
      </c>
      <c r="F143" s="55">
        <v>6</v>
      </c>
      <c r="G143" s="55">
        <v>30</v>
      </c>
      <c r="H143" s="131" t="s">
        <v>295</v>
      </c>
    </row>
    <row r="144" spans="1:8">
      <c r="A144" s="61">
        <v>8303020</v>
      </c>
      <c r="B144" s="54" t="s">
        <v>296</v>
      </c>
      <c r="C144" s="57">
        <v>17751851025260</v>
      </c>
      <c r="D144" s="54" t="s">
        <v>288</v>
      </c>
      <c r="E144" s="54">
        <v>4</v>
      </c>
      <c r="F144" s="54">
        <v>8</v>
      </c>
      <c r="G144" s="54">
        <v>32</v>
      </c>
      <c r="H144" s="131" t="s">
        <v>297</v>
      </c>
    </row>
    <row r="145" spans="1:8">
      <c r="A145" s="62">
        <v>8303022</v>
      </c>
      <c r="B145" s="55" t="s">
        <v>298</v>
      </c>
      <c r="C145" s="58">
        <v>17751851025291</v>
      </c>
      <c r="D145" s="55" t="s">
        <v>288</v>
      </c>
      <c r="E145" s="55">
        <v>4</v>
      </c>
      <c r="F145" s="55">
        <v>8</v>
      </c>
      <c r="G145" s="55">
        <v>32</v>
      </c>
      <c r="H145" s="131" t="s">
        <v>299</v>
      </c>
    </row>
    <row r="146" spans="1:8">
      <c r="A146" s="61">
        <v>8303023</v>
      </c>
      <c r="B146" s="54" t="s">
        <v>300</v>
      </c>
      <c r="C146" s="57">
        <v>17751851025307</v>
      </c>
      <c r="D146" s="54" t="s">
        <v>288</v>
      </c>
      <c r="E146" s="54">
        <v>4</v>
      </c>
      <c r="F146" s="54">
        <v>8</v>
      </c>
      <c r="G146" s="54">
        <v>32</v>
      </c>
      <c r="H146" s="131" t="s">
        <v>301</v>
      </c>
    </row>
    <row r="147" spans="1:8">
      <c r="A147" s="62">
        <v>8303025</v>
      </c>
      <c r="B147" s="55" t="s">
        <v>302</v>
      </c>
      <c r="C147" s="58">
        <v>17751851012154</v>
      </c>
      <c r="D147" s="55" t="s">
        <v>288</v>
      </c>
      <c r="E147" s="55">
        <v>5</v>
      </c>
      <c r="F147" s="55">
        <v>6</v>
      </c>
      <c r="G147" s="55">
        <v>30</v>
      </c>
      <c r="H147" s="131" t="s">
        <v>303</v>
      </c>
    </row>
    <row r="148" spans="1:8">
      <c r="A148" s="61">
        <v>8303026</v>
      </c>
      <c r="B148" s="54" t="s">
        <v>304</v>
      </c>
      <c r="C148" s="57">
        <v>17751851012697</v>
      </c>
      <c r="D148" s="54" t="s">
        <v>288</v>
      </c>
      <c r="E148" s="54">
        <v>5</v>
      </c>
      <c r="F148" s="54">
        <v>10</v>
      </c>
      <c r="G148" s="54">
        <v>50</v>
      </c>
      <c r="H148" s="131" t="s">
        <v>305</v>
      </c>
    </row>
    <row r="149" spans="1:8">
      <c r="A149" s="62">
        <v>8303028</v>
      </c>
      <c r="B149" s="55" t="s">
        <v>306</v>
      </c>
      <c r="C149" s="58">
        <v>17751851013250</v>
      </c>
      <c r="D149" s="55" t="s">
        <v>288</v>
      </c>
      <c r="E149" s="55">
        <v>5</v>
      </c>
      <c r="F149" s="55">
        <v>6</v>
      </c>
      <c r="G149" s="55">
        <v>30</v>
      </c>
      <c r="H149" s="131" t="s">
        <v>307</v>
      </c>
    </row>
    <row r="150" spans="1:8">
      <c r="A150" s="61">
        <v>8303029</v>
      </c>
      <c r="B150" s="54" t="s">
        <v>308</v>
      </c>
      <c r="C150" s="57">
        <v>17751851025352</v>
      </c>
      <c r="D150" s="54" t="s">
        <v>288</v>
      </c>
      <c r="E150" s="54">
        <v>5</v>
      </c>
      <c r="F150" s="54">
        <v>8</v>
      </c>
      <c r="G150" s="54">
        <v>40</v>
      </c>
      <c r="H150" s="131" t="s">
        <v>309</v>
      </c>
    </row>
    <row r="151" spans="1:8">
      <c r="A151" s="62">
        <v>8303031</v>
      </c>
      <c r="B151" s="55" t="s">
        <v>310</v>
      </c>
      <c r="C151" s="58">
        <v>17751851025369</v>
      </c>
      <c r="D151" s="55" t="s">
        <v>288</v>
      </c>
      <c r="E151" s="55">
        <v>5</v>
      </c>
      <c r="F151" s="55">
        <v>8</v>
      </c>
      <c r="G151" s="55">
        <v>40</v>
      </c>
      <c r="H151" s="131" t="s">
        <v>311</v>
      </c>
    </row>
    <row r="152" spans="1:8">
      <c r="A152" s="61">
        <v>8303032</v>
      </c>
      <c r="B152" s="54" t="s">
        <v>312</v>
      </c>
      <c r="C152" s="57">
        <v>17751851025376</v>
      </c>
      <c r="D152" s="54" t="s">
        <v>288</v>
      </c>
      <c r="E152" s="54">
        <v>5</v>
      </c>
      <c r="F152" s="54">
        <v>8</v>
      </c>
      <c r="G152" s="54">
        <v>40</v>
      </c>
      <c r="H152" s="131" t="s">
        <v>313</v>
      </c>
    </row>
    <row r="153" spans="1:8">
      <c r="A153" s="62">
        <v>8303037</v>
      </c>
      <c r="B153" s="55" t="s">
        <v>314</v>
      </c>
      <c r="C153" s="58">
        <v>17751851018750</v>
      </c>
      <c r="D153" s="55" t="s">
        <v>288</v>
      </c>
      <c r="E153" s="55">
        <v>5</v>
      </c>
      <c r="F153" s="55">
        <v>8</v>
      </c>
      <c r="G153" s="55">
        <v>40</v>
      </c>
      <c r="H153" s="131" t="s">
        <v>315</v>
      </c>
    </row>
    <row r="154" spans="1:8">
      <c r="A154" s="61">
        <v>8303040</v>
      </c>
      <c r="B154" s="54" t="s">
        <v>316</v>
      </c>
      <c r="C154" s="57">
        <v>17751851028575</v>
      </c>
      <c r="D154" s="54" t="s">
        <v>288</v>
      </c>
      <c r="E154" s="54">
        <v>5</v>
      </c>
      <c r="F154" s="54">
        <v>8</v>
      </c>
      <c r="G154" s="54">
        <v>40</v>
      </c>
      <c r="H154" s="131" t="s">
        <v>317</v>
      </c>
    </row>
    <row r="155" spans="1:8">
      <c r="A155" s="62">
        <v>8303047</v>
      </c>
      <c r="B155" s="55" t="s">
        <v>318</v>
      </c>
      <c r="C155" s="58">
        <v>7751851028998</v>
      </c>
      <c r="D155" s="55" t="s">
        <v>100</v>
      </c>
      <c r="E155" s="55">
        <v>17</v>
      </c>
      <c r="F155" s="55">
        <v>2</v>
      </c>
      <c r="G155" s="55">
        <v>34</v>
      </c>
      <c r="H155" s="131" t="s">
        <v>319</v>
      </c>
    </row>
    <row r="156" spans="1:8">
      <c r="A156" s="61">
        <v>8303057</v>
      </c>
      <c r="B156" s="54" t="s">
        <v>320</v>
      </c>
      <c r="C156" s="57">
        <v>17751851004463</v>
      </c>
      <c r="D156" s="54" t="s">
        <v>288</v>
      </c>
      <c r="E156" s="54">
        <v>5</v>
      </c>
      <c r="F156" s="54">
        <v>8</v>
      </c>
      <c r="G156" s="54">
        <v>40</v>
      </c>
      <c r="H156" s="131" t="s">
        <v>321</v>
      </c>
    </row>
    <row r="157" spans="1:8">
      <c r="A157" s="62">
        <v>8303058</v>
      </c>
      <c r="B157" s="55" t="s">
        <v>322</v>
      </c>
      <c r="C157" s="58">
        <v>17751851012703</v>
      </c>
      <c r="D157" s="55" t="s">
        <v>288</v>
      </c>
      <c r="E157" s="55">
        <v>5</v>
      </c>
      <c r="F157" s="55">
        <v>10</v>
      </c>
      <c r="G157" s="55">
        <v>50</v>
      </c>
      <c r="H157" s="131" t="s">
        <v>323</v>
      </c>
    </row>
    <row r="158" spans="1:8">
      <c r="A158" s="61">
        <v>8303077</v>
      </c>
      <c r="B158" s="54" t="s">
        <v>324</v>
      </c>
      <c r="C158" s="57">
        <v>17750243087619</v>
      </c>
      <c r="D158" s="54" t="s">
        <v>288</v>
      </c>
      <c r="E158" s="54">
        <v>5</v>
      </c>
      <c r="F158" s="54">
        <v>8</v>
      </c>
      <c r="G158" s="54">
        <v>40</v>
      </c>
      <c r="H158" s="131" t="s">
        <v>325</v>
      </c>
    </row>
    <row r="159" spans="1:8">
      <c r="A159" s="62">
        <v>8303078</v>
      </c>
      <c r="B159" s="55" t="s">
        <v>326</v>
      </c>
      <c r="C159" s="58">
        <v>17750243087626</v>
      </c>
      <c r="D159" s="55" t="s">
        <v>288</v>
      </c>
      <c r="E159" s="55">
        <v>5</v>
      </c>
      <c r="F159" s="55">
        <v>8</v>
      </c>
      <c r="G159" s="55">
        <v>40</v>
      </c>
      <c r="H159" s="131" t="s">
        <v>327</v>
      </c>
    </row>
    <row r="160" spans="1:8">
      <c r="A160" s="61">
        <v>8303079</v>
      </c>
      <c r="B160" s="54" t="s">
        <v>328</v>
      </c>
      <c r="C160" s="57">
        <v>17750243087633</v>
      </c>
      <c r="D160" s="54" t="s">
        <v>288</v>
      </c>
      <c r="E160" s="54">
        <v>5</v>
      </c>
      <c r="F160" s="54">
        <v>8</v>
      </c>
      <c r="G160" s="54">
        <v>40</v>
      </c>
      <c r="H160" s="131" t="s">
        <v>329</v>
      </c>
    </row>
    <row r="161" spans="1:8">
      <c r="A161" s="62">
        <v>8303080</v>
      </c>
      <c r="B161" s="55" t="s">
        <v>330</v>
      </c>
      <c r="C161" s="58">
        <v>17750243088630</v>
      </c>
      <c r="D161" s="55" t="s">
        <v>288</v>
      </c>
      <c r="E161" s="55">
        <v>5</v>
      </c>
      <c r="F161" s="55">
        <v>8</v>
      </c>
      <c r="G161" s="55">
        <v>40</v>
      </c>
      <c r="H161" s="131" t="s">
        <v>331</v>
      </c>
    </row>
    <row r="162" spans="1:8">
      <c r="A162" s="61">
        <v>8303081</v>
      </c>
      <c r="B162" s="54" t="s">
        <v>332</v>
      </c>
      <c r="C162" s="57">
        <v>7750243088800</v>
      </c>
      <c r="D162" s="54" t="s">
        <v>100</v>
      </c>
      <c r="E162" s="54">
        <v>16</v>
      </c>
      <c r="F162" s="54">
        <v>4</v>
      </c>
      <c r="G162" s="54">
        <v>64</v>
      </c>
      <c r="H162" s="131" t="s">
        <v>333</v>
      </c>
    </row>
    <row r="163" spans="1:8">
      <c r="A163" s="62">
        <v>8303082</v>
      </c>
      <c r="B163" s="55" t="s">
        <v>334</v>
      </c>
      <c r="C163" s="58">
        <v>7750243088817</v>
      </c>
      <c r="D163" s="55" t="s">
        <v>100</v>
      </c>
      <c r="E163" s="55">
        <v>16</v>
      </c>
      <c r="F163" s="55">
        <v>4</v>
      </c>
      <c r="G163" s="55">
        <v>64</v>
      </c>
      <c r="H163" s="131" t="s">
        <v>335</v>
      </c>
    </row>
    <row r="164" spans="1:8">
      <c r="A164" s="61">
        <v>8304002</v>
      </c>
      <c r="B164" s="54" t="s">
        <v>336</v>
      </c>
      <c r="C164" s="57">
        <v>17751851014486</v>
      </c>
      <c r="D164" s="54" t="s">
        <v>9</v>
      </c>
      <c r="E164" s="54">
        <v>9</v>
      </c>
      <c r="F164" s="54">
        <v>3</v>
      </c>
      <c r="G164" s="54">
        <v>27</v>
      </c>
      <c r="H164" s="131" t="s">
        <v>337</v>
      </c>
    </row>
    <row r="165" spans="1:8">
      <c r="A165" s="62">
        <v>8304003</v>
      </c>
      <c r="B165" s="55" t="s">
        <v>338</v>
      </c>
      <c r="C165" s="58">
        <v>17751851020258</v>
      </c>
      <c r="D165" s="55" t="s">
        <v>9</v>
      </c>
      <c r="E165" s="55">
        <v>14</v>
      </c>
      <c r="F165" s="55">
        <v>3</v>
      </c>
      <c r="G165" s="55">
        <v>42</v>
      </c>
      <c r="H165" s="131" t="s">
        <v>339</v>
      </c>
    </row>
    <row r="166" spans="1:8">
      <c r="A166" s="61">
        <v>8304004</v>
      </c>
      <c r="B166" s="54" t="s">
        <v>340</v>
      </c>
      <c r="C166" s="57">
        <v>17751851020265</v>
      </c>
      <c r="D166" s="54" t="s">
        <v>9</v>
      </c>
      <c r="E166" s="54">
        <v>17</v>
      </c>
      <c r="F166" s="54">
        <v>3</v>
      </c>
      <c r="G166" s="54">
        <v>51</v>
      </c>
      <c r="H166" s="131" t="s">
        <v>341</v>
      </c>
    </row>
    <row r="167" spans="1:8">
      <c r="A167" s="62">
        <v>8304005</v>
      </c>
      <c r="B167" s="55" t="s">
        <v>342</v>
      </c>
      <c r="C167" s="58">
        <v>17751851000120</v>
      </c>
      <c r="D167" s="55" t="s">
        <v>9</v>
      </c>
      <c r="E167" s="55">
        <v>13</v>
      </c>
      <c r="F167" s="55">
        <v>4</v>
      </c>
      <c r="G167" s="55">
        <v>52</v>
      </c>
      <c r="H167" s="131" t="s">
        <v>343</v>
      </c>
    </row>
    <row r="168" spans="1:8">
      <c r="A168" s="61">
        <v>8304013</v>
      </c>
      <c r="B168" s="54" t="s">
        <v>344</v>
      </c>
      <c r="C168" s="57">
        <v>17751851024201</v>
      </c>
      <c r="D168" s="54" t="s">
        <v>9</v>
      </c>
      <c r="E168" s="54">
        <v>14</v>
      </c>
      <c r="F168" s="54">
        <v>6</v>
      </c>
      <c r="G168" s="54">
        <v>84</v>
      </c>
      <c r="H168" s="131" t="s">
        <v>345</v>
      </c>
    </row>
    <row r="169" spans="1:8">
      <c r="A169" s="62">
        <v>8304019</v>
      </c>
      <c r="B169" s="55" t="s">
        <v>346</v>
      </c>
      <c r="C169" s="58">
        <v>17751851020272</v>
      </c>
      <c r="D169" s="55" t="s">
        <v>9</v>
      </c>
      <c r="E169" s="55">
        <v>17</v>
      </c>
      <c r="F169" s="55">
        <v>3</v>
      </c>
      <c r="G169" s="55">
        <v>51</v>
      </c>
      <c r="H169" s="131" t="s">
        <v>347</v>
      </c>
    </row>
    <row r="170" spans="1:8">
      <c r="A170" s="61">
        <v>8304020</v>
      </c>
      <c r="B170" s="54" t="s">
        <v>348</v>
      </c>
      <c r="C170" s="57">
        <v>17751851020227</v>
      </c>
      <c r="D170" s="54" t="s">
        <v>9</v>
      </c>
      <c r="E170" s="54">
        <v>12</v>
      </c>
      <c r="F170" s="54">
        <v>4</v>
      </c>
      <c r="G170" s="54">
        <v>48</v>
      </c>
      <c r="H170" s="131" t="s">
        <v>349</v>
      </c>
    </row>
    <row r="171" spans="1:8">
      <c r="A171" s="62">
        <v>8304021</v>
      </c>
      <c r="B171" s="55" t="s">
        <v>350</v>
      </c>
      <c r="C171" s="58">
        <v>17751851020234</v>
      </c>
      <c r="D171" s="55" t="s">
        <v>9</v>
      </c>
      <c r="E171" s="55">
        <v>12</v>
      </c>
      <c r="F171" s="55">
        <v>4</v>
      </c>
      <c r="G171" s="55">
        <v>48</v>
      </c>
      <c r="H171" s="131" t="s">
        <v>351</v>
      </c>
    </row>
    <row r="172" spans="1:8">
      <c r="A172" s="61">
        <v>8304022</v>
      </c>
      <c r="B172" s="54" t="s">
        <v>352</v>
      </c>
      <c r="C172" s="57">
        <v>17751851020241</v>
      </c>
      <c r="D172" s="54" t="s">
        <v>9</v>
      </c>
      <c r="E172" s="54">
        <v>12</v>
      </c>
      <c r="F172" s="54">
        <v>4</v>
      </c>
      <c r="G172" s="54">
        <v>48</v>
      </c>
      <c r="H172" s="131" t="s">
        <v>353</v>
      </c>
    </row>
    <row r="173" spans="1:8">
      <c r="A173" s="62">
        <v>8304024</v>
      </c>
      <c r="B173" s="55" t="s">
        <v>354</v>
      </c>
      <c r="C173" s="58">
        <v>17751851020203</v>
      </c>
      <c r="D173" s="55" t="s">
        <v>9</v>
      </c>
      <c r="E173" s="55">
        <v>13</v>
      </c>
      <c r="F173" s="55">
        <v>4</v>
      </c>
      <c r="G173" s="55">
        <v>52</v>
      </c>
      <c r="H173" s="131" t="s">
        <v>355</v>
      </c>
    </row>
    <row r="174" spans="1:8">
      <c r="A174" s="61">
        <v>8304027</v>
      </c>
      <c r="B174" s="54" t="s">
        <v>356</v>
      </c>
      <c r="C174" s="57">
        <v>17751851022436</v>
      </c>
      <c r="D174" s="54" t="s">
        <v>9</v>
      </c>
      <c r="E174" s="54">
        <v>12</v>
      </c>
      <c r="F174" s="54">
        <v>4</v>
      </c>
      <c r="G174" s="54">
        <v>48</v>
      </c>
      <c r="H174" s="131" t="s">
        <v>357</v>
      </c>
    </row>
    <row r="175" spans="1:8">
      <c r="A175" s="62">
        <v>8304032</v>
      </c>
      <c r="B175" s="55" t="s">
        <v>358</v>
      </c>
      <c r="C175" s="58">
        <v>17751851005484</v>
      </c>
      <c r="D175" s="55" t="s">
        <v>9</v>
      </c>
      <c r="E175" s="55">
        <v>9</v>
      </c>
      <c r="F175" s="55">
        <v>3</v>
      </c>
      <c r="G175" s="55">
        <v>27</v>
      </c>
      <c r="H175" s="131" t="s">
        <v>359</v>
      </c>
    </row>
    <row r="176" spans="1:8">
      <c r="A176" s="61">
        <v>8304033</v>
      </c>
      <c r="B176" s="54" t="s">
        <v>360</v>
      </c>
      <c r="C176" s="57">
        <v>17751851020289</v>
      </c>
      <c r="D176" s="54" t="s">
        <v>9</v>
      </c>
      <c r="E176" s="54">
        <v>9</v>
      </c>
      <c r="F176" s="54">
        <v>3</v>
      </c>
      <c r="G176" s="54">
        <v>27</v>
      </c>
      <c r="H176" s="131" t="s">
        <v>361</v>
      </c>
    </row>
    <row r="177" spans="1:8">
      <c r="A177" s="62">
        <v>8304034</v>
      </c>
      <c r="B177" s="55" t="s">
        <v>362</v>
      </c>
      <c r="C177" s="58">
        <v>17751851020296</v>
      </c>
      <c r="D177" s="55" t="s">
        <v>9</v>
      </c>
      <c r="E177" s="55">
        <v>9</v>
      </c>
      <c r="F177" s="55">
        <v>3</v>
      </c>
      <c r="G177" s="55">
        <v>27</v>
      </c>
      <c r="H177" s="131" t="s">
        <v>363</v>
      </c>
    </row>
    <row r="178" spans="1:8">
      <c r="A178" s="61">
        <v>8304035</v>
      </c>
      <c r="B178" s="54" t="s">
        <v>364</v>
      </c>
      <c r="C178" s="57">
        <v>17751851020302</v>
      </c>
      <c r="D178" s="54" t="s">
        <v>9</v>
      </c>
      <c r="E178" s="54">
        <v>9</v>
      </c>
      <c r="F178" s="54">
        <v>3</v>
      </c>
      <c r="G178" s="54">
        <v>27</v>
      </c>
      <c r="H178" s="131" t="s">
        <v>365</v>
      </c>
    </row>
    <row r="179" spans="1:8">
      <c r="A179" s="62">
        <v>8304038</v>
      </c>
      <c r="B179" s="55" t="s">
        <v>366</v>
      </c>
      <c r="C179" s="58">
        <v>17751851005453</v>
      </c>
      <c r="D179" s="55" t="s">
        <v>9</v>
      </c>
      <c r="E179" s="55">
        <v>9</v>
      </c>
      <c r="F179" s="55">
        <v>3</v>
      </c>
      <c r="G179" s="55">
        <v>27</v>
      </c>
      <c r="H179" s="131" t="s">
        <v>367</v>
      </c>
    </row>
    <row r="180" spans="1:8">
      <c r="A180" s="61">
        <v>8304142</v>
      </c>
      <c r="B180" s="54" t="s">
        <v>368</v>
      </c>
      <c r="C180" s="57">
        <v>17750243070710</v>
      </c>
      <c r="D180" s="54" t="s">
        <v>9</v>
      </c>
      <c r="E180" s="54">
        <v>9</v>
      </c>
      <c r="F180" s="54">
        <v>3</v>
      </c>
      <c r="G180" s="54">
        <v>27</v>
      </c>
      <c r="H180" s="131" t="s">
        <v>369</v>
      </c>
    </row>
    <row r="181" spans="1:8">
      <c r="A181" s="62">
        <v>8305002</v>
      </c>
      <c r="B181" s="55" t="s">
        <v>370</v>
      </c>
      <c r="C181" s="58">
        <v>17751851023303</v>
      </c>
      <c r="D181" s="55" t="s">
        <v>9</v>
      </c>
      <c r="E181" s="55">
        <v>13</v>
      </c>
      <c r="F181" s="55">
        <v>4</v>
      </c>
      <c r="G181" s="55">
        <v>52</v>
      </c>
      <c r="H181" s="131" t="s">
        <v>371</v>
      </c>
    </row>
    <row r="182" spans="1:8">
      <c r="A182" s="61">
        <v>8305008</v>
      </c>
      <c r="B182" s="54" t="s">
        <v>372</v>
      </c>
      <c r="C182" s="57">
        <v>17751851031650</v>
      </c>
      <c r="D182" s="54" t="s">
        <v>9</v>
      </c>
      <c r="E182" s="54">
        <v>13</v>
      </c>
      <c r="F182" s="54">
        <v>4</v>
      </c>
      <c r="G182" s="54">
        <v>52</v>
      </c>
      <c r="H182" s="131" t="s">
        <v>373</v>
      </c>
    </row>
    <row r="183" spans="1:8">
      <c r="A183" s="62">
        <v>8305010</v>
      </c>
      <c r="B183" s="55" t="s">
        <v>374</v>
      </c>
      <c r="C183" s="58">
        <v>17751851025093</v>
      </c>
      <c r="D183" s="55" t="s">
        <v>9</v>
      </c>
      <c r="E183" s="55">
        <v>20</v>
      </c>
      <c r="F183" s="55">
        <v>3</v>
      </c>
      <c r="G183" s="55">
        <v>60</v>
      </c>
      <c r="H183" s="131" t="s">
        <v>375</v>
      </c>
    </row>
    <row r="184" spans="1:8">
      <c r="A184" s="61">
        <v>8305011</v>
      </c>
      <c r="B184" s="54" t="s">
        <v>376</v>
      </c>
      <c r="C184" s="57">
        <v>17751851025314</v>
      </c>
      <c r="D184" s="54" t="s">
        <v>9</v>
      </c>
      <c r="E184" s="54">
        <v>8</v>
      </c>
      <c r="F184" s="54">
        <v>9</v>
      </c>
      <c r="G184" s="54">
        <v>72</v>
      </c>
      <c r="H184" s="131" t="s">
        <v>377</v>
      </c>
    </row>
    <row r="185" spans="1:8">
      <c r="A185" s="62">
        <v>8305016</v>
      </c>
      <c r="B185" s="55" t="s">
        <v>378</v>
      </c>
      <c r="C185" s="58">
        <v>17751851004920</v>
      </c>
      <c r="D185" s="55" t="s">
        <v>9</v>
      </c>
      <c r="E185" s="55">
        <v>10</v>
      </c>
      <c r="F185" s="55">
        <v>7</v>
      </c>
      <c r="G185" s="55">
        <v>70</v>
      </c>
      <c r="H185" s="131" t="s">
        <v>379</v>
      </c>
    </row>
    <row r="186" spans="1:8">
      <c r="A186" s="61">
        <v>8305017</v>
      </c>
      <c r="B186" s="54" t="s">
        <v>380</v>
      </c>
      <c r="C186" s="57">
        <v>17751851004951</v>
      </c>
      <c r="D186" s="54" t="s">
        <v>9</v>
      </c>
      <c r="E186" s="54">
        <v>10</v>
      </c>
      <c r="F186" s="54">
        <v>7</v>
      </c>
      <c r="G186" s="54">
        <v>70</v>
      </c>
      <c r="H186" s="131" t="s">
        <v>381</v>
      </c>
    </row>
    <row r="187" spans="1:8">
      <c r="A187" s="62">
        <v>8305019</v>
      </c>
      <c r="B187" s="55" t="s">
        <v>382</v>
      </c>
      <c r="C187" s="58">
        <v>27751851010744</v>
      </c>
      <c r="D187" s="55" t="s">
        <v>9</v>
      </c>
      <c r="E187" s="55">
        <v>28</v>
      </c>
      <c r="F187" s="55">
        <v>4</v>
      </c>
      <c r="G187" s="55">
        <v>112</v>
      </c>
      <c r="H187" s="131" t="s">
        <v>383</v>
      </c>
    </row>
    <row r="188" spans="1:8">
      <c r="A188" s="61">
        <v>8305021</v>
      </c>
      <c r="B188" s="54" t="s">
        <v>384</v>
      </c>
      <c r="C188" s="57">
        <v>17751851010761</v>
      </c>
      <c r="D188" s="54" t="s">
        <v>9</v>
      </c>
      <c r="E188" s="54">
        <v>16</v>
      </c>
      <c r="F188" s="54">
        <v>4</v>
      </c>
      <c r="G188" s="54">
        <v>64</v>
      </c>
      <c r="H188" s="131" t="s">
        <v>385</v>
      </c>
    </row>
    <row r="189" spans="1:8">
      <c r="A189" s="62">
        <v>8305028</v>
      </c>
      <c r="B189" s="55" t="s">
        <v>386</v>
      </c>
      <c r="C189" s="58">
        <v>17751851004883</v>
      </c>
      <c r="D189" s="55" t="s">
        <v>9</v>
      </c>
      <c r="E189" s="55">
        <v>16</v>
      </c>
      <c r="F189" s="55">
        <v>5</v>
      </c>
      <c r="G189" s="55">
        <v>80</v>
      </c>
      <c r="H189" s="131" t="s">
        <v>387</v>
      </c>
    </row>
    <row r="190" spans="1:8">
      <c r="A190" s="61">
        <v>8305029</v>
      </c>
      <c r="B190" s="54" t="s">
        <v>388</v>
      </c>
      <c r="C190" s="57">
        <v>17751851004906</v>
      </c>
      <c r="D190" s="54" t="s">
        <v>9</v>
      </c>
      <c r="E190" s="54">
        <v>16</v>
      </c>
      <c r="F190" s="54">
        <v>5</v>
      </c>
      <c r="G190" s="54">
        <v>80</v>
      </c>
      <c r="H190" s="131" t="s">
        <v>389</v>
      </c>
    </row>
    <row r="191" spans="1:8">
      <c r="A191" s="62">
        <v>8305031</v>
      </c>
      <c r="B191" s="55" t="s">
        <v>390</v>
      </c>
      <c r="C191" s="58">
        <v>17751851004968</v>
      </c>
      <c r="D191" s="55" t="s">
        <v>9</v>
      </c>
      <c r="E191" s="55">
        <v>10</v>
      </c>
      <c r="F191" s="55">
        <v>8</v>
      </c>
      <c r="G191" s="55">
        <v>80</v>
      </c>
      <c r="H191" s="131" t="s">
        <v>391</v>
      </c>
    </row>
    <row r="192" spans="1:8">
      <c r="A192" s="61">
        <v>8305037</v>
      </c>
      <c r="B192" s="54" t="s">
        <v>392</v>
      </c>
      <c r="C192" s="57">
        <v>17751851016732</v>
      </c>
      <c r="D192" s="54" t="s">
        <v>9</v>
      </c>
      <c r="E192" s="54">
        <v>9</v>
      </c>
      <c r="F192" s="54">
        <v>3</v>
      </c>
      <c r="G192" s="54">
        <v>27</v>
      </c>
      <c r="H192" s="131" t="s">
        <v>393</v>
      </c>
    </row>
    <row r="193" spans="1:8">
      <c r="A193" s="62">
        <v>8305040</v>
      </c>
      <c r="B193" s="55" t="s">
        <v>394</v>
      </c>
      <c r="C193" s="58">
        <v>17751851004845</v>
      </c>
      <c r="D193" s="55" t="s">
        <v>9</v>
      </c>
      <c r="E193" s="55">
        <v>16</v>
      </c>
      <c r="F193" s="55">
        <v>5</v>
      </c>
      <c r="G193" s="55">
        <v>80</v>
      </c>
      <c r="H193" s="131" t="s">
        <v>395</v>
      </c>
    </row>
    <row r="194" spans="1:8">
      <c r="A194" s="61">
        <v>8305041</v>
      </c>
      <c r="B194" s="54" t="s">
        <v>396</v>
      </c>
      <c r="C194" s="57">
        <v>17751851026465</v>
      </c>
      <c r="D194" s="54" t="s">
        <v>9</v>
      </c>
      <c r="E194" s="54">
        <v>16</v>
      </c>
      <c r="F194" s="54">
        <v>4</v>
      </c>
      <c r="G194" s="54">
        <v>64</v>
      </c>
      <c r="H194" s="131" t="s">
        <v>397</v>
      </c>
    </row>
    <row r="195" spans="1:8">
      <c r="A195" s="62">
        <v>8305051</v>
      </c>
      <c r="B195" s="55" t="s">
        <v>398</v>
      </c>
      <c r="C195" s="60"/>
      <c r="D195" s="55" t="s">
        <v>9</v>
      </c>
      <c r="E195" s="55">
        <v>20</v>
      </c>
      <c r="F195" s="55">
        <v>3</v>
      </c>
      <c r="G195" s="55">
        <v>60</v>
      </c>
      <c r="H195" s="131" t="s">
        <v>399</v>
      </c>
    </row>
    <row r="196" spans="1:8">
      <c r="A196" s="61">
        <v>8305076</v>
      </c>
      <c r="B196" s="54" t="s">
        <v>400</v>
      </c>
      <c r="C196" s="57">
        <v>17751851023396</v>
      </c>
      <c r="D196" s="54" t="s">
        <v>9</v>
      </c>
      <c r="E196" s="54">
        <v>8</v>
      </c>
      <c r="F196" s="54">
        <v>8</v>
      </c>
      <c r="G196" s="54">
        <v>64</v>
      </c>
      <c r="H196" s="131" t="s">
        <v>401</v>
      </c>
    </row>
    <row r="197" spans="1:8">
      <c r="A197" s="62">
        <v>8305078</v>
      </c>
      <c r="B197" s="55" t="s">
        <v>402</v>
      </c>
      <c r="C197" s="58">
        <v>17751851003596</v>
      </c>
      <c r="D197" s="55" t="s">
        <v>9</v>
      </c>
      <c r="E197" s="55">
        <v>8</v>
      </c>
      <c r="F197" s="55">
        <v>8</v>
      </c>
      <c r="G197" s="55">
        <v>64</v>
      </c>
      <c r="H197" s="131" t="s">
        <v>403</v>
      </c>
    </row>
    <row r="198" spans="1:8">
      <c r="A198" s="61">
        <v>8305090</v>
      </c>
      <c r="B198" s="54" t="s">
        <v>404</v>
      </c>
      <c r="C198" s="57">
        <v>17751851013540</v>
      </c>
      <c r="D198" s="54" t="s">
        <v>9</v>
      </c>
      <c r="E198" s="54">
        <v>10</v>
      </c>
      <c r="F198" s="54">
        <v>7</v>
      </c>
      <c r="G198" s="54">
        <v>70</v>
      </c>
      <c r="H198" s="131" t="s">
        <v>405</v>
      </c>
    </row>
    <row r="199" spans="1:8">
      <c r="A199" s="62">
        <v>8305103</v>
      </c>
      <c r="B199" s="55" t="s">
        <v>406</v>
      </c>
      <c r="C199" s="58">
        <v>17751851025581</v>
      </c>
      <c r="D199" s="55" t="s">
        <v>9</v>
      </c>
      <c r="E199" s="55">
        <v>8</v>
      </c>
      <c r="F199" s="55">
        <v>9</v>
      </c>
      <c r="G199" s="55">
        <v>72</v>
      </c>
      <c r="H199" s="131" t="s">
        <v>407</v>
      </c>
    </row>
    <row r="200" spans="1:8">
      <c r="A200" s="61">
        <v>8305105</v>
      </c>
      <c r="B200" s="54" t="s">
        <v>408</v>
      </c>
      <c r="C200" s="57">
        <v>17751851025604</v>
      </c>
      <c r="D200" s="54" t="s">
        <v>9</v>
      </c>
      <c r="E200" s="54">
        <v>8</v>
      </c>
      <c r="F200" s="54">
        <v>9</v>
      </c>
      <c r="G200" s="54">
        <v>72</v>
      </c>
      <c r="H200" s="131" t="s">
        <v>409</v>
      </c>
    </row>
    <row r="201" spans="1:8">
      <c r="A201" s="62">
        <v>8305162</v>
      </c>
      <c r="B201" s="55" t="s">
        <v>410</v>
      </c>
      <c r="C201" s="58">
        <v>17750243060698</v>
      </c>
      <c r="D201" s="55" t="s">
        <v>9</v>
      </c>
      <c r="E201" s="55">
        <v>8</v>
      </c>
      <c r="F201" s="55">
        <v>9</v>
      </c>
      <c r="G201" s="55">
        <v>72</v>
      </c>
      <c r="H201" s="131" t="s">
        <v>411</v>
      </c>
    </row>
    <row r="202" spans="1:8">
      <c r="A202" s="61">
        <v>8305163</v>
      </c>
      <c r="B202" s="54" t="s">
        <v>412</v>
      </c>
      <c r="C202" s="57">
        <v>17750243060704</v>
      </c>
      <c r="D202" s="54" t="s">
        <v>9</v>
      </c>
      <c r="E202" s="54">
        <v>20</v>
      </c>
      <c r="F202" s="54">
        <v>3</v>
      </c>
      <c r="G202" s="54">
        <v>60</v>
      </c>
      <c r="H202" s="131" t="s">
        <v>413</v>
      </c>
    </row>
    <row r="203" spans="1:8">
      <c r="A203" s="62">
        <v>8305186</v>
      </c>
      <c r="B203" s="55" t="s">
        <v>414</v>
      </c>
      <c r="C203" s="58">
        <v>17750243064405</v>
      </c>
      <c r="D203" s="55" t="s">
        <v>9</v>
      </c>
      <c r="E203" s="55">
        <v>16</v>
      </c>
      <c r="F203" s="55">
        <v>4</v>
      </c>
      <c r="G203" s="55">
        <v>64</v>
      </c>
      <c r="H203" s="131" t="s">
        <v>415</v>
      </c>
    </row>
    <row r="204" spans="1:8">
      <c r="A204" s="61">
        <v>8305190</v>
      </c>
      <c r="B204" s="54" t="s">
        <v>416</v>
      </c>
      <c r="C204" s="57">
        <v>17750243080528</v>
      </c>
      <c r="D204" s="54" t="s">
        <v>9</v>
      </c>
      <c r="E204" s="54">
        <v>20</v>
      </c>
      <c r="F204" s="54">
        <v>3</v>
      </c>
      <c r="G204" s="54">
        <v>60</v>
      </c>
      <c r="H204" s="131" t="s">
        <v>417</v>
      </c>
    </row>
    <row r="205" spans="1:8">
      <c r="A205" s="62">
        <v>8305191</v>
      </c>
      <c r="B205" s="55" t="s">
        <v>418</v>
      </c>
      <c r="C205" s="58">
        <v>17750243080535</v>
      </c>
      <c r="D205" s="55" t="s">
        <v>9</v>
      </c>
      <c r="E205" s="55">
        <v>9</v>
      </c>
      <c r="F205" s="55">
        <v>3</v>
      </c>
      <c r="G205" s="55">
        <v>27</v>
      </c>
      <c r="H205" s="131" t="s">
        <v>419</v>
      </c>
    </row>
    <row r="206" spans="1:8">
      <c r="A206" s="61">
        <v>8305192</v>
      </c>
      <c r="B206" s="54" t="s">
        <v>420</v>
      </c>
      <c r="C206" s="57">
        <v>17750243080542</v>
      </c>
      <c r="D206" s="54" t="s">
        <v>9</v>
      </c>
      <c r="E206" s="54">
        <v>9</v>
      </c>
      <c r="F206" s="54">
        <v>3</v>
      </c>
      <c r="G206" s="54">
        <v>27</v>
      </c>
      <c r="H206" s="131" t="s">
        <v>421</v>
      </c>
    </row>
    <row r="207" spans="1:8">
      <c r="A207" s="62">
        <v>8305234</v>
      </c>
      <c r="B207" s="55" t="s">
        <v>422</v>
      </c>
      <c r="C207" s="58">
        <v>17750243066997</v>
      </c>
      <c r="D207" s="55" t="s">
        <v>9</v>
      </c>
      <c r="E207" s="55">
        <v>10</v>
      </c>
      <c r="F207" s="55">
        <v>8</v>
      </c>
      <c r="G207" s="55">
        <v>80</v>
      </c>
      <c r="H207" s="131" t="s">
        <v>423</v>
      </c>
    </row>
    <row r="208" spans="1:8">
      <c r="A208" s="61">
        <v>8305236</v>
      </c>
      <c r="B208" s="54" t="s">
        <v>424</v>
      </c>
      <c r="C208" s="57">
        <v>17750243067017</v>
      </c>
      <c r="D208" s="54" t="s">
        <v>9</v>
      </c>
      <c r="E208" s="54">
        <v>10</v>
      </c>
      <c r="F208" s="54">
        <v>6</v>
      </c>
      <c r="G208" s="54">
        <v>60</v>
      </c>
      <c r="H208" s="131" t="s">
        <v>425</v>
      </c>
    </row>
    <row r="209" spans="1:8">
      <c r="A209" s="62">
        <v>8305256</v>
      </c>
      <c r="B209" s="55" t="s">
        <v>426</v>
      </c>
      <c r="C209" s="58">
        <v>17750243067895</v>
      </c>
      <c r="D209" s="55" t="s">
        <v>9</v>
      </c>
      <c r="E209" s="55">
        <v>8</v>
      </c>
      <c r="F209" s="55">
        <v>9</v>
      </c>
      <c r="G209" s="55">
        <v>72</v>
      </c>
      <c r="H209" s="131" t="s">
        <v>427</v>
      </c>
    </row>
    <row r="210" spans="1:8">
      <c r="A210" s="61">
        <v>8305259</v>
      </c>
      <c r="B210" s="54" t="s">
        <v>428</v>
      </c>
      <c r="C210" s="57">
        <v>17750243067925</v>
      </c>
      <c r="D210" s="54" t="s">
        <v>9</v>
      </c>
      <c r="E210" s="54">
        <v>8</v>
      </c>
      <c r="F210" s="54">
        <v>9</v>
      </c>
      <c r="G210" s="54">
        <v>72</v>
      </c>
      <c r="H210" s="131" t="s">
        <v>429</v>
      </c>
    </row>
    <row r="211" spans="1:8">
      <c r="A211" s="62">
        <v>8305260</v>
      </c>
      <c r="B211" s="55" t="s">
        <v>430</v>
      </c>
      <c r="C211" s="58">
        <v>17750243068267</v>
      </c>
      <c r="D211" s="55" t="s">
        <v>9</v>
      </c>
      <c r="E211" s="55">
        <v>8</v>
      </c>
      <c r="F211" s="55">
        <v>9</v>
      </c>
      <c r="G211" s="55">
        <v>72</v>
      </c>
      <c r="H211" s="131" t="s">
        <v>431</v>
      </c>
    </row>
    <row r="212" spans="1:8">
      <c r="A212" s="61">
        <v>8305268</v>
      </c>
      <c r="B212" s="54" t="s">
        <v>432</v>
      </c>
      <c r="C212" s="57">
        <v>27751851031657</v>
      </c>
      <c r="D212" s="54" t="s">
        <v>9</v>
      </c>
      <c r="E212" s="54">
        <v>13</v>
      </c>
      <c r="F212" s="54">
        <v>4</v>
      </c>
      <c r="G212" s="54">
        <v>52</v>
      </c>
      <c r="H212" s="131" t="s">
        <v>433</v>
      </c>
    </row>
    <row r="213" spans="1:8">
      <c r="A213" s="62">
        <v>8305269</v>
      </c>
      <c r="B213" s="55" t="s">
        <v>434</v>
      </c>
      <c r="C213" s="58">
        <v>37751851010727</v>
      </c>
      <c r="D213" s="55" t="s">
        <v>9</v>
      </c>
      <c r="E213" s="55">
        <v>29</v>
      </c>
      <c r="F213" s="55">
        <v>4</v>
      </c>
      <c r="G213" s="55">
        <v>116</v>
      </c>
      <c r="H213" s="131" t="s">
        <v>435</v>
      </c>
    </row>
    <row r="214" spans="1:8">
      <c r="A214" s="61">
        <v>8305271</v>
      </c>
      <c r="B214" s="54" t="s">
        <v>436</v>
      </c>
      <c r="C214" s="57">
        <v>47750243067346</v>
      </c>
      <c r="D214" s="54" t="s">
        <v>9</v>
      </c>
      <c r="E214" s="54">
        <v>16</v>
      </c>
      <c r="F214" s="54">
        <v>4</v>
      </c>
      <c r="G214" s="54">
        <v>64</v>
      </c>
      <c r="H214" s="131" t="s">
        <v>437</v>
      </c>
    </row>
    <row r="215" spans="1:8">
      <c r="A215" s="62">
        <v>8305272</v>
      </c>
      <c r="B215" s="55" t="s">
        <v>438</v>
      </c>
      <c r="C215" s="58">
        <v>47750243067353</v>
      </c>
      <c r="D215" s="55" t="s">
        <v>9</v>
      </c>
      <c r="E215" s="55">
        <v>16</v>
      </c>
      <c r="F215" s="55">
        <v>4</v>
      </c>
      <c r="G215" s="55">
        <v>64</v>
      </c>
      <c r="H215" s="131" t="s">
        <v>439</v>
      </c>
    </row>
    <row r="216" spans="1:8">
      <c r="A216" s="61">
        <v>8305273</v>
      </c>
      <c r="B216" s="54" t="s">
        <v>440</v>
      </c>
      <c r="C216" s="57">
        <v>27751851026462</v>
      </c>
      <c r="D216" s="54" t="s">
        <v>9</v>
      </c>
      <c r="E216" s="54">
        <v>16</v>
      </c>
      <c r="F216" s="54">
        <v>4</v>
      </c>
      <c r="G216" s="54">
        <v>64</v>
      </c>
      <c r="H216" s="131" t="s">
        <v>441</v>
      </c>
    </row>
    <row r="217" spans="1:8">
      <c r="A217" s="62">
        <v>8305274</v>
      </c>
      <c r="B217" s="55" t="s">
        <v>442</v>
      </c>
      <c r="C217" s="58">
        <v>37751851010765</v>
      </c>
      <c r="D217" s="55" t="s">
        <v>9</v>
      </c>
      <c r="E217" s="55">
        <v>16</v>
      </c>
      <c r="F217" s="55">
        <v>4</v>
      </c>
      <c r="G217" s="55">
        <v>64</v>
      </c>
      <c r="H217" s="131" t="s">
        <v>443</v>
      </c>
    </row>
    <row r="218" spans="1:8">
      <c r="A218" s="61">
        <v>8305275</v>
      </c>
      <c r="B218" s="54" t="s">
        <v>444</v>
      </c>
      <c r="C218" s="57">
        <v>37751851025080</v>
      </c>
      <c r="D218" s="54" t="s">
        <v>9</v>
      </c>
      <c r="E218" s="54">
        <v>20</v>
      </c>
      <c r="F218" s="54">
        <v>3</v>
      </c>
      <c r="G218" s="54">
        <v>60</v>
      </c>
      <c r="H218" s="131" t="s">
        <v>445</v>
      </c>
    </row>
    <row r="219" spans="1:8">
      <c r="A219" s="62">
        <v>8305276</v>
      </c>
      <c r="B219" s="55" t="s">
        <v>446</v>
      </c>
      <c r="C219" s="58">
        <v>37751851025097</v>
      </c>
      <c r="D219" s="55" t="s">
        <v>9</v>
      </c>
      <c r="E219" s="55">
        <v>20</v>
      </c>
      <c r="F219" s="55">
        <v>3</v>
      </c>
      <c r="G219" s="55">
        <v>60</v>
      </c>
      <c r="H219" s="131" t="s">
        <v>447</v>
      </c>
    </row>
    <row r="220" spans="1:8">
      <c r="A220" s="61">
        <v>8305277</v>
      </c>
      <c r="B220" s="54" t="s">
        <v>448</v>
      </c>
      <c r="C220" s="57">
        <v>27751851026516</v>
      </c>
      <c r="D220" s="54" t="s">
        <v>9</v>
      </c>
      <c r="E220" s="54">
        <v>20</v>
      </c>
      <c r="F220" s="54">
        <v>3</v>
      </c>
      <c r="G220" s="54">
        <v>60</v>
      </c>
      <c r="H220" s="131" t="s">
        <v>449</v>
      </c>
    </row>
    <row r="221" spans="1:8">
      <c r="A221" s="62">
        <v>8305279</v>
      </c>
      <c r="B221" s="55" t="s">
        <v>450</v>
      </c>
      <c r="C221" s="58">
        <v>27751851016746</v>
      </c>
      <c r="D221" s="55" t="s">
        <v>9</v>
      </c>
      <c r="E221" s="55">
        <v>9</v>
      </c>
      <c r="F221" s="55">
        <v>3</v>
      </c>
      <c r="G221" s="55">
        <v>27</v>
      </c>
      <c r="H221" s="131" t="s">
        <v>451</v>
      </c>
    </row>
    <row r="222" spans="1:8">
      <c r="A222" s="61">
        <v>8305280</v>
      </c>
      <c r="B222" s="54" t="s">
        <v>452</v>
      </c>
      <c r="C222" s="57">
        <v>17750243074299</v>
      </c>
      <c r="D222" s="54" t="s">
        <v>9</v>
      </c>
      <c r="E222" s="54">
        <v>16</v>
      </c>
      <c r="F222" s="54">
        <v>4</v>
      </c>
      <c r="G222" s="54">
        <v>64</v>
      </c>
      <c r="H222" s="131" t="s">
        <v>453</v>
      </c>
    </row>
    <row r="223" spans="1:8">
      <c r="A223" s="62">
        <v>8305281</v>
      </c>
      <c r="B223" s="55" t="s">
        <v>454</v>
      </c>
      <c r="C223" s="58">
        <v>17750243074305</v>
      </c>
      <c r="D223" s="55" t="s">
        <v>9</v>
      </c>
      <c r="E223" s="55">
        <v>14</v>
      </c>
      <c r="F223" s="55">
        <v>4</v>
      </c>
      <c r="G223" s="55">
        <v>56</v>
      </c>
      <c r="H223" s="131" t="s">
        <v>455</v>
      </c>
    </row>
    <row r="224" spans="1:8">
      <c r="A224" s="61">
        <v>8305284</v>
      </c>
      <c r="B224" s="54" t="s">
        <v>456</v>
      </c>
      <c r="C224" s="57">
        <v>17750243074336</v>
      </c>
      <c r="D224" s="54" t="s">
        <v>9</v>
      </c>
      <c r="E224" s="54">
        <v>12</v>
      </c>
      <c r="F224" s="54">
        <v>4</v>
      </c>
      <c r="G224" s="54">
        <v>48</v>
      </c>
      <c r="H224" s="131" t="s">
        <v>457</v>
      </c>
    </row>
    <row r="225" spans="1:8">
      <c r="A225" s="62">
        <v>8305286</v>
      </c>
      <c r="B225" s="55" t="s">
        <v>458</v>
      </c>
      <c r="C225" s="58">
        <v>17750243074350</v>
      </c>
      <c r="D225" s="55" t="s">
        <v>9</v>
      </c>
      <c r="E225" s="55">
        <v>20</v>
      </c>
      <c r="F225" s="55">
        <v>3</v>
      </c>
      <c r="G225" s="55">
        <v>60</v>
      </c>
      <c r="H225" s="131" t="s">
        <v>459</v>
      </c>
    </row>
    <row r="226" spans="1:8">
      <c r="A226" s="61">
        <v>8305289</v>
      </c>
      <c r="B226" s="54" t="s">
        <v>460</v>
      </c>
      <c r="C226" s="57">
        <v>27751851031664</v>
      </c>
      <c r="D226" s="54" t="s">
        <v>9</v>
      </c>
      <c r="E226" s="54">
        <v>13</v>
      </c>
      <c r="F226" s="54">
        <v>4</v>
      </c>
      <c r="G226" s="54">
        <v>52</v>
      </c>
      <c r="H226" s="131" t="s">
        <v>461</v>
      </c>
    </row>
    <row r="227" spans="1:8">
      <c r="A227" s="62">
        <v>8305290</v>
      </c>
      <c r="B227" s="55" t="s">
        <v>462</v>
      </c>
      <c r="C227" s="58">
        <v>37751851010789</v>
      </c>
      <c r="D227" s="55" t="s">
        <v>9</v>
      </c>
      <c r="E227" s="55">
        <v>16</v>
      </c>
      <c r="F227" s="55">
        <v>4</v>
      </c>
      <c r="G227" s="55">
        <v>64</v>
      </c>
      <c r="H227" s="131" t="s">
        <v>463</v>
      </c>
    </row>
    <row r="228" spans="1:8">
      <c r="A228" s="61">
        <v>8305291</v>
      </c>
      <c r="B228" s="54" t="s">
        <v>464</v>
      </c>
      <c r="C228" s="57">
        <v>17750243074930</v>
      </c>
      <c r="D228" s="54" t="s">
        <v>9</v>
      </c>
      <c r="E228" s="54">
        <v>8</v>
      </c>
      <c r="F228" s="54">
        <v>8</v>
      </c>
      <c r="G228" s="54">
        <v>64</v>
      </c>
      <c r="H228" s="131" t="s">
        <v>465</v>
      </c>
    </row>
    <row r="229" spans="1:8">
      <c r="A229" s="62">
        <v>8305301</v>
      </c>
      <c r="B229" s="55" t="s">
        <v>466</v>
      </c>
      <c r="C229" s="58">
        <v>17750243075951</v>
      </c>
      <c r="D229" s="55" t="s">
        <v>9</v>
      </c>
      <c r="E229" s="55">
        <v>9</v>
      </c>
      <c r="F229" s="55">
        <v>3</v>
      </c>
      <c r="G229" s="55">
        <v>27</v>
      </c>
      <c r="H229" s="131" t="s">
        <v>467</v>
      </c>
    </row>
    <row r="230" spans="1:8">
      <c r="A230" s="61">
        <v>8305302</v>
      </c>
      <c r="B230" s="54" t="s">
        <v>468</v>
      </c>
      <c r="C230" s="57">
        <v>17750243075968</v>
      </c>
      <c r="D230" s="54" t="s">
        <v>9</v>
      </c>
      <c r="E230" s="54">
        <v>9</v>
      </c>
      <c r="F230" s="54">
        <v>3</v>
      </c>
      <c r="G230" s="54">
        <v>27</v>
      </c>
      <c r="H230" s="131" t="s">
        <v>469</v>
      </c>
    </row>
    <row r="231" spans="1:8">
      <c r="A231" s="62">
        <v>8305306</v>
      </c>
      <c r="B231" s="55" t="s">
        <v>470</v>
      </c>
      <c r="C231" s="58">
        <v>17750243076767</v>
      </c>
      <c r="D231" s="55" t="s">
        <v>9</v>
      </c>
      <c r="E231" s="55">
        <v>16</v>
      </c>
      <c r="F231" s="55">
        <v>4</v>
      </c>
      <c r="G231" s="55">
        <v>64</v>
      </c>
      <c r="H231" s="131" t="s">
        <v>471</v>
      </c>
    </row>
    <row r="232" spans="1:8">
      <c r="A232" s="61">
        <v>8305307</v>
      </c>
      <c r="B232" s="54" t="s">
        <v>472</v>
      </c>
      <c r="C232" s="57">
        <v>17750243076774</v>
      </c>
      <c r="D232" s="54" t="s">
        <v>9</v>
      </c>
      <c r="E232" s="54">
        <v>16</v>
      </c>
      <c r="F232" s="54">
        <v>4</v>
      </c>
      <c r="G232" s="54">
        <v>64</v>
      </c>
      <c r="H232" s="131" t="s">
        <v>473</v>
      </c>
    </row>
    <row r="233" spans="1:8">
      <c r="A233" s="62">
        <v>8305308</v>
      </c>
      <c r="B233" s="55" t="s">
        <v>474</v>
      </c>
      <c r="C233" s="58">
        <v>17750243076781</v>
      </c>
      <c r="D233" s="55" t="s">
        <v>9</v>
      </c>
      <c r="E233" s="55">
        <v>16</v>
      </c>
      <c r="F233" s="55">
        <v>4</v>
      </c>
      <c r="G233" s="55">
        <v>64</v>
      </c>
      <c r="H233" s="131" t="s">
        <v>475</v>
      </c>
    </row>
    <row r="234" spans="1:8">
      <c r="A234" s="61">
        <v>8305309</v>
      </c>
      <c r="B234" s="54" t="s">
        <v>476</v>
      </c>
      <c r="C234" s="57">
        <v>17750243076798</v>
      </c>
      <c r="D234" s="54" t="s">
        <v>9</v>
      </c>
      <c r="E234" s="54">
        <v>16</v>
      </c>
      <c r="F234" s="54">
        <v>4</v>
      </c>
      <c r="G234" s="54">
        <v>64</v>
      </c>
      <c r="H234" s="131" t="s">
        <v>477</v>
      </c>
    </row>
    <row r="235" spans="1:8">
      <c r="A235" s="62">
        <v>8305310</v>
      </c>
      <c r="B235" s="55" t="s">
        <v>478</v>
      </c>
      <c r="C235" s="58">
        <v>17750243076804</v>
      </c>
      <c r="D235" s="55" t="s">
        <v>9</v>
      </c>
      <c r="E235" s="55">
        <v>16</v>
      </c>
      <c r="F235" s="55">
        <v>4</v>
      </c>
      <c r="G235" s="55">
        <v>64</v>
      </c>
      <c r="H235" s="131" t="s">
        <v>479</v>
      </c>
    </row>
    <row r="236" spans="1:8">
      <c r="A236" s="61">
        <v>8305311</v>
      </c>
      <c r="B236" s="54" t="s">
        <v>480</v>
      </c>
      <c r="C236" s="57">
        <v>17750243076811</v>
      </c>
      <c r="D236" s="54" t="s">
        <v>9</v>
      </c>
      <c r="E236" s="54">
        <v>20</v>
      </c>
      <c r="F236" s="54">
        <v>3</v>
      </c>
      <c r="G236" s="54">
        <v>60</v>
      </c>
      <c r="H236" s="131" t="s">
        <v>481</v>
      </c>
    </row>
    <row r="237" spans="1:8">
      <c r="A237" s="62">
        <v>8305312</v>
      </c>
      <c r="B237" s="55" t="s">
        <v>482</v>
      </c>
      <c r="C237" s="58">
        <v>17750243076828</v>
      </c>
      <c r="D237" s="55" t="s">
        <v>9</v>
      </c>
      <c r="E237" s="55">
        <v>20</v>
      </c>
      <c r="F237" s="55">
        <v>3</v>
      </c>
      <c r="G237" s="55">
        <v>60</v>
      </c>
      <c r="H237" s="131" t="s">
        <v>483</v>
      </c>
    </row>
    <row r="238" spans="1:8">
      <c r="A238" s="61">
        <v>8305313</v>
      </c>
      <c r="B238" s="54" t="s">
        <v>484</v>
      </c>
      <c r="C238" s="57">
        <v>17750243076835</v>
      </c>
      <c r="D238" s="54" t="s">
        <v>9</v>
      </c>
      <c r="E238" s="54">
        <v>9</v>
      </c>
      <c r="F238" s="54">
        <v>3</v>
      </c>
      <c r="G238" s="54">
        <v>27</v>
      </c>
      <c r="H238" s="131" t="s">
        <v>485</v>
      </c>
    </row>
    <row r="239" spans="1:8">
      <c r="A239" s="62">
        <v>8305314</v>
      </c>
      <c r="B239" s="55" t="s">
        <v>486</v>
      </c>
      <c r="C239" s="58">
        <v>17750243076842</v>
      </c>
      <c r="D239" s="55" t="s">
        <v>9</v>
      </c>
      <c r="E239" s="55">
        <v>9</v>
      </c>
      <c r="F239" s="55">
        <v>3</v>
      </c>
      <c r="G239" s="55">
        <v>27</v>
      </c>
      <c r="H239" s="131" t="s">
        <v>487</v>
      </c>
    </row>
    <row r="240" spans="1:8">
      <c r="A240" s="61">
        <v>8305315</v>
      </c>
      <c r="B240" s="54" t="s">
        <v>488</v>
      </c>
      <c r="C240" s="57">
        <v>17750243077023</v>
      </c>
      <c r="D240" s="54" t="s">
        <v>9</v>
      </c>
      <c r="E240" s="54">
        <v>20</v>
      </c>
      <c r="F240" s="54">
        <v>3</v>
      </c>
      <c r="G240" s="54">
        <v>60</v>
      </c>
      <c r="H240" s="131" t="s">
        <v>489</v>
      </c>
    </row>
    <row r="241" spans="1:8">
      <c r="A241" s="62">
        <v>8305319</v>
      </c>
      <c r="B241" s="55" t="s">
        <v>490</v>
      </c>
      <c r="C241" s="58">
        <v>17750243077719</v>
      </c>
      <c r="D241" s="55" t="s">
        <v>9</v>
      </c>
      <c r="E241" s="55">
        <v>16</v>
      </c>
      <c r="F241" s="55">
        <v>5</v>
      </c>
      <c r="G241" s="55">
        <v>80</v>
      </c>
      <c r="H241" s="131" t="s">
        <v>491</v>
      </c>
    </row>
    <row r="242" spans="1:8">
      <c r="A242" s="61">
        <v>8305320</v>
      </c>
      <c r="B242" s="54" t="s">
        <v>492</v>
      </c>
      <c r="C242" s="57">
        <v>17750243077726</v>
      </c>
      <c r="D242" s="54" t="s">
        <v>9</v>
      </c>
      <c r="E242" s="54">
        <v>10</v>
      </c>
      <c r="F242" s="54">
        <v>7</v>
      </c>
      <c r="G242" s="54">
        <v>70</v>
      </c>
      <c r="H242" s="131" t="s">
        <v>493</v>
      </c>
    </row>
    <row r="243" spans="1:8">
      <c r="A243" s="62">
        <v>8305322</v>
      </c>
      <c r="B243" s="55" t="s">
        <v>494</v>
      </c>
      <c r="C243" s="58">
        <v>27750243077716</v>
      </c>
      <c r="D243" s="55" t="s">
        <v>9</v>
      </c>
      <c r="E243" s="55">
        <v>16</v>
      </c>
      <c r="F243" s="55">
        <v>5</v>
      </c>
      <c r="G243" s="55">
        <v>80</v>
      </c>
      <c r="H243" s="131" t="s">
        <v>495</v>
      </c>
    </row>
    <row r="244" spans="1:8">
      <c r="A244" s="61">
        <v>8305323</v>
      </c>
      <c r="B244" s="54" t="s">
        <v>496</v>
      </c>
      <c r="C244" s="57">
        <v>27750243077723</v>
      </c>
      <c r="D244" s="54" t="s">
        <v>9</v>
      </c>
      <c r="E244" s="54">
        <v>10</v>
      </c>
      <c r="F244" s="54">
        <v>7</v>
      </c>
      <c r="G244" s="54">
        <v>70</v>
      </c>
      <c r="H244" s="131" t="s">
        <v>497</v>
      </c>
    </row>
    <row r="245" spans="1:8">
      <c r="A245" s="62">
        <v>8305324</v>
      </c>
      <c r="B245" s="55" t="s">
        <v>498</v>
      </c>
      <c r="C245" s="58">
        <v>27750243067892</v>
      </c>
      <c r="D245" s="55" t="s">
        <v>9</v>
      </c>
      <c r="E245" s="55">
        <v>8</v>
      </c>
      <c r="F245" s="55">
        <v>10</v>
      </c>
      <c r="G245" s="55">
        <v>80</v>
      </c>
      <c r="H245" s="131" t="s">
        <v>499</v>
      </c>
    </row>
    <row r="246" spans="1:8">
      <c r="A246" s="61">
        <v>8305325</v>
      </c>
      <c r="B246" s="54" t="s">
        <v>500</v>
      </c>
      <c r="C246" s="57">
        <v>27750243067922</v>
      </c>
      <c r="D246" s="54" t="s">
        <v>9</v>
      </c>
      <c r="E246" s="54">
        <v>8</v>
      </c>
      <c r="F246" s="54">
        <v>10</v>
      </c>
      <c r="G246" s="54">
        <v>80</v>
      </c>
      <c r="H246" s="131" t="s">
        <v>501</v>
      </c>
    </row>
    <row r="247" spans="1:8">
      <c r="A247" s="62">
        <v>8305326</v>
      </c>
      <c r="B247" s="55" t="s">
        <v>502</v>
      </c>
      <c r="C247" s="58">
        <v>27751851003593</v>
      </c>
      <c r="D247" s="55" t="s">
        <v>9</v>
      </c>
      <c r="E247" s="55">
        <v>8</v>
      </c>
      <c r="F247" s="55">
        <v>10</v>
      </c>
      <c r="G247" s="55">
        <v>80</v>
      </c>
      <c r="H247" s="131" t="s">
        <v>503</v>
      </c>
    </row>
    <row r="248" spans="1:8">
      <c r="A248" s="61">
        <v>8305327</v>
      </c>
      <c r="B248" s="54" t="s">
        <v>430</v>
      </c>
      <c r="C248" s="57">
        <v>27750243068264</v>
      </c>
      <c r="D248" s="54" t="s">
        <v>9</v>
      </c>
      <c r="E248" s="54">
        <v>8</v>
      </c>
      <c r="F248" s="54">
        <v>10</v>
      </c>
      <c r="G248" s="54">
        <v>80</v>
      </c>
      <c r="H248" s="131" t="s">
        <v>504</v>
      </c>
    </row>
    <row r="249" spans="1:8">
      <c r="A249" s="62">
        <v>8305328</v>
      </c>
      <c r="B249" s="55" t="s">
        <v>505</v>
      </c>
      <c r="C249" s="58">
        <v>27751851023393</v>
      </c>
      <c r="D249" s="55" t="s">
        <v>9</v>
      </c>
      <c r="E249" s="55">
        <v>8</v>
      </c>
      <c r="F249" s="55">
        <v>10</v>
      </c>
      <c r="G249" s="55">
        <v>80</v>
      </c>
      <c r="H249" s="131" t="s">
        <v>506</v>
      </c>
    </row>
    <row r="250" spans="1:8">
      <c r="A250" s="61">
        <v>8305329</v>
      </c>
      <c r="B250" s="54" t="s">
        <v>507</v>
      </c>
      <c r="C250" s="57">
        <v>27750243060695</v>
      </c>
      <c r="D250" s="54" t="s">
        <v>9</v>
      </c>
      <c r="E250" s="54">
        <v>8</v>
      </c>
      <c r="F250" s="54">
        <v>10</v>
      </c>
      <c r="G250" s="54">
        <v>80</v>
      </c>
      <c r="H250" s="131" t="s">
        <v>508</v>
      </c>
    </row>
    <row r="251" spans="1:8">
      <c r="A251" s="62">
        <v>8305330</v>
      </c>
      <c r="B251" s="55" t="s">
        <v>509</v>
      </c>
      <c r="C251" s="58">
        <v>37751851003590</v>
      </c>
      <c r="D251" s="55" t="s">
        <v>9</v>
      </c>
      <c r="E251" s="55">
        <v>8</v>
      </c>
      <c r="F251" s="55">
        <v>10</v>
      </c>
      <c r="G251" s="55">
        <v>80</v>
      </c>
      <c r="H251" s="131" t="s">
        <v>510</v>
      </c>
    </row>
    <row r="252" spans="1:8">
      <c r="A252" s="61">
        <v>8305332</v>
      </c>
      <c r="B252" s="54" t="s">
        <v>511</v>
      </c>
      <c r="C252" s="57">
        <v>17750243084441</v>
      </c>
      <c r="D252" s="54" t="s">
        <v>9</v>
      </c>
      <c r="E252" s="54">
        <v>9</v>
      </c>
      <c r="F252" s="54">
        <v>3</v>
      </c>
      <c r="G252" s="54">
        <v>27</v>
      </c>
      <c r="H252" s="131" t="s">
        <v>512</v>
      </c>
    </row>
    <row r="253" spans="1:8">
      <c r="A253" s="62">
        <v>8305333</v>
      </c>
      <c r="B253" s="55" t="s">
        <v>513</v>
      </c>
      <c r="C253" s="58">
        <v>17750243084458</v>
      </c>
      <c r="D253" s="55" t="s">
        <v>9</v>
      </c>
      <c r="E253" s="55">
        <v>9</v>
      </c>
      <c r="F253" s="55">
        <v>3</v>
      </c>
      <c r="G253" s="55">
        <v>27</v>
      </c>
      <c r="H253" s="131" t="s">
        <v>514</v>
      </c>
    </row>
    <row r="254" spans="1:8">
      <c r="A254" s="61">
        <v>8305334</v>
      </c>
      <c r="B254" s="54" t="s">
        <v>515</v>
      </c>
      <c r="C254" s="57">
        <v>17750243084755</v>
      </c>
      <c r="D254" s="54" t="s">
        <v>9</v>
      </c>
      <c r="E254" s="54">
        <v>8</v>
      </c>
      <c r="F254" s="54">
        <v>10</v>
      </c>
      <c r="G254" s="54">
        <v>80</v>
      </c>
      <c r="H254" s="131" t="s">
        <v>516</v>
      </c>
    </row>
    <row r="255" spans="1:8">
      <c r="A255" s="62">
        <v>8305335</v>
      </c>
      <c r="B255" s="55" t="s">
        <v>517</v>
      </c>
      <c r="C255" s="58">
        <v>27750243085032</v>
      </c>
      <c r="D255" s="55" t="s">
        <v>9</v>
      </c>
      <c r="E255" s="55">
        <v>9</v>
      </c>
      <c r="F255" s="55">
        <v>3</v>
      </c>
      <c r="G255" s="55">
        <v>27</v>
      </c>
      <c r="H255" s="131" t="s">
        <v>518</v>
      </c>
    </row>
    <row r="256" spans="1:8">
      <c r="A256" s="61">
        <v>8305336</v>
      </c>
      <c r="B256" s="54" t="s">
        <v>519</v>
      </c>
      <c r="C256" s="57">
        <v>27750243085049</v>
      </c>
      <c r="D256" s="54" t="s">
        <v>9</v>
      </c>
      <c r="E256" s="54">
        <v>9</v>
      </c>
      <c r="F256" s="54">
        <v>3</v>
      </c>
      <c r="G256" s="54">
        <v>27</v>
      </c>
      <c r="H256" s="131" t="s">
        <v>520</v>
      </c>
    </row>
    <row r="257" spans="1:8">
      <c r="A257" s="62">
        <v>8305337</v>
      </c>
      <c r="B257" s="55" t="s">
        <v>521</v>
      </c>
      <c r="C257" s="58">
        <v>17750243085431</v>
      </c>
      <c r="D257" s="55" t="s">
        <v>9</v>
      </c>
      <c r="E257" s="55">
        <v>16</v>
      </c>
      <c r="F257" s="55">
        <v>4</v>
      </c>
      <c r="G257" s="55">
        <v>64</v>
      </c>
      <c r="H257" s="131" t="s">
        <v>522</v>
      </c>
    </row>
    <row r="258" spans="1:8">
      <c r="A258" s="61">
        <v>8305338</v>
      </c>
      <c r="B258" s="54" t="s">
        <v>523</v>
      </c>
      <c r="C258" s="57">
        <v>17861036791115</v>
      </c>
      <c r="D258" s="54" t="s">
        <v>9</v>
      </c>
      <c r="E258" s="54">
        <v>9</v>
      </c>
      <c r="F258" s="54">
        <v>7</v>
      </c>
      <c r="G258" s="54">
        <v>63</v>
      </c>
      <c r="H258" s="131" t="s">
        <v>524</v>
      </c>
    </row>
    <row r="259" spans="1:8">
      <c r="A259" s="62">
        <v>8305339</v>
      </c>
      <c r="B259" s="55" t="s">
        <v>525</v>
      </c>
      <c r="C259" s="58">
        <v>17861036793027</v>
      </c>
      <c r="D259" s="55" t="s">
        <v>9</v>
      </c>
      <c r="E259" s="55">
        <v>8</v>
      </c>
      <c r="F259" s="55">
        <v>6</v>
      </c>
      <c r="G259" s="55">
        <v>48</v>
      </c>
      <c r="H259" s="131" t="s">
        <v>526</v>
      </c>
    </row>
    <row r="260" spans="1:8">
      <c r="A260" s="61">
        <v>8305343</v>
      </c>
      <c r="B260" s="54" t="s">
        <v>527</v>
      </c>
      <c r="C260" s="57">
        <v>17861036793065</v>
      </c>
      <c r="D260" s="54" t="s">
        <v>9</v>
      </c>
      <c r="E260" s="54">
        <v>8</v>
      </c>
      <c r="F260" s="54">
        <v>6</v>
      </c>
      <c r="G260" s="54">
        <v>48</v>
      </c>
      <c r="H260" s="131" t="s">
        <v>528</v>
      </c>
    </row>
    <row r="261" spans="1:8">
      <c r="A261" s="62">
        <v>8305344</v>
      </c>
      <c r="B261" s="55" t="s">
        <v>529</v>
      </c>
      <c r="C261" s="58">
        <v>17861036793072</v>
      </c>
      <c r="D261" s="55" t="s">
        <v>9</v>
      </c>
      <c r="E261" s="55">
        <v>8</v>
      </c>
      <c r="F261" s="55">
        <v>6</v>
      </c>
      <c r="G261" s="55">
        <v>48</v>
      </c>
      <c r="H261" s="131" t="s">
        <v>530</v>
      </c>
    </row>
    <row r="262" spans="1:8">
      <c r="A262" s="61">
        <v>8305345</v>
      </c>
      <c r="B262" s="54" t="s">
        <v>531</v>
      </c>
      <c r="C262" s="57">
        <v>17861036793089</v>
      </c>
      <c r="D262" s="54" t="s">
        <v>9</v>
      </c>
      <c r="E262" s="54">
        <v>8</v>
      </c>
      <c r="F262" s="54">
        <v>6</v>
      </c>
      <c r="G262" s="54">
        <v>48</v>
      </c>
      <c r="H262" s="131" t="s">
        <v>532</v>
      </c>
    </row>
    <row r="263" spans="1:8">
      <c r="A263" s="62">
        <v>8305346</v>
      </c>
      <c r="B263" s="55" t="s">
        <v>533</v>
      </c>
      <c r="C263" s="58">
        <v>17861036793096</v>
      </c>
      <c r="D263" s="55" t="s">
        <v>9</v>
      </c>
      <c r="E263" s="55">
        <v>8</v>
      </c>
      <c r="F263" s="55">
        <v>6</v>
      </c>
      <c r="G263" s="55">
        <v>48</v>
      </c>
      <c r="H263" s="131" t="s">
        <v>534</v>
      </c>
    </row>
    <row r="264" spans="1:8">
      <c r="A264" s="61">
        <v>8305347</v>
      </c>
      <c r="B264" s="54" t="s">
        <v>535</v>
      </c>
      <c r="C264" s="57">
        <v>17861036793102</v>
      </c>
      <c r="D264" s="54" t="s">
        <v>9</v>
      </c>
      <c r="E264" s="54">
        <v>8</v>
      </c>
      <c r="F264" s="54">
        <v>6</v>
      </c>
      <c r="G264" s="54">
        <v>48</v>
      </c>
      <c r="H264" s="131" t="s">
        <v>536</v>
      </c>
    </row>
    <row r="265" spans="1:8">
      <c r="A265" s="62">
        <v>8305348</v>
      </c>
      <c r="B265" s="55" t="s">
        <v>537</v>
      </c>
      <c r="C265" s="58">
        <v>17861036793119</v>
      </c>
      <c r="D265" s="55" t="s">
        <v>9</v>
      </c>
      <c r="E265" s="55">
        <v>8</v>
      </c>
      <c r="F265" s="55">
        <v>6</v>
      </c>
      <c r="G265" s="55">
        <v>48</v>
      </c>
      <c r="H265" s="131" t="s">
        <v>538</v>
      </c>
    </row>
    <row r="266" spans="1:8">
      <c r="A266" s="61">
        <v>8305349</v>
      </c>
      <c r="B266" s="54" t="s">
        <v>539</v>
      </c>
      <c r="C266" s="57">
        <v>17861036793126</v>
      </c>
      <c r="D266" s="54" t="s">
        <v>9</v>
      </c>
      <c r="E266" s="54">
        <v>8</v>
      </c>
      <c r="F266" s="54">
        <v>6</v>
      </c>
      <c r="G266" s="54">
        <v>48</v>
      </c>
      <c r="H266" s="131" t="s">
        <v>540</v>
      </c>
    </row>
    <row r="267" spans="1:8">
      <c r="A267" s="62">
        <v>8305350</v>
      </c>
      <c r="B267" s="55" t="s">
        <v>541</v>
      </c>
      <c r="C267" s="58">
        <v>17861036793133</v>
      </c>
      <c r="D267" s="55" t="s">
        <v>9</v>
      </c>
      <c r="E267" s="55">
        <v>8</v>
      </c>
      <c r="F267" s="55">
        <v>6</v>
      </c>
      <c r="G267" s="55">
        <v>48</v>
      </c>
      <c r="H267" s="131" t="s">
        <v>542</v>
      </c>
    </row>
    <row r="268" spans="1:8">
      <c r="A268" s="61">
        <v>8305351</v>
      </c>
      <c r="B268" s="54" t="s">
        <v>543</v>
      </c>
      <c r="C268" s="57">
        <v>17861036791061</v>
      </c>
      <c r="D268" s="54" t="s">
        <v>9</v>
      </c>
      <c r="E268" s="54">
        <v>13</v>
      </c>
      <c r="F268" s="54">
        <v>4</v>
      </c>
      <c r="G268" s="54">
        <v>52</v>
      </c>
      <c r="H268" s="131" t="s">
        <v>544</v>
      </c>
    </row>
    <row r="269" spans="1:8">
      <c r="A269" s="62">
        <v>8305352</v>
      </c>
      <c r="B269" s="55" t="s">
        <v>545</v>
      </c>
      <c r="C269" s="58">
        <v>17861036791054</v>
      </c>
      <c r="D269" s="55" t="s">
        <v>9</v>
      </c>
      <c r="E269" s="55">
        <v>13</v>
      </c>
      <c r="F269" s="55">
        <v>4</v>
      </c>
      <c r="G269" s="55">
        <v>52</v>
      </c>
      <c r="H269" s="131" t="s">
        <v>546</v>
      </c>
    </row>
    <row r="270" spans="1:8">
      <c r="A270" s="61">
        <v>8305353</v>
      </c>
      <c r="B270" s="54" t="s">
        <v>547</v>
      </c>
      <c r="C270" s="57">
        <v>17861036791023</v>
      </c>
      <c r="D270" s="54" t="s">
        <v>9</v>
      </c>
      <c r="E270" s="54">
        <v>15</v>
      </c>
      <c r="F270" s="54">
        <v>5</v>
      </c>
      <c r="G270" s="54">
        <v>75</v>
      </c>
      <c r="H270" s="131" t="s">
        <v>548</v>
      </c>
    </row>
    <row r="271" spans="1:8">
      <c r="A271" s="62">
        <v>8305354</v>
      </c>
      <c r="B271" s="55" t="s">
        <v>549</v>
      </c>
      <c r="C271" s="58">
        <v>17861036791030</v>
      </c>
      <c r="D271" s="55" t="s">
        <v>9</v>
      </c>
      <c r="E271" s="55">
        <v>15</v>
      </c>
      <c r="F271" s="55">
        <v>5</v>
      </c>
      <c r="G271" s="55">
        <v>75</v>
      </c>
      <c r="H271" s="131" t="s">
        <v>550</v>
      </c>
    </row>
    <row r="272" spans="1:8">
      <c r="A272" s="61">
        <v>8305355</v>
      </c>
      <c r="B272" s="54" t="s">
        <v>551</v>
      </c>
      <c r="C272" s="57">
        <v>17861036791009</v>
      </c>
      <c r="D272" s="54" t="s">
        <v>9</v>
      </c>
      <c r="E272" s="54">
        <v>15</v>
      </c>
      <c r="F272" s="54">
        <v>5</v>
      </c>
      <c r="G272" s="54">
        <v>75</v>
      </c>
      <c r="H272" s="131" t="s">
        <v>552</v>
      </c>
    </row>
    <row r="273" spans="1:8">
      <c r="A273" s="62">
        <v>8305356</v>
      </c>
      <c r="B273" s="55" t="s">
        <v>553</v>
      </c>
      <c r="C273" s="58">
        <v>17861036791016</v>
      </c>
      <c r="D273" s="55" t="s">
        <v>9</v>
      </c>
      <c r="E273" s="55">
        <v>15</v>
      </c>
      <c r="F273" s="55">
        <v>5</v>
      </c>
      <c r="G273" s="55">
        <v>75</v>
      </c>
      <c r="H273" s="131" t="s">
        <v>554</v>
      </c>
    </row>
    <row r="274" spans="1:8">
      <c r="A274" s="61">
        <v>8305357</v>
      </c>
      <c r="B274" s="54" t="s">
        <v>555</v>
      </c>
      <c r="C274" s="57">
        <v>17861036793638</v>
      </c>
      <c r="D274" s="54" t="s">
        <v>9</v>
      </c>
      <c r="E274" s="54">
        <v>11</v>
      </c>
      <c r="F274" s="54">
        <v>4</v>
      </c>
      <c r="G274" s="54">
        <v>44</v>
      </c>
      <c r="H274" s="131" t="s">
        <v>556</v>
      </c>
    </row>
    <row r="275" spans="1:8">
      <c r="A275" s="62">
        <v>8305358</v>
      </c>
      <c r="B275" s="55" t="s">
        <v>557</v>
      </c>
      <c r="C275" s="58">
        <v>17861036793645</v>
      </c>
      <c r="D275" s="55" t="s">
        <v>9</v>
      </c>
      <c r="E275" s="55">
        <v>11</v>
      </c>
      <c r="F275" s="55">
        <v>6</v>
      </c>
      <c r="G275" s="55">
        <v>66</v>
      </c>
      <c r="H275" s="131" t="s">
        <v>558</v>
      </c>
    </row>
    <row r="276" spans="1:8">
      <c r="A276" s="61">
        <v>8305359</v>
      </c>
      <c r="B276" s="54" t="s">
        <v>559</v>
      </c>
      <c r="C276" s="57">
        <v>17861036793669</v>
      </c>
      <c r="D276" s="54" t="s">
        <v>9</v>
      </c>
      <c r="E276" s="54">
        <v>10</v>
      </c>
      <c r="F276" s="54">
        <v>4</v>
      </c>
      <c r="G276" s="54">
        <v>40</v>
      </c>
      <c r="H276" s="131" t="s">
        <v>560</v>
      </c>
    </row>
    <row r="277" spans="1:8">
      <c r="A277" s="62">
        <v>8305360</v>
      </c>
      <c r="B277" s="55" t="s">
        <v>561</v>
      </c>
      <c r="C277" s="58">
        <v>17861036793676</v>
      </c>
      <c r="D277" s="55" t="s">
        <v>9</v>
      </c>
      <c r="E277" s="55">
        <v>8</v>
      </c>
      <c r="F277" s="55">
        <v>6</v>
      </c>
      <c r="G277" s="55">
        <v>48</v>
      </c>
      <c r="H277" s="131" t="s">
        <v>562</v>
      </c>
    </row>
    <row r="278" spans="1:8">
      <c r="A278" s="61">
        <v>8305361</v>
      </c>
      <c r="B278" s="54" t="s">
        <v>563</v>
      </c>
      <c r="C278" s="57">
        <v>87861036713406</v>
      </c>
      <c r="D278" s="54" t="s">
        <v>9</v>
      </c>
      <c r="E278" s="54">
        <v>18</v>
      </c>
      <c r="F278" s="54">
        <v>6</v>
      </c>
      <c r="G278" s="54">
        <v>108</v>
      </c>
      <c r="H278" s="131" t="s">
        <v>564</v>
      </c>
    </row>
    <row r="279" spans="1:8">
      <c r="A279" s="62">
        <v>8305362</v>
      </c>
      <c r="B279" s="55" t="s">
        <v>565</v>
      </c>
      <c r="C279" s="58">
        <v>87861036713413</v>
      </c>
      <c r="D279" s="55" t="s">
        <v>9</v>
      </c>
      <c r="E279" s="55">
        <v>18</v>
      </c>
      <c r="F279" s="55">
        <v>6</v>
      </c>
      <c r="G279" s="55">
        <v>108</v>
      </c>
      <c r="H279" s="131" t="s">
        <v>566</v>
      </c>
    </row>
    <row r="280" spans="1:8">
      <c r="A280" s="61">
        <v>8305363</v>
      </c>
      <c r="B280" s="54" t="s">
        <v>567</v>
      </c>
      <c r="C280" s="57">
        <v>87861036713420</v>
      </c>
      <c r="D280" s="54" t="s">
        <v>9</v>
      </c>
      <c r="E280" s="54">
        <v>18</v>
      </c>
      <c r="F280" s="54">
        <v>6</v>
      </c>
      <c r="G280" s="54">
        <v>108</v>
      </c>
      <c r="H280" s="131" t="s">
        <v>568</v>
      </c>
    </row>
    <row r="281" spans="1:8">
      <c r="A281" s="62">
        <v>8305365</v>
      </c>
      <c r="B281" s="55" t="s">
        <v>569</v>
      </c>
      <c r="C281" s="58">
        <v>57861036713511</v>
      </c>
      <c r="D281" s="55" t="s">
        <v>9</v>
      </c>
      <c r="E281" s="55">
        <v>12</v>
      </c>
      <c r="F281" s="55">
        <v>10</v>
      </c>
      <c r="G281" s="55">
        <v>120</v>
      </c>
      <c r="H281" s="131" t="s">
        <v>570</v>
      </c>
    </row>
    <row r="282" spans="1:8">
      <c r="A282" s="61">
        <v>8305366</v>
      </c>
      <c r="B282" s="54" t="s">
        <v>571</v>
      </c>
      <c r="C282" s="57">
        <v>27750243087043</v>
      </c>
      <c r="D282" s="54" t="s">
        <v>9</v>
      </c>
      <c r="E282" s="54">
        <v>16</v>
      </c>
      <c r="F282" s="54">
        <v>4</v>
      </c>
      <c r="G282" s="54">
        <v>64</v>
      </c>
      <c r="H282" s="131" t="s">
        <v>572</v>
      </c>
    </row>
    <row r="283" spans="1:8">
      <c r="A283" s="62">
        <v>8305367</v>
      </c>
      <c r="B283" s="55" t="s">
        <v>573</v>
      </c>
      <c r="C283" s="58">
        <v>17753039000090</v>
      </c>
      <c r="D283" s="55" t="s">
        <v>9</v>
      </c>
      <c r="E283" s="55">
        <v>8</v>
      </c>
      <c r="F283" s="55">
        <v>6</v>
      </c>
      <c r="G283" s="55">
        <v>48</v>
      </c>
      <c r="H283" s="131" t="s">
        <v>574</v>
      </c>
    </row>
    <row r="284" spans="1:8">
      <c r="A284" s="61">
        <v>8305369</v>
      </c>
      <c r="B284" s="54" t="s">
        <v>575</v>
      </c>
      <c r="C284" s="57">
        <v>27750243087906</v>
      </c>
      <c r="D284" s="54" t="s">
        <v>9</v>
      </c>
      <c r="E284" s="54">
        <v>10</v>
      </c>
      <c r="F284" s="54">
        <v>7</v>
      </c>
      <c r="G284" s="54">
        <v>70</v>
      </c>
      <c r="H284" s="131" t="s">
        <v>576</v>
      </c>
    </row>
    <row r="285" spans="1:8">
      <c r="A285" s="62">
        <v>8305370</v>
      </c>
      <c r="B285" s="55" t="s">
        <v>577</v>
      </c>
      <c r="C285" s="58">
        <v>27750243087944</v>
      </c>
      <c r="D285" s="55" t="s">
        <v>9</v>
      </c>
      <c r="E285" s="55">
        <v>8</v>
      </c>
      <c r="F285" s="55">
        <v>10</v>
      </c>
      <c r="G285" s="55">
        <v>80</v>
      </c>
      <c r="H285" s="131" t="s">
        <v>578</v>
      </c>
    </row>
    <row r="286" spans="1:8">
      <c r="A286" s="61">
        <v>8305371</v>
      </c>
      <c r="B286" s="54" t="s">
        <v>579</v>
      </c>
      <c r="C286" s="57">
        <v>27861036793772</v>
      </c>
      <c r="D286" s="54" t="s">
        <v>9</v>
      </c>
      <c r="E286" s="54">
        <v>18</v>
      </c>
      <c r="F286" s="54">
        <v>6</v>
      </c>
      <c r="G286" s="54">
        <v>108</v>
      </c>
      <c r="H286" s="131" t="s">
        <v>580</v>
      </c>
    </row>
    <row r="287" spans="1:8">
      <c r="A287" s="62">
        <v>8305372</v>
      </c>
      <c r="B287" s="55" t="s">
        <v>581</v>
      </c>
      <c r="C287" s="58">
        <v>37751851023390</v>
      </c>
      <c r="D287" s="55" t="s">
        <v>9</v>
      </c>
      <c r="E287" s="55">
        <v>8</v>
      </c>
      <c r="F287" s="55">
        <v>10</v>
      </c>
      <c r="G287" s="55">
        <v>80</v>
      </c>
      <c r="H287" s="131" t="s">
        <v>582</v>
      </c>
    </row>
    <row r="288" spans="1:8">
      <c r="A288" s="61">
        <v>8305373</v>
      </c>
      <c r="B288" s="54" t="s">
        <v>583</v>
      </c>
      <c r="C288" s="57">
        <v>2000431649814</v>
      </c>
      <c r="D288" s="54" t="s">
        <v>9</v>
      </c>
      <c r="E288" s="54">
        <v>8</v>
      </c>
      <c r="F288" s="54">
        <v>6</v>
      </c>
      <c r="G288" s="54">
        <v>48</v>
      </c>
      <c r="H288" s="131" t="s">
        <v>584</v>
      </c>
    </row>
    <row r="289" spans="1:8">
      <c r="A289" s="62">
        <v>8306000</v>
      </c>
      <c r="B289" s="55" t="s">
        <v>585</v>
      </c>
      <c r="C289" s="58">
        <v>17751851026328</v>
      </c>
      <c r="D289" s="55" t="s">
        <v>288</v>
      </c>
      <c r="E289" s="55">
        <v>17</v>
      </c>
      <c r="F289" s="55">
        <v>5</v>
      </c>
      <c r="G289" s="55">
        <v>85</v>
      </c>
      <c r="H289" s="131" t="s">
        <v>586</v>
      </c>
    </row>
    <row r="290" spans="1:8">
      <c r="A290" s="61">
        <v>8306002</v>
      </c>
      <c r="B290" s="54" t="s">
        <v>587</v>
      </c>
      <c r="C290" s="57">
        <v>17751851026342</v>
      </c>
      <c r="D290" s="54" t="s">
        <v>9</v>
      </c>
      <c r="E290" s="54">
        <v>9</v>
      </c>
      <c r="F290" s="54">
        <v>3</v>
      </c>
      <c r="G290" s="54">
        <v>27</v>
      </c>
      <c r="H290" s="131" t="s">
        <v>588</v>
      </c>
    </row>
    <row r="291" spans="1:8">
      <c r="A291" s="62">
        <v>8306007</v>
      </c>
      <c r="B291" s="55" t="s">
        <v>589</v>
      </c>
      <c r="C291" s="58">
        <v>17751851016572</v>
      </c>
      <c r="D291" s="55" t="s">
        <v>9</v>
      </c>
      <c r="E291" s="55">
        <v>9</v>
      </c>
      <c r="F291" s="55">
        <v>4</v>
      </c>
      <c r="G291" s="55">
        <v>36</v>
      </c>
      <c r="H291" s="131" t="s">
        <v>590</v>
      </c>
    </row>
    <row r="292" spans="1:8">
      <c r="A292" s="61">
        <v>8306030</v>
      </c>
      <c r="B292" s="54" t="s">
        <v>591</v>
      </c>
      <c r="C292" s="57">
        <v>17750243070727</v>
      </c>
      <c r="D292" s="54" t="s">
        <v>9</v>
      </c>
      <c r="E292" s="54">
        <v>9</v>
      </c>
      <c r="F292" s="54">
        <v>3</v>
      </c>
      <c r="G292" s="54">
        <v>27</v>
      </c>
      <c r="H292" s="131" t="s">
        <v>592</v>
      </c>
    </row>
    <row r="293" spans="1:8">
      <c r="A293" s="62">
        <v>8306031</v>
      </c>
      <c r="B293" s="55" t="s">
        <v>593</v>
      </c>
      <c r="C293" s="58">
        <v>17750243068199</v>
      </c>
      <c r="D293" s="55" t="s">
        <v>288</v>
      </c>
      <c r="E293" s="55">
        <v>10</v>
      </c>
      <c r="F293" s="55">
        <v>7</v>
      </c>
      <c r="G293" s="55">
        <v>70</v>
      </c>
      <c r="H293" s="131" t="s">
        <v>594</v>
      </c>
    </row>
    <row r="294" spans="1:8">
      <c r="A294" s="61">
        <v>8306032</v>
      </c>
      <c r="B294" s="54" t="s">
        <v>595</v>
      </c>
      <c r="C294" s="57">
        <v>17750243068205</v>
      </c>
      <c r="D294" s="54" t="s">
        <v>9</v>
      </c>
      <c r="E294" s="54">
        <v>15</v>
      </c>
      <c r="F294" s="54">
        <v>5</v>
      </c>
      <c r="G294" s="54">
        <v>75</v>
      </c>
      <c r="H294" s="131" t="s">
        <v>596</v>
      </c>
    </row>
    <row r="295" spans="1:8">
      <c r="A295" s="62">
        <v>8306034</v>
      </c>
      <c r="B295" s="55" t="s">
        <v>597</v>
      </c>
      <c r="C295" s="58">
        <v>17750243069110</v>
      </c>
      <c r="D295" s="55" t="s">
        <v>9</v>
      </c>
      <c r="E295" s="55">
        <v>10</v>
      </c>
      <c r="F295" s="55">
        <v>4</v>
      </c>
      <c r="G295" s="55">
        <v>40</v>
      </c>
      <c r="H295" s="131" t="s">
        <v>598</v>
      </c>
    </row>
    <row r="296" spans="1:8">
      <c r="A296" s="61">
        <v>8306035</v>
      </c>
      <c r="B296" s="54" t="s">
        <v>599</v>
      </c>
      <c r="C296" s="57">
        <v>17750243069127</v>
      </c>
      <c r="D296" s="54" t="s">
        <v>9</v>
      </c>
      <c r="E296" s="54">
        <v>10</v>
      </c>
      <c r="F296" s="54">
        <v>4</v>
      </c>
      <c r="G296" s="54">
        <v>40</v>
      </c>
      <c r="H296" s="131" t="s">
        <v>600</v>
      </c>
    </row>
    <row r="297" spans="1:8">
      <c r="A297" s="62">
        <v>8306037</v>
      </c>
      <c r="B297" s="55" t="s">
        <v>601</v>
      </c>
      <c r="C297" s="58">
        <v>17750243069998</v>
      </c>
      <c r="D297" s="55" t="s">
        <v>9</v>
      </c>
      <c r="E297" s="55">
        <v>11</v>
      </c>
      <c r="F297" s="55">
        <v>4</v>
      </c>
      <c r="G297" s="55">
        <v>44</v>
      </c>
      <c r="H297" s="131" t="s">
        <v>602</v>
      </c>
    </row>
    <row r="298" spans="1:8">
      <c r="A298" s="61">
        <v>8306040</v>
      </c>
      <c r="B298" s="54" t="s">
        <v>603</v>
      </c>
      <c r="C298" s="57">
        <v>17750243088395</v>
      </c>
      <c r="D298" s="54" t="s">
        <v>9</v>
      </c>
      <c r="E298" s="54">
        <v>17</v>
      </c>
      <c r="F298" s="54">
        <v>5</v>
      </c>
      <c r="G298" s="54">
        <v>85</v>
      </c>
      <c r="H298" s="131" t="s">
        <v>604</v>
      </c>
    </row>
    <row r="299" spans="1:8">
      <c r="A299" s="62">
        <v>8306041</v>
      </c>
      <c r="B299" s="55" t="s">
        <v>605</v>
      </c>
      <c r="C299" s="58">
        <v>17750243088401</v>
      </c>
      <c r="D299" s="55" t="s">
        <v>288</v>
      </c>
      <c r="E299" s="55">
        <v>10</v>
      </c>
      <c r="F299" s="55">
        <v>7</v>
      </c>
      <c r="G299" s="55">
        <v>70</v>
      </c>
      <c r="H299" s="131" t="s">
        <v>606</v>
      </c>
    </row>
    <row r="300" spans="1:8">
      <c r="A300" s="61">
        <v>8309004</v>
      </c>
      <c r="B300" s="54" t="s">
        <v>607</v>
      </c>
      <c r="C300" s="57">
        <v>27751851006044</v>
      </c>
      <c r="D300" s="54" t="s">
        <v>9</v>
      </c>
      <c r="E300" s="54">
        <v>26</v>
      </c>
      <c r="F300" s="54">
        <v>4</v>
      </c>
      <c r="G300" s="54">
        <v>104</v>
      </c>
      <c r="H300" s="131" t="s">
        <v>608</v>
      </c>
    </row>
    <row r="301" spans="1:8">
      <c r="A301" s="62">
        <v>8309011</v>
      </c>
      <c r="B301" s="55" t="s">
        <v>609</v>
      </c>
      <c r="C301" s="58">
        <v>17751851014165</v>
      </c>
      <c r="D301" s="55" t="s">
        <v>9</v>
      </c>
      <c r="E301" s="55">
        <v>26</v>
      </c>
      <c r="F301" s="55">
        <v>4</v>
      </c>
      <c r="G301" s="55">
        <v>104</v>
      </c>
      <c r="H301" s="131" t="s">
        <v>610</v>
      </c>
    </row>
    <row r="302" spans="1:8">
      <c r="A302" s="61">
        <v>8309016</v>
      </c>
      <c r="B302" s="54" t="s">
        <v>611</v>
      </c>
      <c r="C302" s="57">
        <v>17751851006467</v>
      </c>
      <c r="D302" s="54" t="s">
        <v>9</v>
      </c>
      <c r="E302" s="54">
        <v>24</v>
      </c>
      <c r="F302" s="54">
        <v>7</v>
      </c>
      <c r="G302" s="54">
        <v>168</v>
      </c>
      <c r="H302" s="131" t="s">
        <v>612</v>
      </c>
    </row>
    <row r="303" spans="1:8">
      <c r="A303" s="62">
        <v>8309017</v>
      </c>
      <c r="B303" s="55" t="s">
        <v>613</v>
      </c>
      <c r="C303" s="58">
        <v>17751851006528</v>
      </c>
      <c r="D303" s="55" t="s">
        <v>9</v>
      </c>
      <c r="E303" s="55">
        <v>46</v>
      </c>
      <c r="F303" s="55">
        <v>7</v>
      </c>
      <c r="G303" s="55">
        <v>322</v>
      </c>
      <c r="H303" s="131" t="s">
        <v>614</v>
      </c>
    </row>
    <row r="304" spans="1:8">
      <c r="A304" s="61">
        <v>8309022</v>
      </c>
      <c r="B304" s="54" t="s">
        <v>615</v>
      </c>
      <c r="C304" s="57">
        <v>17751851006573</v>
      </c>
      <c r="D304" s="54" t="s">
        <v>9</v>
      </c>
      <c r="E304" s="54">
        <v>48</v>
      </c>
      <c r="F304" s="54">
        <v>7</v>
      </c>
      <c r="G304" s="54">
        <v>336</v>
      </c>
      <c r="H304" s="131" t="s">
        <v>616</v>
      </c>
    </row>
    <row r="305" spans="1:8">
      <c r="A305" s="62">
        <v>8309023</v>
      </c>
      <c r="B305" s="55" t="s">
        <v>617</v>
      </c>
      <c r="C305" s="58">
        <v>17751851018019</v>
      </c>
      <c r="D305" s="55" t="s">
        <v>9</v>
      </c>
      <c r="E305" s="55">
        <v>28</v>
      </c>
      <c r="F305" s="55">
        <v>4</v>
      </c>
      <c r="G305" s="55">
        <v>112</v>
      </c>
      <c r="H305" s="131" t="s">
        <v>618</v>
      </c>
    </row>
    <row r="306" spans="1:8">
      <c r="A306" s="61">
        <v>8309024</v>
      </c>
      <c r="B306" s="54" t="s">
        <v>619</v>
      </c>
      <c r="C306" s="57">
        <v>17751851018026</v>
      </c>
      <c r="D306" s="54" t="s">
        <v>9</v>
      </c>
      <c r="E306" s="54">
        <v>28</v>
      </c>
      <c r="F306" s="54">
        <v>4</v>
      </c>
      <c r="G306" s="54">
        <v>112</v>
      </c>
      <c r="H306" s="131" t="s">
        <v>620</v>
      </c>
    </row>
    <row r="307" spans="1:8">
      <c r="A307" s="62">
        <v>8309025</v>
      </c>
      <c r="B307" s="55" t="s">
        <v>621</v>
      </c>
      <c r="C307" s="58">
        <v>17751851018071</v>
      </c>
      <c r="D307" s="55" t="s">
        <v>9</v>
      </c>
      <c r="E307" s="55">
        <v>28</v>
      </c>
      <c r="F307" s="55">
        <v>4</v>
      </c>
      <c r="G307" s="55">
        <v>112</v>
      </c>
      <c r="H307" s="131" t="s">
        <v>622</v>
      </c>
    </row>
    <row r="308" spans="1:8">
      <c r="A308" s="61">
        <v>8309026</v>
      </c>
      <c r="B308" s="54" t="s">
        <v>623</v>
      </c>
      <c r="C308" s="57">
        <v>17751851017029</v>
      </c>
      <c r="D308" s="54" t="s">
        <v>9</v>
      </c>
      <c r="E308" s="54">
        <v>28</v>
      </c>
      <c r="F308" s="54">
        <v>5</v>
      </c>
      <c r="G308" s="54">
        <v>140</v>
      </c>
      <c r="H308" s="131" t="s">
        <v>624</v>
      </c>
    </row>
    <row r="309" spans="1:8">
      <c r="A309" s="62">
        <v>8309027</v>
      </c>
      <c r="B309" s="55" t="s">
        <v>625</v>
      </c>
      <c r="C309" s="58">
        <v>27751851006402</v>
      </c>
      <c r="D309" s="55" t="s">
        <v>9</v>
      </c>
      <c r="E309" s="55">
        <v>18</v>
      </c>
      <c r="F309" s="55">
        <v>7</v>
      </c>
      <c r="G309" s="55">
        <v>126</v>
      </c>
      <c r="H309" s="131" t="s">
        <v>626</v>
      </c>
    </row>
    <row r="310" spans="1:8">
      <c r="A310" s="61">
        <v>8309028</v>
      </c>
      <c r="B310" s="54" t="s">
        <v>627</v>
      </c>
      <c r="C310" s="57">
        <v>27751851006419</v>
      </c>
      <c r="D310" s="54" t="s">
        <v>9</v>
      </c>
      <c r="E310" s="54">
        <v>18</v>
      </c>
      <c r="F310" s="54">
        <v>7</v>
      </c>
      <c r="G310" s="54">
        <v>126</v>
      </c>
      <c r="H310" s="131" t="s">
        <v>628</v>
      </c>
    </row>
    <row r="311" spans="1:8">
      <c r="A311" s="62">
        <v>8309030</v>
      </c>
      <c r="B311" s="55" t="s">
        <v>629</v>
      </c>
      <c r="C311" s="58">
        <v>17751851018361</v>
      </c>
      <c r="D311" s="55" t="s">
        <v>9</v>
      </c>
      <c r="E311" s="55">
        <v>12</v>
      </c>
      <c r="F311" s="55">
        <v>5</v>
      </c>
      <c r="G311" s="55">
        <v>60</v>
      </c>
      <c r="H311" s="131" t="s">
        <v>630</v>
      </c>
    </row>
    <row r="312" spans="1:8">
      <c r="A312" s="61">
        <v>8309031</v>
      </c>
      <c r="B312" s="54" t="s">
        <v>631</v>
      </c>
      <c r="C312" s="57">
        <v>17751851019580</v>
      </c>
      <c r="D312" s="54" t="s">
        <v>9</v>
      </c>
      <c r="E312" s="54">
        <v>18</v>
      </c>
      <c r="F312" s="54">
        <v>7</v>
      </c>
      <c r="G312" s="54">
        <v>126</v>
      </c>
      <c r="H312" s="131" t="s">
        <v>632</v>
      </c>
    </row>
    <row r="313" spans="1:8">
      <c r="A313" s="62">
        <v>8309033</v>
      </c>
      <c r="B313" s="55" t="s">
        <v>633</v>
      </c>
      <c r="C313" s="58">
        <v>17751851019634</v>
      </c>
      <c r="D313" s="55" t="s">
        <v>9</v>
      </c>
      <c r="E313" s="55">
        <v>18</v>
      </c>
      <c r="F313" s="55">
        <v>7</v>
      </c>
      <c r="G313" s="55">
        <v>126</v>
      </c>
      <c r="H313" s="131" t="s">
        <v>634</v>
      </c>
    </row>
    <row r="314" spans="1:8">
      <c r="A314" s="61">
        <v>8309034</v>
      </c>
      <c r="B314" s="54" t="s">
        <v>635</v>
      </c>
      <c r="C314" s="57">
        <v>17751851023112</v>
      </c>
      <c r="D314" s="54" t="s">
        <v>9</v>
      </c>
      <c r="E314" s="54">
        <v>32</v>
      </c>
      <c r="F314" s="54">
        <v>6</v>
      </c>
      <c r="G314" s="54">
        <v>192</v>
      </c>
      <c r="H314" s="131" t="s">
        <v>636</v>
      </c>
    </row>
    <row r="315" spans="1:8">
      <c r="A315" s="62">
        <v>8309035</v>
      </c>
      <c r="B315" s="55" t="s">
        <v>637</v>
      </c>
      <c r="C315" s="58">
        <v>17751851023174</v>
      </c>
      <c r="D315" s="55" t="s">
        <v>9</v>
      </c>
      <c r="E315" s="55">
        <v>32</v>
      </c>
      <c r="F315" s="55">
        <v>6</v>
      </c>
      <c r="G315" s="55">
        <v>192</v>
      </c>
      <c r="H315" s="131" t="s">
        <v>638</v>
      </c>
    </row>
    <row r="316" spans="1:8">
      <c r="A316" s="61">
        <v>8309036</v>
      </c>
      <c r="B316" s="54" t="s">
        <v>639</v>
      </c>
      <c r="C316" s="57">
        <v>17751851023129</v>
      </c>
      <c r="D316" s="54" t="s">
        <v>9</v>
      </c>
      <c r="E316" s="54">
        <v>32</v>
      </c>
      <c r="F316" s="54">
        <v>6</v>
      </c>
      <c r="G316" s="54">
        <v>192</v>
      </c>
      <c r="H316" s="131" t="s">
        <v>640</v>
      </c>
    </row>
    <row r="317" spans="1:8">
      <c r="A317" s="62">
        <v>8309037</v>
      </c>
      <c r="B317" s="55" t="s">
        <v>641</v>
      </c>
      <c r="C317" s="58">
        <v>17751851023198</v>
      </c>
      <c r="D317" s="55" t="s">
        <v>9</v>
      </c>
      <c r="E317" s="55">
        <v>32</v>
      </c>
      <c r="F317" s="55">
        <v>6</v>
      </c>
      <c r="G317" s="55">
        <v>192</v>
      </c>
      <c r="H317" s="131" t="s">
        <v>642</v>
      </c>
    </row>
    <row r="318" spans="1:8">
      <c r="A318" s="61">
        <v>8309038</v>
      </c>
      <c r="B318" s="54" t="s">
        <v>643</v>
      </c>
      <c r="C318" s="57">
        <v>17751851023211</v>
      </c>
      <c r="D318" s="54" t="s">
        <v>9</v>
      </c>
      <c r="E318" s="54">
        <v>32</v>
      </c>
      <c r="F318" s="54">
        <v>6</v>
      </c>
      <c r="G318" s="54">
        <v>192</v>
      </c>
      <c r="H318" s="131" t="s">
        <v>644</v>
      </c>
    </row>
    <row r="319" spans="1:8">
      <c r="A319" s="62">
        <v>8309040</v>
      </c>
      <c r="B319" s="55" t="s">
        <v>645</v>
      </c>
      <c r="C319" s="58">
        <v>17751851003749</v>
      </c>
      <c r="D319" s="55" t="s">
        <v>9</v>
      </c>
      <c r="E319" s="55">
        <v>20</v>
      </c>
      <c r="F319" s="55">
        <v>6</v>
      </c>
      <c r="G319" s="55">
        <v>120</v>
      </c>
      <c r="H319" s="131" t="s">
        <v>646</v>
      </c>
    </row>
    <row r="320" spans="1:8">
      <c r="A320" s="61">
        <v>8309041</v>
      </c>
      <c r="B320" s="54" t="s">
        <v>647</v>
      </c>
      <c r="C320" s="57">
        <v>17751851002940</v>
      </c>
      <c r="D320" s="54" t="s">
        <v>9</v>
      </c>
      <c r="E320" s="54">
        <v>32</v>
      </c>
      <c r="F320" s="54">
        <v>7</v>
      </c>
      <c r="G320" s="54">
        <v>224</v>
      </c>
      <c r="H320" s="131" t="s">
        <v>648</v>
      </c>
    </row>
    <row r="321" spans="1:8">
      <c r="A321" s="62">
        <v>8309043</v>
      </c>
      <c r="B321" s="55" t="s">
        <v>649</v>
      </c>
      <c r="C321" s="58">
        <v>17751851002933</v>
      </c>
      <c r="D321" s="55" t="s">
        <v>9</v>
      </c>
      <c r="E321" s="55">
        <v>32</v>
      </c>
      <c r="F321" s="55">
        <v>7</v>
      </c>
      <c r="G321" s="55">
        <v>224</v>
      </c>
      <c r="H321" s="131" t="s">
        <v>650</v>
      </c>
    </row>
    <row r="322" spans="1:8">
      <c r="A322" s="61">
        <v>8309044</v>
      </c>
      <c r="B322" s="54" t="s">
        <v>651</v>
      </c>
      <c r="C322" s="57">
        <v>17751851003794</v>
      </c>
      <c r="D322" s="54" t="s">
        <v>9</v>
      </c>
      <c r="E322" s="54">
        <v>20</v>
      </c>
      <c r="F322" s="54">
        <v>6</v>
      </c>
      <c r="G322" s="54">
        <v>120</v>
      </c>
      <c r="H322" s="131" t="s">
        <v>652</v>
      </c>
    </row>
    <row r="323" spans="1:8">
      <c r="A323" s="62">
        <v>8309049</v>
      </c>
      <c r="B323" s="55" t="s">
        <v>653</v>
      </c>
      <c r="C323" s="58">
        <v>17751851006474</v>
      </c>
      <c r="D323" s="55" t="s">
        <v>9</v>
      </c>
      <c r="E323" s="55">
        <v>24</v>
      </c>
      <c r="F323" s="55">
        <v>7</v>
      </c>
      <c r="G323" s="55">
        <v>168</v>
      </c>
      <c r="H323" s="131" t="s">
        <v>654</v>
      </c>
    </row>
    <row r="324" spans="1:8">
      <c r="A324" s="61">
        <v>8309051</v>
      </c>
      <c r="B324" s="54" t="s">
        <v>655</v>
      </c>
      <c r="C324" s="57">
        <v>17751851019627</v>
      </c>
      <c r="D324" s="54" t="s">
        <v>9</v>
      </c>
      <c r="E324" s="54">
        <v>18</v>
      </c>
      <c r="F324" s="54">
        <v>7</v>
      </c>
      <c r="G324" s="54">
        <v>126</v>
      </c>
      <c r="H324" s="131" t="s">
        <v>656</v>
      </c>
    </row>
    <row r="325" spans="1:8">
      <c r="A325" s="62">
        <v>8309057</v>
      </c>
      <c r="B325" s="55" t="s">
        <v>657</v>
      </c>
      <c r="C325" s="58">
        <v>17751851002971</v>
      </c>
      <c r="D325" s="55" t="s">
        <v>9</v>
      </c>
      <c r="E325" s="55">
        <v>28</v>
      </c>
      <c r="F325" s="55">
        <v>8</v>
      </c>
      <c r="G325" s="55">
        <v>224</v>
      </c>
      <c r="H325" s="131" t="s">
        <v>658</v>
      </c>
    </row>
    <row r="326" spans="1:8">
      <c r="A326" s="61">
        <v>8309058</v>
      </c>
      <c r="B326" s="54" t="s">
        <v>659</v>
      </c>
      <c r="C326" s="57">
        <v>17751851006382</v>
      </c>
      <c r="D326" s="54" t="s">
        <v>9</v>
      </c>
      <c r="E326" s="54">
        <v>18</v>
      </c>
      <c r="F326" s="54">
        <v>4</v>
      </c>
      <c r="G326" s="54">
        <v>72</v>
      </c>
      <c r="H326" s="131" t="s">
        <v>660</v>
      </c>
    </row>
    <row r="327" spans="1:8">
      <c r="A327" s="62">
        <v>8309059</v>
      </c>
      <c r="B327" s="55" t="s">
        <v>661</v>
      </c>
      <c r="C327" s="58">
        <v>17751851023181</v>
      </c>
      <c r="D327" s="55" t="s">
        <v>9</v>
      </c>
      <c r="E327" s="55">
        <v>32</v>
      </c>
      <c r="F327" s="55">
        <v>6</v>
      </c>
      <c r="G327" s="55">
        <v>192</v>
      </c>
      <c r="H327" s="131" t="s">
        <v>662</v>
      </c>
    </row>
    <row r="328" spans="1:8">
      <c r="A328" s="61">
        <v>8309119</v>
      </c>
      <c r="B328" s="54" t="s">
        <v>663</v>
      </c>
      <c r="C328" s="57">
        <v>37751851005983</v>
      </c>
      <c r="D328" s="54" t="s">
        <v>9</v>
      </c>
      <c r="E328" s="54">
        <v>26</v>
      </c>
      <c r="F328" s="54">
        <v>4</v>
      </c>
      <c r="G328" s="54">
        <v>104</v>
      </c>
      <c r="H328" s="131" t="s">
        <v>664</v>
      </c>
    </row>
    <row r="329" spans="1:8">
      <c r="A329" s="62">
        <v>8309120</v>
      </c>
      <c r="B329" s="55" t="s">
        <v>665</v>
      </c>
      <c r="C329" s="58">
        <v>37751851005990</v>
      </c>
      <c r="D329" s="55" t="s">
        <v>9</v>
      </c>
      <c r="E329" s="55">
        <v>26</v>
      </c>
      <c r="F329" s="55">
        <v>4</v>
      </c>
      <c r="G329" s="55">
        <v>104</v>
      </c>
      <c r="H329" s="131" t="s">
        <v>666</v>
      </c>
    </row>
    <row r="330" spans="1:8">
      <c r="A330" s="61">
        <v>8309121</v>
      </c>
      <c r="B330" s="54" t="s">
        <v>667</v>
      </c>
      <c r="C330" s="57">
        <v>37751851006003</v>
      </c>
      <c r="D330" s="54" t="s">
        <v>9</v>
      </c>
      <c r="E330" s="54">
        <v>26</v>
      </c>
      <c r="F330" s="54">
        <v>4</v>
      </c>
      <c r="G330" s="54">
        <v>104</v>
      </c>
      <c r="H330" s="131" t="s">
        <v>668</v>
      </c>
    </row>
    <row r="331" spans="1:8">
      <c r="A331" s="62">
        <v>8309122</v>
      </c>
      <c r="B331" s="55" t="s">
        <v>669</v>
      </c>
      <c r="C331" s="58">
        <v>37751851006010</v>
      </c>
      <c r="D331" s="55" t="s">
        <v>9</v>
      </c>
      <c r="E331" s="55">
        <v>26</v>
      </c>
      <c r="F331" s="55">
        <v>4</v>
      </c>
      <c r="G331" s="55">
        <v>104</v>
      </c>
      <c r="H331" s="131" t="s">
        <v>670</v>
      </c>
    </row>
    <row r="332" spans="1:8">
      <c r="A332" s="61">
        <v>8309124</v>
      </c>
      <c r="B332" s="54" t="s">
        <v>671</v>
      </c>
      <c r="C332" s="57">
        <v>37751851006065</v>
      </c>
      <c r="D332" s="54" t="s">
        <v>9</v>
      </c>
      <c r="E332" s="54">
        <v>26</v>
      </c>
      <c r="F332" s="54">
        <v>4</v>
      </c>
      <c r="G332" s="54">
        <v>104</v>
      </c>
      <c r="H332" s="131" t="s">
        <v>672</v>
      </c>
    </row>
    <row r="333" spans="1:8">
      <c r="A333" s="62">
        <v>8309125</v>
      </c>
      <c r="B333" s="55" t="s">
        <v>673</v>
      </c>
      <c r="C333" s="58">
        <v>37751851006072</v>
      </c>
      <c r="D333" s="55" t="s">
        <v>9</v>
      </c>
      <c r="E333" s="55">
        <v>26</v>
      </c>
      <c r="F333" s="55">
        <v>4</v>
      </c>
      <c r="G333" s="55">
        <v>104</v>
      </c>
      <c r="H333" s="131" t="s">
        <v>674</v>
      </c>
    </row>
    <row r="334" spans="1:8">
      <c r="A334" s="61">
        <v>8309126</v>
      </c>
      <c r="B334" s="54" t="s">
        <v>675</v>
      </c>
      <c r="C334" s="57">
        <v>37751851006089</v>
      </c>
      <c r="D334" s="54" t="s">
        <v>9</v>
      </c>
      <c r="E334" s="54">
        <v>26</v>
      </c>
      <c r="F334" s="54">
        <v>4</v>
      </c>
      <c r="G334" s="54">
        <v>104</v>
      </c>
      <c r="H334" s="131" t="s">
        <v>676</v>
      </c>
    </row>
    <row r="335" spans="1:8">
      <c r="A335" s="62">
        <v>8309127</v>
      </c>
      <c r="B335" s="55" t="s">
        <v>677</v>
      </c>
      <c r="C335" s="58">
        <v>37751851006027</v>
      </c>
      <c r="D335" s="55" t="s">
        <v>9</v>
      </c>
      <c r="E335" s="55">
        <v>26</v>
      </c>
      <c r="F335" s="55">
        <v>4</v>
      </c>
      <c r="G335" s="55">
        <v>104</v>
      </c>
      <c r="H335" s="131" t="s">
        <v>678</v>
      </c>
    </row>
    <row r="336" spans="1:8">
      <c r="A336" s="61">
        <v>8309128</v>
      </c>
      <c r="B336" s="54" t="s">
        <v>679</v>
      </c>
      <c r="C336" s="57">
        <v>27751851013264</v>
      </c>
      <c r="D336" s="54" t="s">
        <v>9</v>
      </c>
      <c r="E336" s="54">
        <v>26</v>
      </c>
      <c r="F336" s="54">
        <v>4</v>
      </c>
      <c r="G336" s="54">
        <v>104</v>
      </c>
      <c r="H336" s="131" t="s">
        <v>680</v>
      </c>
    </row>
    <row r="337" spans="1:8">
      <c r="A337" s="62">
        <v>8309129</v>
      </c>
      <c r="B337" s="55" t="s">
        <v>681</v>
      </c>
      <c r="C337" s="58">
        <v>27751851025212</v>
      </c>
      <c r="D337" s="55" t="s">
        <v>9</v>
      </c>
      <c r="E337" s="55">
        <v>26</v>
      </c>
      <c r="F337" s="55">
        <v>4</v>
      </c>
      <c r="G337" s="55">
        <v>104</v>
      </c>
      <c r="H337" s="131" t="s">
        <v>682</v>
      </c>
    </row>
    <row r="338" spans="1:8">
      <c r="A338" s="61">
        <v>8309130</v>
      </c>
      <c r="B338" s="54" t="s">
        <v>683</v>
      </c>
      <c r="C338" s="57">
        <v>27750243066857</v>
      </c>
      <c r="D338" s="54" t="s">
        <v>9</v>
      </c>
      <c r="E338" s="54">
        <v>26</v>
      </c>
      <c r="F338" s="54">
        <v>4</v>
      </c>
      <c r="G338" s="54">
        <v>104</v>
      </c>
      <c r="H338" s="131" t="s">
        <v>684</v>
      </c>
    </row>
    <row r="339" spans="1:8">
      <c r="A339" s="62">
        <v>8309131</v>
      </c>
      <c r="B339" s="55" t="s">
        <v>685</v>
      </c>
      <c r="C339" s="58">
        <v>27750243066864</v>
      </c>
      <c r="D339" s="55" t="s">
        <v>9</v>
      </c>
      <c r="E339" s="55">
        <v>26</v>
      </c>
      <c r="F339" s="55">
        <v>4</v>
      </c>
      <c r="G339" s="55">
        <v>104</v>
      </c>
      <c r="H339" s="131" t="s">
        <v>686</v>
      </c>
    </row>
    <row r="340" spans="1:8">
      <c r="A340" s="61">
        <v>8309178</v>
      </c>
      <c r="B340" s="54" t="s">
        <v>687</v>
      </c>
      <c r="C340" s="57">
        <v>47751851005980</v>
      </c>
      <c r="D340" s="54" t="s">
        <v>9</v>
      </c>
      <c r="E340" s="54">
        <v>26</v>
      </c>
      <c r="F340" s="54">
        <v>4</v>
      </c>
      <c r="G340" s="54">
        <v>104</v>
      </c>
      <c r="H340" s="131" t="s">
        <v>688</v>
      </c>
    </row>
    <row r="341" spans="1:8">
      <c r="A341" s="62">
        <v>8309179</v>
      </c>
      <c r="B341" s="55" t="s">
        <v>689</v>
      </c>
      <c r="C341" s="58">
        <v>47751851005997</v>
      </c>
      <c r="D341" s="55" t="s">
        <v>9</v>
      </c>
      <c r="E341" s="55">
        <v>26</v>
      </c>
      <c r="F341" s="55">
        <v>4</v>
      </c>
      <c r="G341" s="55">
        <v>104</v>
      </c>
      <c r="H341" s="131" t="s">
        <v>690</v>
      </c>
    </row>
    <row r="342" spans="1:8">
      <c r="A342" s="61">
        <v>8309180</v>
      </c>
      <c r="B342" s="54" t="s">
        <v>691</v>
      </c>
      <c r="C342" s="57">
        <v>47751851006000</v>
      </c>
      <c r="D342" s="54" t="s">
        <v>9</v>
      </c>
      <c r="E342" s="54">
        <v>26</v>
      </c>
      <c r="F342" s="54">
        <v>4</v>
      </c>
      <c r="G342" s="54">
        <v>104</v>
      </c>
      <c r="H342" s="131" t="s">
        <v>692</v>
      </c>
    </row>
    <row r="343" spans="1:8">
      <c r="A343" s="62">
        <v>8309181</v>
      </c>
      <c r="B343" s="55" t="s">
        <v>693</v>
      </c>
      <c r="C343" s="58">
        <v>47751851006086</v>
      </c>
      <c r="D343" s="55" t="s">
        <v>9</v>
      </c>
      <c r="E343" s="55">
        <v>26</v>
      </c>
      <c r="F343" s="55">
        <v>4</v>
      </c>
      <c r="G343" s="55">
        <v>104</v>
      </c>
      <c r="H343" s="131" t="s">
        <v>694</v>
      </c>
    </row>
    <row r="344" spans="1:8">
      <c r="A344" s="61">
        <v>8309182</v>
      </c>
      <c r="B344" s="54" t="s">
        <v>695</v>
      </c>
      <c r="C344" s="57">
        <v>47751851006024</v>
      </c>
      <c r="D344" s="54" t="s">
        <v>9</v>
      </c>
      <c r="E344" s="54">
        <v>26</v>
      </c>
      <c r="F344" s="54">
        <v>4</v>
      </c>
      <c r="G344" s="54">
        <v>104</v>
      </c>
      <c r="H344" s="131" t="s">
        <v>696</v>
      </c>
    </row>
    <row r="345" spans="1:8">
      <c r="A345" s="62">
        <v>8309183</v>
      </c>
      <c r="B345" s="55" t="s">
        <v>697</v>
      </c>
      <c r="C345" s="58">
        <v>37751851013261</v>
      </c>
      <c r="D345" s="55" t="s">
        <v>9</v>
      </c>
      <c r="E345" s="55">
        <v>26</v>
      </c>
      <c r="F345" s="55">
        <v>4</v>
      </c>
      <c r="G345" s="55">
        <v>104</v>
      </c>
      <c r="H345" s="131" t="s">
        <v>698</v>
      </c>
    </row>
    <row r="346" spans="1:8">
      <c r="A346" s="61">
        <v>8309184</v>
      </c>
      <c r="B346" s="54" t="s">
        <v>699</v>
      </c>
      <c r="C346" s="57">
        <v>37750243066854</v>
      </c>
      <c r="D346" s="54" t="s">
        <v>9</v>
      </c>
      <c r="E346" s="54">
        <v>26</v>
      </c>
      <c r="F346" s="54">
        <v>4</v>
      </c>
      <c r="G346" s="54">
        <v>104</v>
      </c>
      <c r="H346" s="131" t="s">
        <v>700</v>
      </c>
    </row>
    <row r="347" spans="1:8">
      <c r="A347" s="62">
        <v>8309185</v>
      </c>
      <c r="B347" s="55" t="s">
        <v>701</v>
      </c>
      <c r="C347" s="58">
        <v>37750243066861</v>
      </c>
      <c r="D347" s="55" t="s">
        <v>9</v>
      </c>
      <c r="E347" s="55">
        <v>26</v>
      </c>
      <c r="F347" s="55">
        <v>4</v>
      </c>
      <c r="G347" s="55">
        <v>104</v>
      </c>
      <c r="H347" s="131" t="s">
        <v>702</v>
      </c>
    </row>
    <row r="348" spans="1:8">
      <c r="A348" s="61">
        <v>8309194</v>
      </c>
      <c r="B348" s="54" t="s">
        <v>703</v>
      </c>
      <c r="C348" s="57">
        <v>57751851006021</v>
      </c>
      <c r="D348" s="54" t="s">
        <v>9</v>
      </c>
      <c r="E348" s="54">
        <v>26</v>
      </c>
      <c r="F348" s="54">
        <v>4</v>
      </c>
      <c r="G348" s="54">
        <v>104</v>
      </c>
      <c r="H348" s="131" t="s">
        <v>704</v>
      </c>
    </row>
    <row r="349" spans="1:8">
      <c r="A349" s="62">
        <v>8310005</v>
      </c>
      <c r="B349" s="55" t="s">
        <v>705</v>
      </c>
      <c r="C349" s="58">
        <v>17751851004753</v>
      </c>
      <c r="D349" s="55" t="s">
        <v>9</v>
      </c>
      <c r="E349" s="55">
        <v>13</v>
      </c>
      <c r="F349" s="55">
        <v>5</v>
      </c>
      <c r="G349" s="55">
        <v>65</v>
      </c>
      <c r="H349" s="131" t="s">
        <v>706</v>
      </c>
    </row>
    <row r="350" spans="1:8">
      <c r="A350" s="61">
        <v>8311001</v>
      </c>
      <c r="B350" s="54" t="s">
        <v>707</v>
      </c>
      <c r="C350" s="57">
        <v>17751851009598</v>
      </c>
      <c r="D350" s="54" t="s">
        <v>9</v>
      </c>
      <c r="E350" s="54">
        <v>15</v>
      </c>
      <c r="F350" s="54">
        <v>4</v>
      </c>
      <c r="G350" s="54">
        <v>60</v>
      </c>
      <c r="H350" s="131" t="s">
        <v>708</v>
      </c>
    </row>
    <row r="351" spans="1:8">
      <c r="A351" s="62">
        <v>8311002</v>
      </c>
      <c r="B351" s="55" t="s">
        <v>709</v>
      </c>
      <c r="C351" s="58">
        <v>27751851066192</v>
      </c>
      <c r="D351" s="55" t="s">
        <v>9</v>
      </c>
      <c r="E351" s="55">
        <v>66</v>
      </c>
      <c r="F351" s="55">
        <v>5</v>
      </c>
      <c r="G351" s="55">
        <v>330</v>
      </c>
      <c r="H351" s="131" t="s">
        <v>710</v>
      </c>
    </row>
    <row r="352" spans="1:8">
      <c r="A352" s="61">
        <v>8311003</v>
      </c>
      <c r="B352" s="54" t="s">
        <v>711</v>
      </c>
      <c r="C352" s="57">
        <v>27751851006266</v>
      </c>
      <c r="D352" s="54" t="s">
        <v>9</v>
      </c>
      <c r="E352" s="54">
        <v>26</v>
      </c>
      <c r="F352" s="54">
        <v>4</v>
      </c>
      <c r="G352" s="54">
        <v>104</v>
      </c>
      <c r="H352" s="131" t="s">
        <v>712</v>
      </c>
    </row>
    <row r="353" spans="1:8">
      <c r="A353" s="62">
        <v>8311004</v>
      </c>
      <c r="B353" s="55" t="s">
        <v>713</v>
      </c>
      <c r="C353" s="58">
        <v>27751851006259</v>
      </c>
      <c r="D353" s="55" t="s">
        <v>9</v>
      </c>
      <c r="E353" s="55">
        <v>26</v>
      </c>
      <c r="F353" s="55">
        <v>4</v>
      </c>
      <c r="G353" s="55">
        <v>104</v>
      </c>
      <c r="H353" s="131" t="s">
        <v>714</v>
      </c>
    </row>
    <row r="354" spans="1:8">
      <c r="A354" s="61">
        <v>8311005</v>
      </c>
      <c r="B354" s="54" t="s">
        <v>715</v>
      </c>
      <c r="C354" s="57">
        <v>17751851010914</v>
      </c>
      <c r="D354" s="54" t="s">
        <v>9</v>
      </c>
      <c r="E354" s="54">
        <v>10</v>
      </c>
      <c r="F354" s="54">
        <v>4</v>
      </c>
      <c r="G354" s="54">
        <v>40</v>
      </c>
      <c r="H354" s="131" t="s">
        <v>716</v>
      </c>
    </row>
    <row r="355" spans="1:8">
      <c r="A355" s="62">
        <v>8311006</v>
      </c>
      <c r="B355" s="55" t="s">
        <v>717</v>
      </c>
      <c r="C355" s="58">
        <v>17751851097007</v>
      </c>
      <c r="D355" s="55" t="s">
        <v>9</v>
      </c>
      <c r="E355" s="55">
        <v>20</v>
      </c>
      <c r="F355" s="55">
        <v>4</v>
      </c>
      <c r="G355" s="55">
        <v>80</v>
      </c>
      <c r="H355" s="131" t="s">
        <v>718</v>
      </c>
    </row>
    <row r="356" spans="1:8">
      <c r="A356" s="61">
        <v>8311011</v>
      </c>
      <c r="B356" s="54" t="s">
        <v>719</v>
      </c>
      <c r="C356" s="57">
        <v>17751851065440</v>
      </c>
      <c r="D356" s="54" t="s">
        <v>9</v>
      </c>
      <c r="E356" s="54">
        <v>16</v>
      </c>
      <c r="F356" s="54">
        <v>10</v>
      </c>
      <c r="G356" s="54">
        <v>160</v>
      </c>
      <c r="H356" s="131" t="s">
        <v>720</v>
      </c>
    </row>
    <row r="357" spans="1:8">
      <c r="A357" s="62">
        <v>8311012</v>
      </c>
      <c r="B357" s="55" t="s">
        <v>721</v>
      </c>
      <c r="C357" s="58">
        <v>17751851029374</v>
      </c>
      <c r="D357" s="55" t="s">
        <v>9</v>
      </c>
      <c r="E357" s="55">
        <v>26</v>
      </c>
      <c r="F357" s="55">
        <v>4</v>
      </c>
      <c r="G357" s="55">
        <v>104</v>
      </c>
      <c r="H357" s="131" t="s">
        <v>722</v>
      </c>
    </row>
    <row r="358" spans="1:8">
      <c r="A358" s="61">
        <v>8311013</v>
      </c>
      <c r="B358" s="54" t="s">
        <v>723</v>
      </c>
      <c r="C358" s="57">
        <v>17751851029350</v>
      </c>
      <c r="D358" s="54" t="s">
        <v>9</v>
      </c>
      <c r="E358" s="54">
        <v>26</v>
      </c>
      <c r="F358" s="54">
        <v>4</v>
      </c>
      <c r="G358" s="54">
        <v>104</v>
      </c>
      <c r="H358" s="131" t="s">
        <v>724</v>
      </c>
    </row>
    <row r="359" spans="1:8">
      <c r="A359" s="62">
        <v>8311017</v>
      </c>
      <c r="B359" s="55" t="s">
        <v>725</v>
      </c>
      <c r="C359" s="58">
        <v>27751851015565</v>
      </c>
      <c r="D359" s="55" t="s">
        <v>9</v>
      </c>
      <c r="E359" s="55">
        <v>15</v>
      </c>
      <c r="F359" s="55">
        <v>4</v>
      </c>
      <c r="G359" s="55">
        <v>60</v>
      </c>
      <c r="H359" s="131" t="s">
        <v>726</v>
      </c>
    </row>
    <row r="360" spans="1:8">
      <c r="A360" s="61">
        <v>8311018</v>
      </c>
      <c r="B360" s="54" t="s">
        <v>727</v>
      </c>
      <c r="C360" s="57">
        <v>17751851029367</v>
      </c>
      <c r="D360" s="54" t="s">
        <v>9</v>
      </c>
      <c r="E360" s="54">
        <v>26</v>
      </c>
      <c r="F360" s="54">
        <v>4</v>
      </c>
      <c r="G360" s="54">
        <v>104</v>
      </c>
      <c r="H360" s="131" t="s">
        <v>728</v>
      </c>
    </row>
    <row r="361" spans="1:8">
      <c r="A361" s="62">
        <v>8311019</v>
      </c>
      <c r="B361" s="55" t="s">
        <v>729</v>
      </c>
      <c r="C361" s="58">
        <v>27751851006242</v>
      </c>
      <c r="D361" s="55" t="s">
        <v>9</v>
      </c>
      <c r="E361" s="55">
        <v>26</v>
      </c>
      <c r="F361" s="55">
        <v>4</v>
      </c>
      <c r="G361" s="55">
        <v>104</v>
      </c>
      <c r="H361" s="131" t="s">
        <v>730</v>
      </c>
    </row>
    <row r="362" spans="1:8">
      <c r="A362" s="61">
        <v>8311023</v>
      </c>
      <c r="B362" s="54" t="s">
        <v>731</v>
      </c>
      <c r="C362" s="57">
        <v>17751851132494</v>
      </c>
      <c r="D362" s="54" t="s">
        <v>9</v>
      </c>
      <c r="E362" s="54">
        <v>20</v>
      </c>
      <c r="F362" s="54">
        <v>4</v>
      </c>
      <c r="G362" s="54">
        <v>80</v>
      </c>
      <c r="H362" s="131" t="s">
        <v>732</v>
      </c>
    </row>
    <row r="363" spans="1:8">
      <c r="A363" s="62">
        <v>8311025</v>
      </c>
      <c r="B363" s="55" t="s">
        <v>733</v>
      </c>
      <c r="C363" s="58">
        <v>17751851015940</v>
      </c>
      <c r="D363" s="55" t="s">
        <v>9</v>
      </c>
      <c r="E363" s="55">
        <v>9</v>
      </c>
      <c r="F363" s="55">
        <v>3</v>
      </c>
      <c r="G363" s="55">
        <v>27</v>
      </c>
      <c r="H363" s="131" t="s">
        <v>734</v>
      </c>
    </row>
    <row r="364" spans="1:8">
      <c r="A364" s="61">
        <v>8311062</v>
      </c>
      <c r="B364" s="54" t="s">
        <v>735</v>
      </c>
      <c r="C364" s="57">
        <v>17750243088623</v>
      </c>
      <c r="D364" s="54" t="s">
        <v>9</v>
      </c>
      <c r="E364" s="54">
        <v>26</v>
      </c>
      <c r="F364" s="54">
        <v>4</v>
      </c>
      <c r="G364" s="54">
        <v>104</v>
      </c>
      <c r="H364" s="131" t="s">
        <v>736</v>
      </c>
    </row>
    <row r="365" spans="1:8">
      <c r="A365" s="62">
        <v>8312005</v>
      </c>
      <c r="B365" s="55" t="s">
        <v>737</v>
      </c>
      <c r="C365" s="58">
        <v>17751851013519</v>
      </c>
      <c r="D365" s="55" t="s">
        <v>9</v>
      </c>
      <c r="E365" s="55">
        <v>14</v>
      </c>
      <c r="F365" s="55">
        <v>4</v>
      </c>
      <c r="G365" s="55">
        <v>56</v>
      </c>
      <c r="H365" s="131" t="s">
        <v>738</v>
      </c>
    </row>
    <row r="366" spans="1:8">
      <c r="A366" s="61">
        <v>8312006</v>
      </c>
      <c r="B366" s="54" t="s">
        <v>739</v>
      </c>
      <c r="C366" s="57">
        <v>17751851013526</v>
      </c>
      <c r="D366" s="54" t="s">
        <v>9</v>
      </c>
      <c r="E366" s="54">
        <v>14</v>
      </c>
      <c r="F366" s="54">
        <v>4</v>
      </c>
      <c r="G366" s="54">
        <v>56</v>
      </c>
      <c r="H366" s="131" t="s">
        <v>740</v>
      </c>
    </row>
    <row r="367" spans="1:8">
      <c r="A367" s="62">
        <v>8312007</v>
      </c>
      <c r="B367" s="55" t="s">
        <v>741</v>
      </c>
      <c r="C367" s="58">
        <v>17751851012758</v>
      </c>
      <c r="D367" s="55" t="s">
        <v>9</v>
      </c>
      <c r="E367" s="55">
        <v>14</v>
      </c>
      <c r="F367" s="55">
        <v>4</v>
      </c>
      <c r="G367" s="55">
        <v>56</v>
      </c>
      <c r="H367" s="131" t="s">
        <v>742</v>
      </c>
    </row>
    <row r="368" spans="1:8">
      <c r="A368" s="61">
        <v>8312008</v>
      </c>
      <c r="B368" s="54" t="s">
        <v>743</v>
      </c>
      <c r="C368" s="57">
        <v>17751851012932</v>
      </c>
      <c r="D368" s="54" t="s">
        <v>9</v>
      </c>
      <c r="E368" s="54">
        <v>14</v>
      </c>
      <c r="F368" s="54">
        <v>4</v>
      </c>
      <c r="G368" s="54">
        <v>56</v>
      </c>
      <c r="H368" s="131" t="s">
        <v>744</v>
      </c>
    </row>
    <row r="369" spans="1:8">
      <c r="A369" s="62">
        <v>8312014</v>
      </c>
      <c r="B369" s="55" t="s">
        <v>745</v>
      </c>
      <c r="C369" s="58">
        <v>17751851005033</v>
      </c>
      <c r="D369" s="55" t="s">
        <v>9</v>
      </c>
      <c r="E369" s="55">
        <v>9</v>
      </c>
      <c r="F369" s="55">
        <v>3</v>
      </c>
      <c r="G369" s="55">
        <v>27</v>
      </c>
      <c r="H369" s="131" t="s">
        <v>746</v>
      </c>
    </row>
    <row r="370" spans="1:8">
      <c r="A370" s="61">
        <v>8312015</v>
      </c>
      <c r="B370" s="54" t="s">
        <v>747</v>
      </c>
      <c r="C370" s="57">
        <v>17751851012949</v>
      </c>
      <c r="D370" s="54" t="s">
        <v>9</v>
      </c>
      <c r="E370" s="54">
        <v>14</v>
      </c>
      <c r="F370" s="54">
        <v>4</v>
      </c>
      <c r="G370" s="54">
        <v>56</v>
      </c>
      <c r="H370" s="131" t="s">
        <v>748</v>
      </c>
    </row>
    <row r="371" spans="1:8">
      <c r="A371" s="62">
        <v>8312016</v>
      </c>
      <c r="B371" s="55" t="s">
        <v>749</v>
      </c>
      <c r="C371" s="58">
        <v>17751851013885</v>
      </c>
      <c r="D371" s="55" t="s">
        <v>9</v>
      </c>
      <c r="E371" s="55">
        <v>14</v>
      </c>
      <c r="F371" s="55">
        <v>4</v>
      </c>
      <c r="G371" s="55">
        <v>56</v>
      </c>
      <c r="H371" s="131" t="s">
        <v>750</v>
      </c>
    </row>
    <row r="372" spans="1:8">
      <c r="A372" s="61">
        <v>8312017</v>
      </c>
      <c r="B372" s="54" t="s">
        <v>751</v>
      </c>
      <c r="C372" s="57">
        <v>17751851012956</v>
      </c>
      <c r="D372" s="54" t="s">
        <v>9</v>
      </c>
      <c r="E372" s="54">
        <v>14</v>
      </c>
      <c r="F372" s="54">
        <v>4</v>
      </c>
      <c r="G372" s="54">
        <v>56</v>
      </c>
      <c r="H372" s="131" t="s">
        <v>752</v>
      </c>
    </row>
    <row r="373" spans="1:8">
      <c r="A373" s="62">
        <v>8312018</v>
      </c>
      <c r="B373" s="55" t="s">
        <v>753</v>
      </c>
      <c r="C373" s="58">
        <v>17751851013892</v>
      </c>
      <c r="D373" s="55" t="s">
        <v>9</v>
      </c>
      <c r="E373" s="55">
        <v>14</v>
      </c>
      <c r="F373" s="55">
        <v>4</v>
      </c>
      <c r="G373" s="55">
        <v>56</v>
      </c>
      <c r="H373" s="131" t="s">
        <v>754</v>
      </c>
    </row>
    <row r="374" spans="1:8">
      <c r="A374" s="61">
        <v>8312019</v>
      </c>
      <c r="B374" s="54" t="s">
        <v>755</v>
      </c>
      <c r="C374" s="57">
        <v>17751851005170</v>
      </c>
      <c r="D374" s="54" t="s">
        <v>9</v>
      </c>
      <c r="E374" s="54">
        <v>9</v>
      </c>
      <c r="F374" s="54">
        <v>3</v>
      </c>
      <c r="G374" s="54">
        <v>27</v>
      </c>
      <c r="H374" s="131" t="s">
        <v>756</v>
      </c>
    </row>
    <row r="375" spans="1:8">
      <c r="A375" s="62">
        <v>8312020</v>
      </c>
      <c r="B375" s="55" t="s">
        <v>757</v>
      </c>
      <c r="C375" s="58">
        <v>17751851010242</v>
      </c>
      <c r="D375" s="55" t="s">
        <v>9</v>
      </c>
      <c r="E375" s="55">
        <v>15</v>
      </c>
      <c r="F375" s="55">
        <v>4</v>
      </c>
      <c r="G375" s="55">
        <v>60</v>
      </c>
      <c r="H375" s="131" t="s">
        <v>758</v>
      </c>
    </row>
    <row r="376" spans="1:8">
      <c r="A376" s="61">
        <v>8313136</v>
      </c>
      <c r="B376" s="54" t="s">
        <v>759</v>
      </c>
      <c r="C376" s="57">
        <v>17750243067093</v>
      </c>
      <c r="D376" s="54" t="s">
        <v>9</v>
      </c>
      <c r="E376" s="54">
        <v>15</v>
      </c>
      <c r="F376" s="54">
        <v>4</v>
      </c>
      <c r="G376" s="54">
        <v>60</v>
      </c>
      <c r="H376" s="131" t="s">
        <v>760</v>
      </c>
    </row>
    <row r="377" spans="1:8">
      <c r="A377" s="62">
        <v>8313138</v>
      </c>
      <c r="B377" s="55" t="s">
        <v>761</v>
      </c>
      <c r="C377" s="58">
        <v>17750243067116</v>
      </c>
      <c r="D377" s="55" t="s">
        <v>9</v>
      </c>
      <c r="E377" s="55">
        <v>10</v>
      </c>
      <c r="F377" s="55">
        <v>3</v>
      </c>
      <c r="G377" s="55">
        <v>30</v>
      </c>
      <c r="H377" s="131" t="s">
        <v>762</v>
      </c>
    </row>
    <row r="378" spans="1:8">
      <c r="A378" s="61">
        <v>8315000</v>
      </c>
      <c r="B378" s="54" t="s">
        <v>763</v>
      </c>
      <c r="C378" s="57">
        <v>17751851007556</v>
      </c>
      <c r="D378" s="54" t="s">
        <v>9</v>
      </c>
      <c r="E378" s="54">
        <v>26</v>
      </c>
      <c r="F378" s="54">
        <v>4</v>
      </c>
      <c r="G378" s="54">
        <v>104</v>
      </c>
      <c r="H378" s="131" t="s">
        <v>764</v>
      </c>
    </row>
    <row r="379" spans="1:8">
      <c r="A379" s="62">
        <v>8315001</v>
      </c>
      <c r="B379" s="55" t="s">
        <v>765</v>
      </c>
      <c r="C379" s="58">
        <v>17751851007563</v>
      </c>
      <c r="D379" s="55" t="s">
        <v>9</v>
      </c>
      <c r="E379" s="55">
        <v>26</v>
      </c>
      <c r="F379" s="55">
        <v>4</v>
      </c>
      <c r="G379" s="55">
        <v>104</v>
      </c>
      <c r="H379" s="131" t="s">
        <v>766</v>
      </c>
    </row>
    <row r="380" spans="1:8">
      <c r="A380" s="61">
        <v>8315002</v>
      </c>
      <c r="B380" s="54" t="s">
        <v>767</v>
      </c>
      <c r="C380" s="57">
        <v>27751851443276</v>
      </c>
      <c r="D380" s="54" t="s">
        <v>9</v>
      </c>
      <c r="E380" s="54">
        <v>28</v>
      </c>
      <c r="F380" s="54">
        <v>4</v>
      </c>
      <c r="G380" s="54">
        <v>112</v>
      </c>
      <c r="H380" s="131" t="s">
        <v>768</v>
      </c>
    </row>
    <row r="381" spans="1:8">
      <c r="A381" s="62">
        <v>8315003</v>
      </c>
      <c r="B381" s="55" t="s">
        <v>769</v>
      </c>
      <c r="C381" s="58">
        <v>17751851011119</v>
      </c>
      <c r="D381" s="55" t="s">
        <v>9</v>
      </c>
      <c r="E381" s="55">
        <v>28</v>
      </c>
      <c r="F381" s="55">
        <v>4</v>
      </c>
      <c r="G381" s="55">
        <v>112</v>
      </c>
      <c r="H381" s="131" t="s">
        <v>770</v>
      </c>
    </row>
    <row r="382" spans="1:8">
      <c r="A382" s="61">
        <v>8315004</v>
      </c>
      <c r="B382" s="54" t="s">
        <v>771</v>
      </c>
      <c r="C382" s="57">
        <v>17751851559093</v>
      </c>
      <c r="D382" s="54" t="s">
        <v>9</v>
      </c>
      <c r="E382" s="54">
        <v>20</v>
      </c>
      <c r="F382" s="54">
        <v>4</v>
      </c>
      <c r="G382" s="54">
        <v>80</v>
      </c>
      <c r="H382" s="131" t="s">
        <v>772</v>
      </c>
    </row>
    <row r="383" spans="1:8">
      <c r="A383" s="62">
        <v>8315005</v>
      </c>
      <c r="B383" s="55" t="s">
        <v>773</v>
      </c>
      <c r="C383" s="58">
        <v>27751851443184</v>
      </c>
      <c r="D383" s="55" t="s">
        <v>9</v>
      </c>
      <c r="E383" s="55">
        <v>28</v>
      </c>
      <c r="F383" s="55">
        <v>4</v>
      </c>
      <c r="G383" s="55">
        <v>112</v>
      </c>
      <c r="H383" s="131" t="s">
        <v>774</v>
      </c>
    </row>
    <row r="384" spans="1:8">
      <c r="A384" s="61">
        <v>8315006</v>
      </c>
      <c r="B384" s="54" t="s">
        <v>775</v>
      </c>
      <c r="C384" s="57">
        <v>27751851443245</v>
      </c>
      <c r="D384" s="54" t="s">
        <v>9</v>
      </c>
      <c r="E384" s="54">
        <v>28</v>
      </c>
      <c r="F384" s="54">
        <v>4</v>
      </c>
      <c r="G384" s="54">
        <v>112</v>
      </c>
      <c r="H384" s="131" t="s">
        <v>776</v>
      </c>
    </row>
    <row r="385" spans="1:8">
      <c r="A385" s="62">
        <v>8315007</v>
      </c>
      <c r="B385" s="55" t="s">
        <v>777</v>
      </c>
      <c r="C385" s="58">
        <v>27751851443221</v>
      </c>
      <c r="D385" s="55" t="s">
        <v>9</v>
      </c>
      <c r="E385" s="55">
        <v>28</v>
      </c>
      <c r="F385" s="55">
        <v>4</v>
      </c>
      <c r="G385" s="55">
        <v>112</v>
      </c>
      <c r="H385" s="131" t="s">
        <v>778</v>
      </c>
    </row>
    <row r="386" spans="1:8">
      <c r="A386" s="61">
        <v>8315008</v>
      </c>
      <c r="B386" s="54" t="s">
        <v>779</v>
      </c>
      <c r="C386" s="57">
        <v>17751851011126</v>
      </c>
      <c r="D386" s="54" t="s">
        <v>9</v>
      </c>
      <c r="E386" s="54">
        <v>28</v>
      </c>
      <c r="F386" s="54">
        <v>4</v>
      </c>
      <c r="G386" s="54">
        <v>112</v>
      </c>
      <c r="H386" s="131" t="s">
        <v>780</v>
      </c>
    </row>
    <row r="387" spans="1:8">
      <c r="A387" s="62">
        <v>8315009</v>
      </c>
      <c r="B387" s="55" t="s">
        <v>781</v>
      </c>
      <c r="C387" s="58">
        <v>27751851231347</v>
      </c>
      <c r="D387" s="55" t="s">
        <v>9</v>
      </c>
      <c r="E387" s="55">
        <v>28</v>
      </c>
      <c r="F387" s="55">
        <v>8</v>
      </c>
      <c r="G387" s="55">
        <v>224</v>
      </c>
      <c r="H387" s="131" t="s">
        <v>782</v>
      </c>
    </row>
    <row r="388" spans="1:8">
      <c r="A388" s="61">
        <v>8315010</v>
      </c>
      <c r="B388" s="54" t="s">
        <v>783</v>
      </c>
      <c r="C388" s="57">
        <v>17751851019894</v>
      </c>
      <c r="D388" s="54" t="s">
        <v>9</v>
      </c>
      <c r="E388" s="54">
        <v>32</v>
      </c>
      <c r="F388" s="54">
        <v>7</v>
      </c>
      <c r="G388" s="54">
        <v>224</v>
      </c>
      <c r="H388" s="131" t="s">
        <v>784</v>
      </c>
    </row>
    <row r="389" spans="1:8">
      <c r="A389" s="62">
        <v>8315011</v>
      </c>
      <c r="B389" s="55" t="s">
        <v>785</v>
      </c>
      <c r="C389" s="58">
        <v>17751851004739</v>
      </c>
      <c r="D389" s="55" t="s">
        <v>9</v>
      </c>
      <c r="E389" s="55">
        <v>13</v>
      </c>
      <c r="F389" s="55">
        <v>4</v>
      </c>
      <c r="G389" s="55">
        <v>52</v>
      </c>
      <c r="H389" s="131" t="s">
        <v>786</v>
      </c>
    </row>
    <row r="390" spans="1:8">
      <c r="A390" s="61">
        <v>8315012</v>
      </c>
      <c r="B390" s="54" t="s">
        <v>787</v>
      </c>
      <c r="C390" s="57">
        <v>17751851004746</v>
      </c>
      <c r="D390" s="54" t="s">
        <v>9</v>
      </c>
      <c r="E390" s="54">
        <v>13</v>
      </c>
      <c r="F390" s="54">
        <v>4</v>
      </c>
      <c r="G390" s="54">
        <v>52</v>
      </c>
      <c r="H390" s="131" t="s">
        <v>788</v>
      </c>
    </row>
    <row r="391" spans="1:8">
      <c r="A391" s="62">
        <v>8315013</v>
      </c>
      <c r="B391" s="55" t="s">
        <v>789</v>
      </c>
      <c r="C391" s="58">
        <v>17751851024003</v>
      </c>
      <c r="D391" s="55" t="s">
        <v>9</v>
      </c>
      <c r="E391" s="55">
        <v>17</v>
      </c>
      <c r="F391" s="55">
        <v>4</v>
      </c>
      <c r="G391" s="55">
        <v>68</v>
      </c>
      <c r="H391" s="131" t="s">
        <v>790</v>
      </c>
    </row>
    <row r="392" spans="1:8">
      <c r="A392" s="61">
        <v>8315014</v>
      </c>
      <c r="B392" s="54" t="s">
        <v>791</v>
      </c>
      <c r="C392" s="57">
        <v>17751851024324</v>
      </c>
      <c r="D392" s="54" t="s">
        <v>9</v>
      </c>
      <c r="E392" s="54">
        <v>12</v>
      </c>
      <c r="F392" s="54">
        <v>4</v>
      </c>
      <c r="G392" s="54">
        <v>48</v>
      </c>
      <c r="H392" s="131" t="s">
        <v>792</v>
      </c>
    </row>
    <row r="393" spans="1:8">
      <c r="A393" s="62">
        <v>8315015</v>
      </c>
      <c r="B393" s="55" t="s">
        <v>793</v>
      </c>
      <c r="C393" s="58">
        <v>17751851024348</v>
      </c>
      <c r="D393" s="55" t="s">
        <v>9</v>
      </c>
      <c r="E393" s="55">
        <v>12</v>
      </c>
      <c r="F393" s="55">
        <v>4</v>
      </c>
      <c r="G393" s="55">
        <v>48</v>
      </c>
      <c r="H393" s="131" t="s">
        <v>794</v>
      </c>
    </row>
    <row r="394" spans="1:8">
      <c r="A394" s="61">
        <v>8315016</v>
      </c>
      <c r="B394" s="54" t="s">
        <v>795</v>
      </c>
      <c r="C394" s="57">
        <v>17751851024331</v>
      </c>
      <c r="D394" s="54" t="s">
        <v>9</v>
      </c>
      <c r="E394" s="54">
        <v>12</v>
      </c>
      <c r="F394" s="54">
        <v>4</v>
      </c>
      <c r="G394" s="54">
        <v>48</v>
      </c>
      <c r="H394" s="131" t="s">
        <v>796</v>
      </c>
    </row>
    <row r="395" spans="1:8">
      <c r="A395" s="62">
        <v>8315017</v>
      </c>
      <c r="B395" s="55" t="s">
        <v>797</v>
      </c>
      <c r="C395" s="58">
        <v>17751851024010</v>
      </c>
      <c r="D395" s="55" t="s">
        <v>9</v>
      </c>
      <c r="E395" s="55">
        <v>12</v>
      </c>
      <c r="F395" s="55">
        <v>4</v>
      </c>
      <c r="G395" s="55">
        <v>48</v>
      </c>
      <c r="H395" s="131" t="s">
        <v>798</v>
      </c>
    </row>
    <row r="396" spans="1:8">
      <c r="A396" s="61">
        <v>8315018</v>
      </c>
      <c r="B396" s="54" t="s">
        <v>799</v>
      </c>
      <c r="C396" s="57">
        <v>17751851559109</v>
      </c>
      <c r="D396" s="54" t="s">
        <v>9</v>
      </c>
      <c r="E396" s="54">
        <v>17</v>
      </c>
      <c r="F396" s="54">
        <v>4</v>
      </c>
      <c r="G396" s="54">
        <v>68</v>
      </c>
      <c r="H396" s="131" t="s">
        <v>800</v>
      </c>
    </row>
    <row r="397" spans="1:8">
      <c r="A397" s="62">
        <v>8315019</v>
      </c>
      <c r="B397" s="55" t="s">
        <v>801</v>
      </c>
      <c r="C397" s="58">
        <v>17751851559116</v>
      </c>
      <c r="D397" s="55" t="s">
        <v>9</v>
      </c>
      <c r="E397" s="55">
        <v>17</v>
      </c>
      <c r="F397" s="55">
        <v>4</v>
      </c>
      <c r="G397" s="55">
        <v>68</v>
      </c>
      <c r="H397" s="131" t="s">
        <v>802</v>
      </c>
    </row>
    <row r="398" spans="1:8">
      <c r="A398" s="61">
        <v>8315020</v>
      </c>
      <c r="B398" s="54" t="s">
        <v>803</v>
      </c>
      <c r="C398" s="57">
        <v>17751851559123</v>
      </c>
      <c r="D398" s="54" t="s">
        <v>9</v>
      </c>
      <c r="E398" s="54">
        <v>17</v>
      </c>
      <c r="F398" s="54">
        <v>4</v>
      </c>
      <c r="G398" s="54">
        <v>68</v>
      </c>
      <c r="H398" s="131" t="s">
        <v>804</v>
      </c>
    </row>
    <row r="399" spans="1:8">
      <c r="A399" s="62">
        <v>8315025</v>
      </c>
      <c r="B399" s="55" t="s">
        <v>805</v>
      </c>
      <c r="C399" s="58">
        <v>17751851026274</v>
      </c>
      <c r="D399" s="55" t="s">
        <v>9</v>
      </c>
      <c r="E399" s="55">
        <v>12</v>
      </c>
      <c r="F399" s="55">
        <v>4</v>
      </c>
      <c r="G399" s="55">
        <v>48</v>
      </c>
      <c r="H399" s="131" t="s">
        <v>806</v>
      </c>
    </row>
    <row r="400" spans="1:8">
      <c r="A400" s="61">
        <v>8315026</v>
      </c>
      <c r="B400" s="54" t="s">
        <v>807</v>
      </c>
      <c r="C400" s="57">
        <v>27751851559151</v>
      </c>
      <c r="D400" s="54" t="s">
        <v>9</v>
      </c>
      <c r="E400" s="54">
        <v>37</v>
      </c>
      <c r="F400" s="54">
        <v>10</v>
      </c>
      <c r="G400" s="54">
        <v>370</v>
      </c>
      <c r="H400" s="131" t="s">
        <v>808</v>
      </c>
    </row>
    <row r="401" spans="1:8">
      <c r="A401" s="62">
        <v>8315027</v>
      </c>
      <c r="B401" s="55" t="s">
        <v>809</v>
      </c>
      <c r="C401" s="58">
        <v>27751851066161</v>
      </c>
      <c r="D401" s="55" t="s">
        <v>9</v>
      </c>
      <c r="E401" s="55">
        <v>66</v>
      </c>
      <c r="F401" s="55">
        <v>7</v>
      </c>
      <c r="G401" s="55">
        <v>462</v>
      </c>
      <c r="H401" s="131" t="s">
        <v>810</v>
      </c>
    </row>
    <row r="402" spans="1:8">
      <c r="A402" s="61">
        <v>8315030</v>
      </c>
      <c r="B402" s="54" t="s">
        <v>811</v>
      </c>
      <c r="C402" s="57">
        <v>27751851006129</v>
      </c>
      <c r="D402" s="54" t="s">
        <v>9</v>
      </c>
      <c r="E402" s="54">
        <v>26</v>
      </c>
      <c r="F402" s="54">
        <v>4</v>
      </c>
      <c r="G402" s="54">
        <v>104</v>
      </c>
      <c r="H402" s="131" t="s">
        <v>812</v>
      </c>
    </row>
    <row r="403" spans="1:8">
      <c r="A403" s="62">
        <v>8315031</v>
      </c>
      <c r="B403" s="55" t="s">
        <v>813</v>
      </c>
      <c r="C403" s="58">
        <v>17751851014417</v>
      </c>
      <c r="D403" s="55" t="s">
        <v>9</v>
      </c>
      <c r="E403" s="55">
        <v>9</v>
      </c>
      <c r="F403" s="55">
        <v>3</v>
      </c>
      <c r="G403" s="55">
        <v>27</v>
      </c>
      <c r="H403" s="131" t="s">
        <v>814</v>
      </c>
    </row>
    <row r="404" spans="1:8">
      <c r="A404" s="61">
        <v>8315032</v>
      </c>
      <c r="B404" s="54" t="s">
        <v>815</v>
      </c>
      <c r="C404" s="57">
        <v>17751851014493</v>
      </c>
      <c r="D404" s="54" t="s">
        <v>9</v>
      </c>
      <c r="E404" s="54">
        <v>9</v>
      </c>
      <c r="F404" s="54">
        <v>3</v>
      </c>
      <c r="G404" s="54">
        <v>27</v>
      </c>
      <c r="H404" s="131" t="s">
        <v>816</v>
      </c>
    </row>
    <row r="405" spans="1:8">
      <c r="A405" s="62">
        <v>8315039</v>
      </c>
      <c r="B405" s="55" t="s">
        <v>817</v>
      </c>
      <c r="C405" s="58">
        <v>17751851021811</v>
      </c>
      <c r="D405" s="55" t="s">
        <v>9</v>
      </c>
      <c r="E405" s="55">
        <v>9</v>
      </c>
      <c r="F405" s="55">
        <v>4</v>
      </c>
      <c r="G405" s="55">
        <v>36</v>
      </c>
      <c r="H405" s="131" t="s">
        <v>818</v>
      </c>
    </row>
    <row r="406" spans="1:8">
      <c r="A406" s="61">
        <v>8315041</v>
      </c>
      <c r="B406" s="54" t="s">
        <v>819</v>
      </c>
      <c r="C406" s="57">
        <v>17751851010679</v>
      </c>
      <c r="D406" s="54" t="s">
        <v>9</v>
      </c>
      <c r="E406" s="54">
        <v>13</v>
      </c>
      <c r="F406" s="54">
        <v>5</v>
      </c>
      <c r="G406" s="54">
        <v>65</v>
      </c>
      <c r="H406" s="131" t="s">
        <v>820</v>
      </c>
    </row>
    <row r="407" spans="1:8">
      <c r="A407" s="62">
        <v>8315042</v>
      </c>
      <c r="B407" s="55" t="s">
        <v>821</v>
      </c>
      <c r="C407" s="58">
        <v>17751851003961</v>
      </c>
      <c r="D407" s="55" t="s">
        <v>9</v>
      </c>
      <c r="E407" s="55">
        <v>13</v>
      </c>
      <c r="F407" s="55">
        <v>5</v>
      </c>
      <c r="G407" s="55">
        <v>65</v>
      </c>
      <c r="H407" s="131" t="s">
        <v>822</v>
      </c>
    </row>
    <row r="408" spans="1:8">
      <c r="A408" s="61">
        <v>8315043</v>
      </c>
      <c r="B408" s="54" t="s">
        <v>823</v>
      </c>
      <c r="C408" s="57">
        <v>17751851003978</v>
      </c>
      <c r="D408" s="54" t="s">
        <v>9</v>
      </c>
      <c r="E408" s="54">
        <v>13</v>
      </c>
      <c r="F408" s="54">
        <v>5</v>
      </c>
      <c r="G408" s="54">
        <v>65</v>
      </c>
      <c r="H408" s="131" t="s">
        <v>824</v>
      </c>
    </row>
    <row r="409" spans="1:8">
      <c r="A409" s="62">
        <v>8315044</v>
      </c>
      <c r="B409" s="55" t="s">
        <v>825</v>
      </c>
      <c r="C409" s="58">
        <v>17751851020067</v>
      </c>
      <c r="D409" s="55" t="s">
        <v>9</v>
      </c>
      <c r="E409" s="55">
        <v>15</v>
      </c>
      <c r="F409" s="55">
        <v>4</v>
      </c>
      <c r="G409" s="55">
        <v>60</v>
      </c>
      <c r="H409" s="131" t="s">
        <v>826</v>
      </c>
    </row>
    <row r="410" spans="1:8">
      <c r="A410" s="61">
        <v>8315045</v>
      </c>
      <c r="B410" s="54" t="s">
        <v>827</v>
      </c>
      <c r="C410" s="57">
        <v>17751851559307</v>
      </c>
      <c r="D410" s="54" t="s">
        <v>9</v>
      </c>
      <c r="E410" s="54">
        <v>15</v>
      </c>
      <c r="F410" s="54">
        <v>4</v>
      </c>
      <c r="G410" s="54">
        <v>60</v>
      </c>
      <c r="H410" s="131" t="s">
        <v>828</v>
      </c>
    </row>
    <row r="411" spans="1:8">
      <c r="A411" s="62">
        <v>8315046</v>
      </c>
      <c r="B411" s="55" t="s">
        <v>829</v>
      </c>
      <c r="C411" s="58">
        <v>27751851009960</v>
      </c>
      <c r="D411" s="55" t="s">
        <v>9</v>
      </c>
      <c r="E411" s="55">
        <v>15</v>
      </c>
      <c r="F411" s="55">
        <v>4</v>
      </c>
      <c r="G411" s="55">
        <v>60</v>
      </c>
      <c r="H411" s="131" t="s">
        <v>830</v>
      </c>
    </row>
    <row r="412" spans="1:8">
      <c r="A412" s="61">
        <v>8315047</v>
      </c>
      <c r="B412" s="54" t="s">
        <v>831</v>
      </c>
      <c r="C412" s="57">
        <v>17751851559321</v>
      </c>
      <c r="D412" s="54" t="s">
        <v>9</v>
      </c>
      <c r="E412" s="54">
        <v>15</v>
      </c>
      <c r="F412" s="54">
        <v>4</v>
      </c>
      <c r="G412" s="54">
        <v>60</v>
      </c>
      <c r="H412" s="133" t="s">
        <v>832</v>
      </c>
    </row>
    <row r="413" spans="1:8">
      <c r="A413" s="62">
        <v>8315049</v>
      </c>
      <c r="B413" s="55" t="s">
        <v>833</v>
      </c>
      <c r="C413" s="58">
        <v>27751851004361</v>
      </c>
      <c r="D413" s="55" t="s">
        <v>9</v>
      </c>
      <c r="E413" s="55">
        <v>11</v>
      </c>
      <c r="F413" s="55">
        <v>4</v>
      </c>
      <c r="G413" s="55">
        <v>44</v>
      </c>
      <c r="H413" s="131" t="s">
        <v>834</v>
      </c>
    </row>
    <row r="414" spans="1:8">
      <c r="A414" s="61">
        <v>8315051</v>
      </c>
      <c r="B414" s="54" t="s">
        <v>835</v>
      </c>
      <c r="C414" s="57">
        <v>17751851012147</v>
      </c>
      <c r="D414" s="54" t="s">
        <v>9</v>
      </c>
      <c r="E414" s="54">
        <v>28</v>
      </c>
      <c r="F414" s="54">
        <v>4</v>
      </c>
      <c r="G414" s="54">
        <v>112</v>
      </c>
      <c r="H414" s="131" t="s">
        <v>836</v>
      </c>
    </row>
    <row r="415" spans="1:8">
      <c r="A415" s="62">
        <v>8315052</v>
      </c>
      <c r="B415" s="55" t="s">
        <v>837</v>
      </c>
      <c r="C415" s="58">
        <v>27751851004354</v>
      </c>
      <c r="D415" s="55" t="s">
        <v>9</v>
      </c>
      <c r="E415" s="55">
        <v>26</v>
      </c>
      <c r="F415" s="55">
        <v>4</v>
      </c>
      <c r="G415" s="55">
        <v>104</v>
      </c>
      <c r="H415" s="131" t="s">
        <v>838</v>
      </c>
    </row>
    <row r="416" spans="1:8">
      <c r="A416" s="61">
        <v>8315053</v>
      </c>
      <c r="B416" s="54" t="s">
        <v>839</v>
      </c>
      <c r="C416" s="57">
        <v>7751851029032</v>
      </c>
      <c r="D416" s="54" t="s">
        <v>100</v>
      </c>
      <c r="E416" s="54">
        <v>17</v>
      </c>
      <c r="F416" s="54">
        <v>2</v>
      </c>
      <c r="G416" s="54">
        <v>34</v>
      </c>
      <c r="H416" s="131" t="s">
        <v>840</v>
      </c>
    </row>
    <row r="417" spans="1:8">
      <c r="A417" s="62">
        <v>8315059</v>
      </c>
      <c r="B417" s="55" t="s">
        <v>841</v>
      </c>
      <c r="C417" s="58">
        <v>27751851231552</v>
      </c>
      <c r="D417" s="55" t="s">
        <v>9</v>
      </c>
      <c r="E417" s="55">
        <v>88</v>
      </c>
      <c r="F417" s="55">
        <v>11</v>
      </c>
      <c r="G417" s="55">
        <v>968</v>
      </c>
      <c r="H417" s="131" t="s">
        <v>842</v>
      </c>
    </row>
    <row r="418" spans="1:8">
      <c r="A418" s="61">
        <v>8315061</v>
      </c>
      <c r="B418" s="54" t="s">
        <v>843</v>
      </c>
      <c r="C418" s="57">
        <v>17751851020050</v>
      </c>
      <c r="D418" s="54" t="s">
        <v>9</v>
      </c>
      <c r="E418" s="54">
        <v>15</v>
      </c>
      <c r="F418" s="54">
        <v>4</v>
      </c>
      <c r="G418" s="54">
        <v>60</v>
      </c>
      <c r="H418" s="131" t="s">
        <v>844</v>
      </c>
    </row>
    <row r="419" spans="1:8">
      <c r="A419" s="62">
        <v>8315063</v>
      </c>
      <c r="B419" s="55" t="s">
        <v>845</v>
      </c>
      <c r="C419" s="58">
        <v>27751851006136</v>
      </c>
      <c r="D419" s="55" t="s">
        <v>9</v>
      </c>
      <c r="E419" s="55">
        <v>26</v>
      </c>
      <c r="F419" s="55">
        <v>4</v>
      </c>
      <c r="G419" s="55">
        <v>104</v>
      </c>
      <c r="H419" s="131" t="s">
        <v>846</v>
      </c>
    </row>
    <row r="420" spans="1:8">
      <c r="A420" s="61">
        <v>8315135</v>
      </c>
      <c r="B420" s="54" t="s">
        <v>847</v>
      </c>
      <c r="C420" s="57">
        <v>17750243060681</v>
      </c>
      <c r="D420" s="54" t="s">
        <v>9</v>
      </c>
      <c r="E420" s="54">
        <v>9</v>
      </c>
      <c r="F420" s="54">
        <v>3</v>
      </c>
      <c r="G420" s="54">
        <v>27</v>
      </c>
      <c r="H420" s="131" t="s">
        <v>848</v>
      </c>
    </row>
    <row r="421" spans="1:8">
      <c r="A421" s="62">
        <v>8315136</v>
      </c>
      <c r="B421" s="55" t="s">
        <v>849</v>
      </c>
      <c r="C421" s="58">
        <v>17750243065730</v>
      </c>
      <c r="D421" s="55" t="s">
        <v>9</v>
      </c>
      <c r="E421" s="55">
        <v>9</v>
      </c>
      <c r="F421" s="55">
        <v>3</v>
      </c>
      <c r="G421" s="55">
        <v>27</v>
      </c>
      <c r="H421" s="131" t="s">
        <v>850</v>
      </c>
    </row>
    <row r="422" spans="1:8">
      <c r="A422" s="61">
        <v>8315138</v>
      </c>
      <c r="B422" s="54" t="s">
        <v>851</v>
      </c>
      <c r="C422" s="57">
        <v>17750243065754</v>
      </c>
      <c r="D422" s="54" t="s">
        <v>9</v>
      </c>
      <c r="E422" s="54">
        <v>16</v>
      </c>
      <c r="F422" s="54">
        <v>3</v>
      </c>
      <c r="G422" s="54">
        <v>48</v>
      </c>
      <c r="H422" s="131" t="s">
        <v>852</v>
      </c>
    </row>
    <row r="423" spans="1:8">
      <c r="A423" s="62">
        <v>8315139</v>
      </c>
      <c r="B423" s="55" t="s">
        <v>853</v>
      </c>
      <c r="C423" s="58">
        <v>17750243077689</v>
      </c>
      <c r="D423" s="55" t="s">
        <v>9</v>
      </c>
      <c r="E423" s="55">
        <v>16</v>
      </c>
      <c r="F423" s="55">
        <v>3</v>
      </c>
      <c r="G423" s="55">
        <v>48</v>
      </c>
      <c r="H423" s="131" t="s">
        <v>854</v>
      </c>
    </row>
    <row r="424" spans="1:8">
      <c r="A424" s="61">
        <v>8315140</v>
      </c>
      <c r="B424" s="54" t="s">
        <v>855</v>
      </c>
      <c r="C424" s="57">
        <v>27751851019891</v>
      </c>
      <c r="D424" s="54" t="s">
        <v>9</v>
      </c>
      <c r="E424" s="54">
        <v>32</v>
      </c>
      <c r="F424" s="54">
        <v>7</v>
      </c>
      <c r="G424" s="54">
        <v>224</v>
      </c>
      <c r="H424" s="131" t="s">
        <v>856</v>
      </c>
    </row>
    <row r="425" spans="1:8">
      <c r="A425" s="62">
        <v>8315144</v>
      </c>
      <c r="B425" s="55" t="s">
        <v>857</v>
      </c>
      <c r="C425" s="58">
        <v>37751851559301</v>
      </c>
      <c r="D425" s="55" t="s">
        <v>9</v>
      </c>
      <c r="E425" s="55">
        <v>15</v>
      </c>
      <c r="F425" s="55">
        <v>4</v>
      </c>
      <c r="G425" s="55">
        <v>60</v>
      </c>
      <c r="H425" s="131" t="s">
        <v>858</v>
      </c>
    </row>
    <row r="426" spans="1:8">
      <c r="A426" s="61">
        <v>8315145</v>
      </c>
      <c r="B426" s="54" t="s">
        <v>859</v>
      </c>
      <c r="C426" s="57">
        <v>37751851009967</v>
      </c>
      <c r="D426" s="54" t="s">
        <v>9</v>
      </c>
      <c r="E426" s="54">
        <v>15</v>
      </c>
      <c r="F426" s="54">
        <v>4</v>
      </c>
      <c r="G426" s="54">
        <v>60</v>
      </c>
      <c r="H426" s="131" t="s">
        <v>860</v>
      </c>
    </row>
    <row r="427" spans="1:8">
      <c r="A427" s="62">
        <v>8315146</v>
      </c>
      <c r="B427" s="55" t="s">
        <v>861</v>
      </c>
      <c r="C427" s="58">
        <v>37751851559325</v>
      </c>
      <c r="D427" s="55" t="s">
        <v>9</v>
      </c>
      <c r="E427" s="55">
        <v>15</v>
      </c>
      <c r="F427" s="55">
        <v>4</v>
      </c>
      <c r="G427" s="55">
        <v>60</v>
      </c>
      <c r="H427" s="131" t="s">
        <v>862</v>
      </c>
    </row>
    <row r="428" spans="1:8">
      <c r="A428" s="61">
        <v>8315147</v>
      </c>
      <c r="B428" s="54" t="s">
        <v>863</v>
      </c>
      <c r="C428" s="57">
        <v>17750243084465</v>
      </c>
      <c r="D428" s="54" t="s">
        <v>9</v>
      </c>
      <c r="E428" s="54">
        <v>9</v>
      </c>
      <c r="F428" s="54">
        <v>3</v>
      </c>
      <c r="G428" s="54">
        <v>27</v>
      </c>
      <c r="H428" s="131" t="s">
        <v>864</v>
      </c>
    </row>
    <row r="429" spans="1:8">
      <c r="A429" s="62">
        <v>8315148</v>
      </c>
      <c r="B429" s="55" t="s">
        <v>865</v>
      </c>
      <c r="C429" s="58">
        <v>17750243084472</v>
      </c>
      <c r="D429" s="55" t="s">
        <v>9</v>
      </c>
      <c r="E429" s="55">
        <v>9</v>
      </c>
      <c r="F429" s="55">
        <v>3</v>
      </c>
      <c r="G429" s="55">
        <v>27</v>
      </c>
      <c r="H429" s="131" t="s">
        <v>866</v>
      </c>
    </row>
    <row r="430" spans="1:8">
      <c r="A430" s="61">
        <v>8315149</v>
      </c>
      <c r="B430" s="54" t="s">
        <v>867</v>
      </c>
      <c r="C430" s="57">
        <v>17750243086384</v>
      </c>
      <c r="D430" s="54" t="s">
        <v>9</v>
      </c>
      <c r="E430" s="54">
        <v>28</v>
      </c>
      <c r="F430" s="54">
        <v>4</v>
      </c>
      <c r="G430" s="54">
        <v>112</v>
      </c>
      <c r="H430" s="131" t="s">
        <v>868</v>
      </c>
    </row>
    <row r="431" spans="1:8">
      <c r="A431" s="62">
        <v>8315150</v>
      </c>
      <c r="B431" s="55" t="s">
        <v>869</v>
      </c>
      <c r="C431" s="58">
        <v>17750243086407</v>
      </c>
      <c r="D431" s="55" t="s">
        <v>9</v>
      </c>
      <c r="E431" s="55">
        <v>28</v>
      </c>
      <c r="F431" s="55">
        <v>4</v>
      </c>
      <c r="G431" s="55">
        <v>112</v>
      </c>
      <c r="H431" s="131" t="s">
        <v>870</v>
      </c>
    </row>
    <row r="432" spans="1:8">
      <c r="A432" s="61">
        <v>8315151</v>
      </c>
      <c r="B432" s="54" t="s">
        <v>871</v>
      </c>
      <c r="C432" s="57">
        <v>27750243086695</v>
      </c>
      <c r="D432" s="54" t="s">
        <v>9</v>
      </c>
      <c r="E432" s="54">
        <v>10</v>
      </c>
      <c r="F432" s="54">
        <v>4</v>
      </c>
      <c r="G432" s="54">
        <v>40</v>
      </c>
      <c r="H432" s="131" t="s">
        <v>872</v>
      </c>
    </row>
    <row r="433" spans="1:8">
      <c r="A433" s="62">
        <v>8315152</v>
      </c>
      <c r="B433" s="55" t="s">
        <v>873</v>
      </c>
      <c r="C433" s="58">
        <v>27750243086701</v>
      </c>
      <c r="D433" s="55" t="s">
        <v>9</v>
      </c>
      <c r="E433" s="55">
        <v>10</v>
      </c>
      <c r="F433" s="55">
        <v>4</v>
      </c>
      <c r="G433" s="55">
        <v>40</v>
      </c>
      <c r="H433" s="131" t="s">
        <v>874</v>
      </c>
    </row>
    <row r="434" spans="1:8">
      <c r="A434" s="61">
        <v>8315153</v>
      </c>
      <c r="B434" s="54" t="s">
        <v>875</v>
      </c>
      <c r="C434" s="57">
        <v>27750243086718</v>
      </c>
      <c r="D434" s="54" t="s">
        <v>9</v>
      </c>
      <c r="E434" s="54">
        <v>10</v>
      </c>
      <c r="F434" s="54">
        <v>4</v>
      </c>
      <c r="G434" s="54">
        <v>40</v>
      </c>
      <c r="H434" s="131" t="s">
        <v>876</v>
      </c>
    </row>
    <row r="435" spans="1:8">
      <c r="A435" s="62">
        <v>8315154</v>
      </c>
      <c r="B435" s="55" t="s">
        <v>877</v>
      </c>
      <c r="C435" s="58">
        <v>27750243086725</v>
      </c>
      <c r="D435" s="55" t="s">
        <v>9</v>
      </c>
      <c r="E435" s="55">
        <v>10</v>
      </c>
      <c r="F435" s="55">
        <v>4</v>
      </c>
      <c r="G435" s="55">
        <v>40</v>
      </c>
      <c r="H435" s="131" t="s">
        <v>878</v>
      </c>
    </row>
    <row r="436" spans="1:8">
      <c r="A436" s="61">
        <v>8315155</v>
      </c>
      <c r="B436" s="54" t="s">
        <v>879</v>
      </c>
      <c r="C436" s="57">
        <v>17750243088517</v>
      </c>
      <c r="D436" s="54" t="s">
        <v>9</v>
      </c>
      <c r="E436" s="54">
        <v>20</v>
      </c>
      <c r="F436" s="54">
        <v>4</v>
      </c>
      <c r="G436" s="54">
        <v>80</v>
      </c>
      <c r="H436" s="131" t="s">
        <v>880</v>
      </c>
    </row>
    <row r="437" spans="1:8">
      <c r="A437" s="62">
        <v>8315156</v>
      </c>
      <c r="B437" s="55" t="s">
        <v>881</v>
      </c>
      <c r="C437" s="58">
        <v>17750243088524</v>
      </c>
      <c r="D437" s="55" t="s">
        <v>9</v>
      </c>
      <c r="E437" s="55">
        <v>28</v>
      </c>
      <c r="F437" s="55">
        <v>4</v>
      </c>
      <c r="G437" s="55">
        <v>112</v>
      </c>
      <c r="H437" s="131" t="s">
        <v>882</v>
      </c>
    </row>
    <row r="438" spans="1:8">
      <c r="A438" s="61">
        <v>8316002</v>
      </c>
      <c r="B438" s="54" t="s">
        <v>883</v>
      </c>
      <c r="C438" s="57">
        <v>17751851015971</v>
      </c>
      <c r="D438" s="54" t="s">
        <v>9</v>
      </c>
      <c r="E438" s="54">
        <v>15</v>
      </c>
      <c r="F438" s="54">
        <v>4</v>
      </c>
      <c r="G438" s="54">
        <v>60</v>
      </c>
      <c r="H438" s="131" t="s">
        <v>884</v>
      </c>
    </row>
    <row r="439" spans="1:8">
      <c r="A439" s="62">
        <v>8316003</v>
      </c>
      <c r="B439" s="55" t="s">
        <v>885</v>
      </c>
      <c r="C439" s="58">
        <v>17751851015964</v>
      </c>
      <c r="D439" s="55" t="s">
        <v>9</v>
      </c>
      <c r="E439" s="55">
        <v>15</v>
      </c>
      <c r="F439" s="55">
        <v>4</v>
      </c>
      <c r="G439" s="55">
        <v>60</v>
      </c>
      <c r="H439" s="131" t="s">
        <v>886</v>
      </c>
    </row>
    <row r="440" spans="1:8">
      <c r="A440" s="61">
        <v>8316004</v>
      </c>
      <c r="B440" s="54" t="s">
        <v>887</v>
      </c>
      <c r="C440" s="57">
        <v>17751851012314</v>
      </c>
      <c r="D440" s="54" t="s">
        <v>9</v>
      </c>
      <c r="E440" s="54">
        <v>16</v>
      </c>
      <c r="F440" s="54">
        <v>3</v>
      </c>
      <c r="G440" s="54">
        <v>48</v>
      </c>
      <c r="H440" s="131" t="s">
        <v>888</v>
      </c>
    </row>
    <row r="441" spans="1:8">
      <c r="A441" s="62">
        <v>8316005</v>
      </c>
      <c r="B441" s="55" t="s">
        <v>889</v>
      </c>
      <c r="C441" s="58">
        <v>17751851012338</v>
      </c>
      <c r="D441" s="55" t="s">
        <v>9</v>
      </c>
      <c r="E441" s="55">
        <v>16</v>
      </c>
      <c r="F441" s="55">
        <v>3</v>
      </c>
      <c r="G441" s="55">
        <v>48</v>
      </c>
      <c r="H441" s="131" t="s">
        <v>890</v>
      </c>
    </row>
    <row r="442" spans="1:8">
      <c r="A442" s="61">
        <v>8316012</v>
      </c>
      <c r="B442" s="54" t="s">
        <v>891</v>
      </c>
      <c r="C442" s="57">
        <v>17751851015957</v>
      </c>
      <c r="D442" s="54" t="s">
        <v>9</v>
      </c>
      <c r="E442" s="54">
        <v>15</v>
      </c>
      <c r="F442" s="54">
        <v>4</v>
      </c>
      <c r="G442" s="54">
        <v>60</v>
      </c>
      <c r="H442" s="131" t="s">
        <v>892</v>
      </c>
    </row>
    <row r="443" spans="1:8">
      <c r="A443" s="62">
        <v>8316013</v>
      </c>
      <c r="B443" s="55" t="s">
        <v>893</v>
      </c>
      <c r="C443" s="58">
        <v>17751851015988</v>
      </c>
      <c r="D443" s="55" t="s">
        <v>9</v>
      </c>
      <c r="E443" s="55">
        <v>15</v>
      </c>
      <c r="F443" s="55">
        <v>4</v>
      </c>
      <c r="G443" s="55">
        <v>60</v>
      </c>
      <c r="H443" s="131" t="s">
        <v>894</v>
      </c>
    </row>
    <row r="444" spans="1:8">
      <c r="A444" s="61">
        <v>8316016</v>
      </c>
      <c r="B444" s="54" t="s">
        <v>895</v>
      </c>
      <c r="C444" s="57">
        <v>17751851014448</v>
      </c>
      <c r="D444" s="54" t="s">
        <v>9</v>
      </c>
      <c r="E444" s="54">
        <v>9</v>
      </c>
      <c r="F444" s="54">
        <v>3</v>
      </c>
      <c r="G444" s="54">
        <v>27</v>
      </c>
      <c r="H444" s="131" t="s">
        <v>896</v>
      </c>
    </row>
    <row r="445" spans="1:8">
      <c r="A445" s="62">
        <v>8316017</v>
      </c>
      <c r="B445" s="55" t="s">
        <v>897</v>
      </c>
      <c r="C445" s="58">
        <v>17751851012307</v>
      </c>
      <c r="D445" s="55" t="s">
        <v>9</v>
      </c>
      <c r="E445" s="55">
        <v>16</v>
      </c>
      <c r="F445" s="55">
        <v>3</v>
      </c>
      <c r="G445" s="55">
        <v>48</v>
      </c>
      <c r="H445" s="131" t="s">
        <v>898</v>
      </c>
    </row>
    <row r="446" spans="1:8">
      <c r="A446" s="61">
        <v>8316018</v>
      </c>
      <c r="B446" s="54" t="s">
        <v>899</v>
      </c>
      <c r="C446" s="57">
        <v>17751851012321</v>
      </c>
      <c r="D446" s="54" t="s">
        <v>9</v>
      </c>
      <c r="E446" s="54">
        <v>16</v>
      </c>
      <c r="F446" s="54">
        <v>3</v>
      </c>
      <c r="G446" s="54">
        <v>48</v>
      </c>
      <c r="H446" s="131" t="s">
        <v>900</v>
      </c>
    </row>
    <row r="447" spans="1:8">
      <c r="A447" s="62">
        <v>8316019</v>
      </c>
      <c r="B447" s="55" t="s">
        <v>901</v>
      </c>
      <c r="C447" s="58">
        <v>17751851008164</v>
      </c>
      <c r="D447" s="55" t="s">
        <v>9</v>
      </c>
      <c r="E447" s="55">
        <v>9</v>
      </c>
      <c r="F447" s="55">
        <v>3</v>
      </c>
      <c r="G447" s="55">
        <v>27</v>
      </c>
      <c r="H447" s="131" t="s">
        <v>902</v>
      </c>
    </row>
    <row r="448" spans="1:8">
      <c r="A448" s="61">
        <v>8316020</v>
      </c>
      <c r="B448" s="54" t="s">
        <v>903</v>
      </c>
      <c r="C448" s="57">
        <v>17751851009024</v>
      </c>
      <c r="D448" s="54" t="s">
        <v>9</v>
      </c>
      <c r="E448" s="54">
        <v>9</v>
      </c>
      <c r="F448" s="54">
        <v>3</v>
      </c>
      <c r="G448" s="54">
        <v>27</v>
      </c>
      <c r="H448" s="131" t="s">
        <v>904</v>
      </c>
    </row>
    <row r="449" spans="1:8">
      <c r="A449" s="62">
        <v>8316021</v>
      </c>
      <c r="B449" s="55" t="s">
        <v>905</v>
      </c>
      <c r="C449" s="58">
        <v>17751851009031</v>
      </c>
      <c r="D449" s="55" t="s">
        <v>9</v>
      </c>
      <c r="E449" s="55">
        <v>9</v>
      </c>
      <c r="F449" s="55">
        <v>3</v>
      </c>
      <c r="G449" s="55">
        <v>27</v>
      </c>
      <c r="H449" s="131" t="s">
        <v>906</v>
      </c>
    </row>
    <row r="450" spans="1:8">
      <c r="A450" s="61">
        <v>8316025</v>
      </c>
      <c r="B450" s="54" t="s">
        <v>907</v>
      </c>
      <c r="C450" s="57">
        <v>27751851443252</v>
      </c>
      <c r="D450" s="54" t="s">
        <v>9</v>
      </c>
      <c r="E450" s="54">
        <v>11</v>
      </c>
      <c r="F450" s="54">
        <v>4</v>
      </c>
      <c r="G450" s="54">
        <v>44</v>
      </c>
      <c r="H450" s="131" t="s">
        <v>908</v>
      </c>
    </row>
    <row r="451" spans="1:8">
      <c r="A451" s="62">
        <v>8316026</v>
      </c>
      <c r="B451" s="55" t="s">
        <v>909</v>
      </c>
      <c r="C451" s="58">
        <v>17751851086162</v>
      </c>
      <c r="D451" s="55" t="s">
        <v>9</v>
      </c>
      <c r="E451" s="55">
        <v>11</v>
      </c>
      <c r="F451" s="55">
        <v>4</v>
      </c>
      <c r="G451" s="55">
        <v>44</v>
      </c>
      <c r="H451" s="131" t="s">
        <v>910</v>
      </c>
    </row>
    <row r="452" spans="1:8">
      <c r="A452" s="61">
        <v>8316027</v>
      </c>
      <c r="B452" s="54" t="s">
        <v>911</v>
      </c>
      <c r="C452" s="57">
        <v>17751851027950</v>
      </c>
      <c r="D452" s="54" t="s">
        <v>9</v>
      </c>
      <c r="E452" s="54">
        <v>11</v>
      </c>
      <c r="F452" s="54">
        <v>4</v>
      </c>
      <c r="G452" s="54">
        <v>44</v>
      </c>
      <c r="H452" s="131" t="s">
        <v>912</v>
      </c>
    </row>
    <row r="453" spans="1:8">
      <c r="A453" s="62">
        <v>8316030</v>
      </c>
      <c r="B453" s="55" t="s">
        <v>913</v>
      </c>
      <c r="C453" s="58">
        <v>17751851086131</v>
      </c>
      <c r="D453" s="55" t="s">
        <v>9</v>
      </c>
      <c r="E453" s="55">
        <v>20</v>
      </c>
      <c r="F453" s="55">
        <v>4</v>
      </c>
      <c r="G453" s="55">
        <v>80</v>
      </c>
      <c r="H453" s="131" t="s">
        <v>914</v>
      </c>
    </row>
    <row r="454" spans="1:8">
      <c r="A454" s="61">
        <v>8316031</v>
      </c>
      <c r="B454" s="54" t="s">
        <v>915</v>
      </c>
      <c r="C454" s="57">
        <v>17751851026526</v>
      </c>
      <c r="D454" s="54" t="s">
        <v>9</v>
      </c>
      <c r="E454" s="54">
        <v>11</v>
      </c>
      <c r="F454" s="54">
        <v>4</v>
      </c>
      <c r="G454" s="54">
        <v>44</v>
      </c>
      <c r="H454" s="131" t="s">
        <v>916</v>
      </c>
    </row>
    <row r="455" spans="1:8">
      <c r="A455" s="62">
        <v>8316032</v>
      </c>
      <c r="B455" s="55" t="s">
        <v>917</v>
      </c>
      <c r="C455" s="58">
        <v>17751851026533</v>
      </c>
      <c r="D455" s="55" t="s">
        <v>9</v>
      </c>
      <c r="E455" s="55">
        <v>11</v>
      </c>
      <c r="F455" s="55">
        <v>4</v>
      </c>
      <c r="G455" s="55">
        <v>44</v>
      </c>
      <c r="H455" s="131" t="s">
        <v>918</v>
      </c>
    </row>
    <row r="456" spans="1:8">
      <c r="A456" s="61">
        <v>8316033</v>
      </c>
      <c r="B456" s="54" t="s">
        <v>919</v>
      </c>
      <c r="C456" s="57">
        <v>17751851026540</v>
      </c>
      <c r="D456" s="54" t="s">
        <v>9</v>
      </c>
      <c r="E456" s="54">
        <v>9</v>
      </c>
      <c r="F456" s="54">
        <v>4</v>
      </c>
      <c r="G456" s="54">
        <v>36</v>
      </c>
      <c r="H456" s="131" t="s">
        <v>920</v>
      </c>
    </row>
    <row r="457" spans="1:8">
      <c r="A457" s="62">
        <v>8316034</v>
      </c>
      <c r="B457" s="55" t="s">
        <v>921</v>
      </c>
      <c r="C457" s="58">
        <v>27751851107543</v>
      </c>
      <c r="D457" s="55" t="s">
        <v>288</v>
      </c>
      <c r="E457" s="55">
        <v>17</v>
      </c>
      <c r="F457" s="55">
        <v>5</v>
      </c>
      <c r="G457" s="55">
        <v>85</v>
      </c>
      <c r="H457" s="131" t="s">
        <v>922</v>
      </c>
    </row>
    <row r="458" spans="1:8">
      <c r="A458" s="61">
        <v>8316035</v>
      </c>
      <c r="B458" s="54" t="s">
        <v>923</v>
      </c>
      <c r="C458" s="57">
        <v>27751851113605</v>
      </c>
      <c r="D458" s="54" t="s">
        <v>9</v>
      </c>
      <c r="E458" s="54">
        <v>17</v>
      </c>
      <c r="F458" s="54">
        <v>5</v>
      </c>
      <c r="G458" s="54">
        <v>85</v>
      </c>
      <c r="H458" s="131" t="s">
        <v>924</v>
      </c>
    </row>
    <row r="459" spans="1:8">
      <c r="A459" s="62">
        <v>8316036</v>
      </c>
      <c r="B459" s="55" t="s">
        <v>925</v>
      </c>
      <c r="C459" s="58">
        <v>17751851008591</v>
      </c>
      <c r="D459" s="55" t="s">
        <v>9</v>
      </c>
      <c r="E459" s="55">
        <v>20</v>
      </c>
      <c r="F459" s="55">
        <v>4</v>
      </c>
      <c r="G459" s="55">
        <v>80</v>
      </c>
      <c r="H459" s="131" t="s">
        <v>926</v>
      </c>
    </row>
    <row r="460" spans="1:8">
      <c r="A460" s="61">
        <v>8316037</v>
      </c>
      <c r="B460" s="54" t="s">
        <v>927</v>
      </c>
      <c r="C460" s="57">
        <v>17751851107539</v>
      </c>
      <c r="D460" s="54" t="s">
        <v>9</v>
      </c>
      <c r="E460" s="54">
        <v>18</v>
      </c>
      <c r="F460" s="54">
        <v>6</v>
      </c>
      <c r="G460" s="54">
        <v>108</v>
      </c>
      <c r="H460" s="131" t="s">
        <v>928</v>
      </c>
    </row>
    <row r="461" spans="1:8">
      <c r="A461" s="62">
        <v>8316038</v>
      </c>
      <c r="B461" s="55" t="s">
        <v>929</v>
      </c>
      <c r="C461" s="58">
        <v>17751851107553</v>
      </c>
      <c r="D461" s="55" t="s">
        <v>9</v>
      </c>
      <c r="E461" s="55">
        <v>18</v>
      </c>
      <c r="F461" s="55">
        <v>6</v>
      </c>
      <c r="G461" s="55">
        <v>108</v>
      </c>
      <c r="H461" s="131" t="s">
        <v>930</v>
      </c>
    </row>
    <row r="462" spans="1:8">
      <c r="A462" s="61">
        <v>8316039</v>
      </c>
      <c r="B462" s="54" t="s">
        <v>931</v>
      </c>
      <c r="C462" s="57">
        <v>7751851029018</v>
      </c>
      <c r="D462" s="54" t="s">
        <v>100</v>
      </c>
      <c r="E462" s="54">
        <v>17</v>
      </c>
      <c r="F462" s="54">
        <v>2</v>
      </c>
      <c r="G462" s="54">
        <v>34</v>
      </c>
      <c r="H462" s="131" t="s">
        <v>932</v>
      </c>
    </row>
    <row r="463" spans="1:8">
      <c r="A463" s="62">
        <v>8316041</v>
      </c>
      <c r="B463" s="55" t="s">
        <v>933</v>
      </c>
      <c r="C463" s="58">
        <v>17751851009048</v>
      </c>
      <c r="D463" s="55" t="s">
        <v>9</v>
      </c>
      <c r="E463" s="55">
        <v>9</v>
      </c>
      <c r="F463" s="55">
        <v>3</v>
      </c>
      <c r="G463" s="55">
        <v>27</v>
      </c>
      <c r="H463" s="131" t="s">
        <v>934</v>
      </c>
    </row>
    <row r="464" spans="1:8">
      <c r="A464" s="61">
        <v>8316099</v>
      </c>
      <c r="B464" s="54" t="s">
        <v>935</v>
      </c>
      <c r="C464" s="57">
        <v>17750243067192</v>
      </c>
      <c r="D464" s="54" t="s">
        <v>9</v>
      </c>
      <c r="E464" s="54">
        <v>26</v>
      </c>
      <c r="F464" s="54">
        <v>4</v>
      </c>
      <c r="G464" s="54">
        <v>104</v>
      </c>
      <c r="H464" s="131" t="s">
        <v>936</v>
      </c>
    </row>
    <row r="465" spans="1:8">
      <c r="A465" s="62">
        <v>8316100</v>
      </c>
      <c r="B465" s="55" t="s">
        <v>937</v>
      </c>
      <c r="C465" s="58">
        <v>17750243067888</v>
      </c>
      <c r="D465" s="55" t="s">
        <v>9</v>
      </c>
      <c r="E465" s="55">
        <v>25</v>
      </c>
      <c r="F465" s="55">
        <v>4</v>
      </c>
      <c r="G465" s="55">
        <v>100</v>
      </c>
      <c r="H465" s="133" t="s">
        <v>938</v>
      </c>
    </row>
    <row r="466" spans="1:8">
      <c r="A466" s="61">
        <v>8316101</v>
      </c>
      <c r="B466" s="54" t="s">
        <v>939</v>
      </c>
      <c r="C466" s="57">
        <v>17750243069141</v>
      </c>
      <c r="D466" s="54" t="s">
        <v>9</v>
      </c>
      <c r="E466" s="54">
        <v>15</v>
      </c>
      <c r="F466" s="54">
        <v>4</v>
      </c>
      <c r="G466" s="54">
        <v>60</v>
      </c>
      <c r="H466" s="131" t="s">
        <v>940</v>
      </c>
    </row>
    <row r="467" spans="1:8">
      <c r="A467" s="62">
        <v>8316102</v>
      </c>
      <c r="B467" s="55" t="s">
        <v>941</v>
      </c>
      <c r="C467" s="58">
        <v>17750243070499</v>
      </c>
      <c r="D467" s="55" t="s">
        <v>9</v>
      </c>
      <c r="E467" s="55">
        <v>19</v>
      </c>
      <c r="F467" s="55">
        <v>6</v>
      </c>
      <c r="G467" s="55">
        <v>114</v>
      </c>
      <c r="H467" s="131" t="s">
        <v>942</v>
      </c>
    </row>
    <row r="468" spans="1:8">
      <c r="A468" s="61">
        <v>8316103</v>
      </c>
      <c r="B468" s="54" t="s">
        <v>943</v>
      </c>
      <c r="C468" s="57">
        <v>17750243070505</v>
      </c>
      <c r="D468" s="54" t="s">
        <v>9</v>
      </c>
      <c r="E468" s="54">
        <v>13</v>
      </c>
      <c r="F468" s="54">
        <v>5</v>
      </c>
      <c r="G468" s="54">
        <v>65</v>
      </c>
      <c r="H468" s="131" t="s">
        <v>944</v>
      </c>
    </row>
    <row r="469" spans="1:8">
      <c r="A469" s="62">
        <v>8316106</v>
      </c>
      <c r="B469" s="55" t="s">
        <v>945</v>
      </c>
      <c r="C469" s="58">
        <v>17750243071670</v>
      </c>
      <c r="D469" s="55" t="s">
        <v>9</v>
      </c>
      <c r="E469" s="55">
        <v>26</v>
      </c>
      <c r="F469" s="55">
        <v>4</v>
      </c>
      <c r="G469" s="55">
        <v>104</v>
      </c>
      <c r="H469" s="131" t="s">
        <v>946</v>
      </c>
    </row>
    <row r="470" spans="1:8">
      <c r="A470" s="61">
        <v>8316107</v>
      </c>
      <c r="B470" s="54" t="s">
        <v>947</v>
      </c>
      <c r="C470" s="57">
        <v>17750243076750</v>
      </c>
      <c r="D470" s="54" t="s">
        <v>9</v>
      </c>
      <c r="E470" s="54">
        <v>9</v>
      </c>
      <c r="F470" s="54">
        <v>3</v>
      </c>
      <c r="G470" s="54">
        <v>27</v>
      </c>
      <c r="H470" s="131" t="s">
        <v>948</v>
      </c>
    </row>
    <row r="471" spans="1:8">
      <c r="A471" s="62">
        <v>8316108</v>
      </c>
      <c r="B471" s="55" t="s">
        <v>949</v>
      </c>
      <c r="C471" s="58">
        <v>17750243077221</v>
      </c>
      <c r="D471" s="55" t="s">
        <v>9</v>
      </c>
      <c r="E471" s="55">
        <v>9</v>
      </c>
      <c r="F471" s="55">
        <v>3</v>
      </c>
      <c r="G471" s="55">
        <v>27</v>
      </c>
      <c r="H471" s="131" t="s">
        <v>950</v>
      </c>
    </row>
    <row r="472" spans="1:8">
      <c r="A472" s="61">
        <v>8316111</v>
      </c>
      <c r="B472" s="54" t="s">
        <v>951</v>
      </c>
      <c r="C472" s="57">
        <v>17750243084489</v>
      </c>
      <c r="D472" s="54" t="s">
        <v>9</v>
      </c>
      <c r="E472" s="54">
        <v>9</v>
      </c>
      <c r="F472" s="54">
        <v>3</v>
      </c>
      <c r="G472" s="54">
        <v>27</v>
      </c>
      <c r="H472" s="131" t="s">
        <v>952</v>
      </c>
    </row>
    <row r="473" spans="1:8">
      <c r="A473" s="62">
        <v>8317002</v>
      </c>
      <c r="B473" s="55" t="s">
        <v>953</v>
      </c>
      <c r="C473" s="58">
        <v>17751851000755</v>
      </c>
      <c r="D473" s="55" t="s">
        <v>9</v>
      </c>
      <c r="E473" s="55">
        <v>15</v>
      </c>
      <c r="F473" s="55">
        <v>4</v>
      </c>
      <c r="G473" s="55">
        <v>60</v>
      </c>
      <c r="H473" s="131" t="s">
        <v>954</v>
      </c>
    </row>
    <row r="474" spans="1:8">
      <c r="A474" s="61">
        <v>8317003</v>
      </c>
      <c r="B474" s="54" t="s">
        <v>955</v>
      </c>
      <c r="C474" s="57">
        <v>17751851012260</v>
      </c>
      <c r="D474" s="54" t="s">
        <v>9</v>
      </c>
      <c r="E474" s="54">
        <v>16</v>
      </c>
      <c r="F474" s="54">
        <v>3</v>
      </c>
      <c r="G474" s="54">
        <v>48</v>
      </c>
      <c r="H474" s="131" t="s">
        <v>956</v>
      </c>
    </row>
    <row r="475" spans="1:8">
      <c r="A475" s="62">
        <v>8317007</v>
      </c>
      <c r="B475" s="55" t="s">
        <v>957</v>
      </c>
      <c r="C475" s="58">
        <v>17751851005583</v>
      </c>
      <c r="D475" s="55" t="s">
        <v>9</v>
      </c>
      <c r="E475" s="55">
        <v>14</v>
      </c>
      <c r="F475" s="55">
        <v>6</v>
      </c>
      <c r="G475" s="55">
        <v>84</v>
      </c>
      <c r="H475" s="131" t="s">
        <v>958</v>
      </c>
    </row>
    <row r="476" spans="1:8">
      <c r="A476" s="61">
        <v>8317008</v>
      </c>
      <c r="B476" s="54" t="s">
        <v>959</v>
      </c>
      <c r="C476" s="57">
        <v>17751851005590</v>
      </c>
      <c r="D476" s="54" t="s">
        <v>9</v>
      </c>
      <c r="E476" s="54">
        <v>16</v>
      </c>
      <c r="F476" s="54">
        <v>6</v>
      </c>
      <c r="G476" s="54">
        <v>96</v>
      </c>
      <c r="H476" s="131" t="s">
        <v>960</v>
      </c>
    </row>
    <row r="477" spans="1:8">
      <c r="A477" s="62">
        <v>8317009</v>
      </c>
      <c r="B477" s="55" t="s">
        <v>961</v>
      </c>
      <c r="C477" s="58">
        <v>17751851005651</v>
      </c>
      <c r="D477" s="55" t="s">
        <v>9</v>
      </c>
      <c r="E477" s="55">
        <v>14</v>
      </c>
      <c r="F477" s="55">
        <v>6</v>
      </c>
      <c r="G477" s="55">
        <v>84</v>
      </c>
      <c r="H477" s="131" t="s">
        <v>962</v>
      </c>
    </row>
    <row r="478" spans="1:8">
      <c r="A478" s="61">
        <v>8317012</v>
      </c>
      <c r="B478" s="54" t="s">
        <v>963</v>
      </c>
      <c r="C478" s="57">
        <v>17751851011560</v>
      </c>
      <c r="D478" s="54" t="s">
        <v>9</v>
      </c>
      <c r="E478" s="54">
        <v>9</v>
      </c>
      <c r="F478" s="54">
        <v>3</v>
      </c>
      <c r="G478" s="54">
        <v>27</v>
      </c>
      <c r="H478" s="131" t="s">
        <v>964</v>
      </c>
    </row>
    <row r="479" spans="1:8">
      <c r="A479" s="62">
        <v>8317013</v>
      </c>
      <c r="B479" s="55" t="s">
        <v>965</v>
      </c>
      <c r="C479" s="58">
        <v>17751851008225</v>
      </c>
      <c r="D479" s="55" t="s">
        <v>9</v>
      </c>
      <c r="E479" s="55">
        <v>9</v>
      </c>
      <c r="F479" s="55">
        <v>3</v>
      </c>
      <c r="G479" s="55">
        <v>27</v>
      </c>
      <c r="H479" s="131" t="s">
        <v>966</v>
      </c>
    </row>
    <row r="480" spans="1:8">
      <c r="A480" s="61">
        <v>8317014</v>
      </c>
      <c r="B480" s="54" t="s">
        <v>967</v>
      </c>
      <c r="C480" s="57">
        <v>17751851000748</v>
      </c>
      <c r="D480" s="54" t="s">
        <v>9</v>
      </c>
      <c r="E480" s="54">
        <v>15</v>
      </c>
      <c r="F480" s="54">
        <v>4</v>
      </c>
      <c r="G480" s="54">
        <v>60</v>
      </c>
      <c r="H480" s="131" t="s">
        <v>968</v>
      </c>
    </row>
    <row r="481" spans="1:8">
      <c r="A481" s="62">
        <v>8317016</v>
      </c>
      <c r="B481" s="55" t="s">
        <v>969</v>
      </c>
      <c r="C481" s="58">
        <v>17751851011089</v>
      </c>
      <c r="D481" s="55" t="s">
        <v>9</v>
      </c>
      <c r="E481" s="55">
        <v>15</v>
      </c>
      <c r="F481" s="55">
        <v>4</v>
      </c>
      <c r="G481" s="55">
        <v>60</v>
      </c>
      <c r="H481" s="131" t="s">
        <v>970</v>
      </c>
    </row>
    <row r="482" spans="1:8">
      <c r="A482" s="61">
        <v>8317017</v>
      </c>
      <c r="B482" s="54" t="s">
        <v>971</v>
      </c>
      <c r="C482" s="57">
        <v>17751851008874</v>
      </c>
      <c r="D482" s="54" t="s">
        <v>9</v>
      </c>
      <c r="E482" s="54">
        <v>15</v>
      </c>
      <c r="F482" s="54">
        <v>4</v>
      </c>
      <c r="G482" s="54">
        <v>60</v>
      </c>
      <c r="H482" s="131" t="s">
        <v>972</v>
      </c>
    </row>
    <row r="483" spans="1:8">
      <c r="A483" s="62">
        <v>8317018</v>
      </c>
      <c r="B483" s="55" t="s">
        <v>973</v>
      </c>
      <c r="C483" s="58">
        <v>17751851000762</v>
      </c>
      <c r="D483" s="55" t="s">
        <v>9</v>
      </c>
      <c r="E483" s="55">
        <v>15</v>
      </c>
      <c r="F483" s="55">
        <v>4</v>
      </c>
      <c r="G483" s="55">
        <v>60</v>
      </c>
      <c r="H483" s="131" t="s">
        <v>974</v>
      </c>
    </row>
    <row r="484" spans="1:8">
      <c r="A484" s="61">
        <v>8317019</v>
      </c>
      <c r="B484" s="54" t="s">
        <v>975</v>
      </c>
      <c r="C484" s="57">
        <v>17751851000793</v>
      </c>
      <c r="D484" s="54" t="s">
        <v>9</v>
      </c>
      <c r="E484" s="54">
        <v>15</v>
      </c>
      <c r="F484" s="54">
        <v>4</v>
      </c>
      <c r="G484" s="54">
        <v>60</v>
      </c>
      <c r="H484" s="131" t="s">
        <v>976</v>
      </c>
    </row>
    <row r="485" spans="1:8">
      <c r="A485" s="62">
        <v>8317020</v>
      </c>
      <c r="B485" s="55" t="s">
        <v>977</v>
      </c>
      <c r="C485" s="58">
        <v>17751851000809</v>
      </c>
      <c r="D485" s="55" t="s">
        <v>9</v>
      </c>
      <c r="E485" s="55">
        <v>15</v>
      </c>
      <c r="F485" s="55">
        <v>4</v>
      </c>
      <c r="G485" s="55">
        <v>60</v>
      </c>
      <c r="H485" s="131" t="s">
        <v>978</v>
      </c>
    </row>
    <row r="486" spans="1:8">
      <c r="A486" s="61">
        <v>8317021</v>
      </c>
      <c r="B486" s="54" t="s">
        <v>979</v>
      </c>
      <c r="C486" s="57">
        <v>17751851000816</v>
      </c>
      <c r="D486" s="54" t="s">
        <v>9</v>
      </c>
      <c r="E486" s="54">
        <v>15</v>
      </c>
      <c r="F486" s="54">
        <v>4</v>
      </c>
      <c r="G486" s="54">
        <v>60</v>
      </c>
      <c r="H486" s="131" t="s">
        <v>980</v>
      </c>
    </row>
    <row r="487" spans="1:8">
      <c r="A487" s="62">
        <v>8317023</v>
      </c>
      <c r="B487" s="55" t="s">
        <v>981</v>
      </c>
      <c r="C487" s="58">
        <v>17751851007518</v>
      </c>
      <c r="D487" s="55" t="s">
        <v>9</v>
      </c>
      <c r="E487" s="55">
        <v>15</v>
      </c>
      <c r="F487" s="55">
        <v>4</v>
      </c>
      <c r="G487" s="55">
        <v>60</v>
      </c>
      <c r="H487" s="131" t="s">
        <v>982</v>
      </c>
    </row>
    <row r="488" spans="1:8">
      <c r="A488" s="61">
        <v>8317024</v>
      </c>
      <c r="B488" s="54" t="s">
        <v>983</v>
      </c>
      <c r="C488" s="57">
        <v>17751851007525</v>
      </c>
      <c r="D488" s="54" t="s">
        <v>9</v>
      </c>
      <c r="E488" s="54">
        <v>15</v>
      </c>
      <c r="F488" s="54">
        <v>4</v>
      </c>
      <c r="G488" s="54">
        <v>60</v>
      </c>
      <c r="H488" s="131" t="s">
        <v>984</v>
      </c>
    </row>
    <row r="489" spans="1:8">
      <c r="A489" s="62">
        <v>8317025</v>
      </c>
      <c r="B489" s="55" t="s">
        <v>985</v>
      </c>
      <c r="C489" s="58">
        <v>17751851005071</v>
      </c>
      <c r="D489" s="55" t="s">
        <v>9</v>
      </c>
      <c r="E489" s="55">
        <v>15</v>
      </c>
      <c r="F489" s="55">
        <v>4</v>
      </c>
      <c r="G489" s="55">
        <v>60</v>
      </c>
      <c r="H489" s="131" t="s">
        <v>986</v>
      </c>
    </row>
    <row r="490" spans="1:8">
      <c r="A490" s="61">
        <v>8317026</v>
      </c>
      <c r="B490" s="54" t="s">
        <v>987</v>
      </c>
      <c r="C490" s="57">
        <v>17751851005088</v>
      </c>
      <c r="D490" s="54" t="s">
        <v>9</v>
      </c>
      <c r="E490" s="54">
        <v>15</v>
      </c>
      <c r="F490" s="54">
        <v>4</v>
      </c>
      <c r="G490" s="54">
        <v>60</v>
      </c>
      <c r="H490" s="131" t="s">
        <v>988</v>
      </c>
    </row>
    <row r="491" spans="1:8">
      <c r="A491" s="62">
        <v>8317027</v>
      </c>
      <c r="B491" s="55" t="s">
        <v>989</v>
      </c>
      <c r="C491" s="58">
        <v>17751851012215</v>
      </c>
      <c r="D491" s="55" t="s">
        <v>9</v>
      </c>
      <c r="E491" s="55">
        <v>16</v>
      </c>
      <c r="F491" s="55">
        <v>3</v>
      </c>
      <c r="G491" s="55">
        <v>48</v>
      </c>
      <c r="H491" s="131" t="s">
        <v>990</v>
      </c>
    </row>
    <row r="492" spans="1:8">
      <c r="A492" s="61">
        <v>8317028</v>
      </c>
      <c r="B492" s="54" t="s">
        <v>991</v>
      </c>
      <c r="C492" s="57">
        <v>17751851012222</v>
      </c>
      <c r="D492" s="54" t="s">
        <v>9</v>
      </c>
      <c r="E492" s="54">
        <v>16</v>
      </c>
      <c r="F492" s="54">
        <v>3</v>
      </c>
      <c r="G492" s="54">
        <v>48</v>
      </c>
      <c r="H492" s="131" t="s">
        <v>992</v>
      </c>
    </row>
    <row r="493" spans="1:8">
      <c r="A493" s="62">
        <v>8317029</v>
      </c>
      <c r="B493" s="55" t="s">
        <v>993</v>
      </c>
      <c r="C493" s="58">
        <v>17751851012284</v>
      </c>
      <c r="D493" s="55" t="s">
        <v>9</v>
      </c>
      <c r="E493" s="55">
        <v>16</v>
      </c>
      <c r="F493" s="55">
        <v>3</v>
      </c>
      <c r="G493" s="55">
        <v>48</v>
      </c>
      <c r="H493" s="131" t="s">
        <v>994</v>
      </c>
    </row>
    <row r="494" spans="1:8">
      <c r="A494" s="61">
        <v>8317030</v>
      </c>
      <c r="B494" s="54" t="s">
        <v>995</v>
      </c>
      <c r="C494" s="57">
        <v>17751851008218</v>
      </c>
      <c r="D494" s="54" t="s">
        <v>9</v>
      </c>
      <c r="E494" s="54">
        <v>6</v>
      </c>
      <c r="F494" s="54">
        <v>3</v>
      </c>
      <c r="G494" s="54">
        <v>18</v>
      </c>
      <c r="H494" s="131" t="s">
        <v>996</v>
      </c>
    </row>
    <row r="495" spans="1:8">
      <c r="A495" s="62">
        <v>8317031</v>
      </c>
      <c r="B495" s="55" t="s">
        <v>997</v>
      </c>
      <c r="C495" s="58">
        <v>17751851011577</v>
      </c>
      <c r="D495" s="55" t="s">
        <v>9</v>
      </c>
      <c r="E495" s="55">
        <v>9</v>
      </c>
      <c r="F495" s="55">
        <v>3</v>
      </c>
      <c r="G495" s="55">
        <v>27</v>
      </c>
      <c r="H495" s="131" t="s">
        <v>998</v>
      </c>
    </row>
    <row r="496" spans="1:8">
      <c r="A496" s="61">
        <v>8317032</v>
      </c>
      <c r="B496" s="54" t="s">
        <v>999</v>
      </c>
      <c r="C496" s="57">
        <v>17751851014578</v>
      </c>
      <c r="D496" s="54" t="s">
        <v>9</v>
      </c>
      <c r="E496" s="54">
        <v>9</v>
      </c>
      <c r="F496" s="54">
        <v>3</v>
      </c>
      <c r="G496" s="54">
        <v>27</v>
      </c>
      <c r="H496" s="131" t="s">
        <v>1000</v>
      </c>
    </row>
    <row r="497" spans="1:8">
      <c r="A497" s="62">
        <v>8317033</v>
      </c>
      <c r="B497" s="55" t="s">
        <v>1001</v>
      </c>
      <c r="C497" s="58">
        <v>17751851014585</v>
      </c>
      <c r="D497" s="55" t="s">
        <v>9</v>
      </c>
      <c r="E497" s="55">
        <v>9</v>
      </c>
      <c r="F497" s="55">
        <v>3</v>
      </c>
      <c r="G497" s="55">
        <v>27</v>
      </c>
      <c r="H497" s="131" t="s">
        <v>1002</v>
      </c>
    </row>
    <row r="498" spans="1:8">
      <c r="A498" s="61">
        <v>8317034</v>
      </c>
      <c r="B498" s="54" t="s">
        <v>1003</v>
      </c>
      <c r="C498" s="57">
        <v>17751851014615</v>
      </c>
      <c r="D498" s="54" t="s">
        <v>9</v>
      </c>
      <c r="E498" s="54">
        <v>9</v>
      </c>
      <c r="F498" s="54">
        <v>3</v>
      </c>
      <c r="G498" s="54">
        <v>27</v>
      </c>
      <c r="H498" s="131" t="s">
        <v>1004</v>
      </c>
    </row>
    <row r="499" spans="1:8">
      <c r="A499" s="62">
        <v>8317035</v>
      </c>
      <c r="B499" s="55" t="s">
        <v>1005</v>
      </c>
      <c r="C499" s="58">
        <v>17751851014608</v>
      </c>
      <c r="D499" s="55" t="s">
        <v>9</v>
      </c>
      <c r="E499" s="55">
        <v>9</v>
      </c>
      <c r="F499" s="55">
        <v>3</v>
      </c>
      <c r="G499" s="55">
        <v>27</v>
      </c>
      <c r="H499" s="131" t="s">
        <v>1006</v>
      </c>
    </row>
    <row r="500" spans="1:8">
      <c r="A500" s="61">
        <v>8317036</v>
      </c>
      <c r="B500" s="54" t="s">
        <v>1007</v>
      </c>
      <c r="C500" s="57">
        <v>17751851014592</v>
      </c>
      <c r="D500" s="54" t="s">
        <v>9</v>
      </c>
      <c r="E500" s="54">
        <v>9</v>
      </c>
      <c r="F500" s="54">
        <v>3</v>
      </c>
      <c r="G500" s="54">
        <v>27</v>
      </c>
      <c r="H500" s="131" t="s">
        <v>1008</v>
      </c>
    </row>
    <row r="501" spans="1:8">
      <c r="A501" s="62">
        <v>8317037</v>
      </c>
      <c r="B501" s="55" t="s">
        <v>1009</v>
      </c>
      <c r="C501" s="58">
        <v>7751851029230</v>
      </c>
      <c r="D501" s="55" t="s">
        <v>100</v>
      </c>
      <c r="E501" s="55">
        <v>17</v>
      </c>
      <c r="F501" s="55">
        <v>2</v>
      </c>
      <c r="G501" s="55">
        <v>34</v>
      </c>
      <c r="H501" s="131" t="s">
        <v>1010</v>
      </c>
    </row>
    <row r="502" spans="1:8">
      <c r="A502" s="61">
        <v>8317046</v>
      </c>
      <c r="B502" s="54" t="s">
        <v>1011</v>
      </c>
      <c r="C502" s="57">
        <v>17751851033326</v>
      </c>
      <c r="D502" s="54" t="s">
        <v>9</v>
      </c>
      <c r="E502" s="54">
        <v>13</v>
      </c>
      <c r="F502" s="54">
        <v>4</v>
      </c>
      <c r="G502" s="54">
        <v>52</v>
      </c>
      <c r="H502" s="131" t="s">
        <v>1012</v>
      </c>
    </row>
    <row r="503" spans="1:8">
      <c r="A503" s="62">
        <v>8317047</v>
      </c>
      <c r="B503" s="55" t="s">
        <v>1013</v>
      </c>
      <c r="C503" s="58">
        <v>17751851033333</v>
      </c>
      <c r="D503" s="55" t="s">
        <v>9</v>
      </c>
      <c r="E503" s="55">
        <v>13</v>
      </c>
      <c r="F503" s="55">
        <v>4</v>
      </c>
      <c r="G503" s="55">
        <v>52</v>
      </c>
      <c r="H503" s="131" t="s">
        <v>1014</v>
      </c>
    </row>
    <row r="504" spans="1:8">
      <c r="A504" s="61">
        <v>8317048</v>
      </c>
      <c r="B504" s="54" t="s">
        <v>1015</v>
      </c>
      <c r="C504" s="57">
        <v>17751851033340</v>
      </c>
      <c r="D504" s="54" t="s">
        <v>9</v>
      </c>
      <c r="E504" s="54">
        <v>13</v>
      </c>
      <c r="F504" s="54">
        <v>4</v>
      </c>
      <c r="G504" s="54">
        <v>52</v>
      </c>
      <c r="H504" s="131" t="s">
        <v>1016</v>
      </c>
    </row>
    <row r="505" spans="1:8">
      <c r="A505" s="62">
        <v>8317054</v>
      </c>
      <c r="B505" s="55" t="s">
        <v>1017</v>
      </c>
      <c r="C505" s="58">
        <v>17751851020821</v>
      </c>
      <c r="D505" s="55" t="s">
        <v>9</v>
      </c>
      <c r="E505" s="55">
        <v>9</v>
      </c>
      <c r="F505" s="55">
        <v>3</v>
      </c>
      <c r="G505" s="55">
        <v>27</v>
      </c>
      <c r="H505" s="131" t="s">
        <v>1018</v>
      </c>
    </row>
    <row r="506" spans="1:8">
      <c r="A506" s="61">
        <v>8317093</v>
      </c>
      <c r="B506" s="54" t="s">
        <v>1019</v>
      </c>
      <c r="C506" s="57">
        <v>17750243060650</v>
      </c>
      <c r="D506" s="54" t="s">
        <v>9</v>
      </c>
      <c r="E506" s="54">
        <v>16</v>
      </c>
      <c r="F506" s="54">
        <v>3</v>
      </c>
      <c r="G506" s="54">
        <v>48</v>
      </c>
      <c r="H506" s="131" t="s">
        <v>1020</v>
      </c>
    </row>
    <row r="507" spans="1:8">
      <c r="A507" s="62">
        <v>8317095</v>
      </c>
      <c r="B507" s="55" t="s">
        <v>1021</v>
      </c>
      <c r="C507" s="58">
        <v>17750243060667</v>
      </c>
      <c r="D507" s="55" t="s">
        <v>9</v>
      </c>
      <c r="E507" s="55">
        <v>9</v>
      </c>
      <c r="F507" s="55">
        <v>3</v>
      </c>
      <c r="G507" s="55">
        <v>27</v>
      </c>
      <c r="H507" s="131" t="s">
        <v>1022</v>
      </c>
    </row>
    <row r="508" spans="1:8">
      <c r="A508" s="61">
        <v>8317103</v>
      </c>
      <c r="B508" s="54" t="s">
        <v>1023</v>
      </c>
      <c r="C508" s="57">
        <v>17750243081174</v>
      </c>
      <c r="D508" s="54" t="s">
        <v>9</v>
      </c>
      <c r="E508" s="54">
        <v>15</v>
      </c>
      <c r="F508" s="54">
        <v>4</v>
      </c>
      <c r="G508" s="54">
        <v>60</v>
      </c>
      <c r="H508" s="131" t="s">
        <v>1024</v>
      </c>
    </row>
    <row r="509" spans="1:8">
      <c r="A509" s="62">
        <v>8317104</v>
      </c>
      <c r="B509" s="55" t="s">
        <v>1025</v>
      </c>
      <c r="C509" s="58">
        <v>17750243081181</v>
      </c>
      <c r="D509" s="55" t="s">
        <v>9</v>
      </c>
      <c r="E509" s="55">
        <v>15</v>
      </c>
      <c r="F509" s="55">
        <v>4</v>
      </c>
      <c r="G509" s="55">
        <v>60</v>
      </c>
      <c r="H509" s="131" t="s">
        <v>1026</v>
      </c>
    </row>
    <row r="510" spans="1:8">
      <c r="A510" s="61">
        <v>8317105</v>
      </c>
      <c r="B510" s="54" t="s">
        <v>1027</v>
      </c>
      <c r="C510" s="57">
        <v>17750243064474</v>
      </c>
      <c r="D510" s="54" t="s">
        <v>9</v>
      </c>
      <c r="E510" s="54">
        <v>15</v>
      </c>
      <c r="F510" s="54">
        <v>4</v>
      </c>
      <c r="G510" s="54">
        <v>60</v>
      </c>
      <c r="H510" s="131" t="s">
        <v>1028</v>
      </c>
    </row>
    <row r="511" spans="1:8">
      <c r="A511" s="62">
        <v>8317106</v>
      </c>
      <c r="B511" s="55" t="s">
        <v>1029</v>
      </c>
      <c r="C511" s="58">
        <v>17750243064481</v>
      </c>
      <c r="D511" s="55" t="s">
        <v>9</v>
      </c>
      <c r="E511" s="55">
        <v>15</v>
      </c>
      <c r="F511" s="55">
        <v>4</v>
      </c>
      <c r="G511" s="55">
        <v>60</v>
      </c>
      <c r="H511" s="131" t="s">
        <v>1030</v>
      </c>
    </row>
    <row r="512" spans="1:8">
      <c r="A512" s="61">
        <v>8317107</v>
      </c>
      <c r="B512" s="54" t="s">
        <v>1031</v>
      </c>
      <c r="C512" s="57">
        <v>17750243064498</v>
      </c>
      <c r="D512" s="54" t="s">
        <v>9</v>
      </c>
      <c r="E512" s="54">
        <v>15</v>
      </c>
      <c r="F512" s="54">
        <v>4</v>
      </c>
      <c r="G512" s="54">
        <v>60</v>
      </c>
      <c r="H512" s="131" t="s">
        <v>1032</v>
      </c>
    </row>
    <row r="513" spans="1:8">
      <c r="A513" s="62">
        <v>8317108</v>
      </c>
      <c r="B513" s="55" t="s">
        <v>1033</v>
      </c>
      <c r="C513" s="58">
        <v>17750243064504</v>
      </c>
      <c r="D513" s="55" t="s">
        <v>9</v>
      </c>
      <c r="E513" s="55">
        <v>15</v>
      </c>
      <c r="F513" s="55">
        <v>4</v>
      </c>
      <c r="G513" s="55">
        <v>60</v>
      </c>
      <c r="H513" s="131" t="s">
        <v>1034</v>
      </c>
    </row>
    <row r="514" spans="1:8">
      <c r="A514" s="61">
        <v>8317109</v>
      </c>
      <c r="B514" s="54" t="s">
        <v>1035</v>
      </c>
      <c r="C514" s="57">
        <v>17750243064511</v>
      </c>
      <c r="D514" s="54" t="s">
        <v>9</v>
      </c>
      <c r="E514" s="54">
        <v>15</v>
      </c>
      <c r="F514" s="54">
        <v>4</v>
      </c>
      <c r="G514" s="54">
        <v>60</v>
      </c>
      <c r="H514" s="131" t="s">
        <v>1036</v>
      </c>
    </row>
    <row r="515" spans="1:8">
      <c r="A515" s="62">
        <v>8317110</v>
      </c>
      <c r="B515" s="55" t="s">
        <v>1037</v>
      </c>
      <c r="C515" s="58">
        <v>17750243064528</v>
      </c>
      <c r="D515" s="55" t="s">
        <v>9</v>
      </c>
      <c r="E515" s="55">
        <v>15</v>
      </c>
      <c r="F515" s="55">
        <v>4</v>
      </c>
      <c r="G515" s="55">
        <v>60</v>
      </c>
      <c r="H515" s="131" t="s">
        <v>1038</v>
      </c>
    </row>
    <row r="516" spans="1:8">
      <c r="A516" s="61">
        <v>8317112</v>
      </c>
      <c r="B516" s="54" t="s">
        <v>1039</v>
      </c>
      <c r="C516" s="57">
        <v>17750243064542</v>
      </c>
      <c r="D516" s="54" t="s">
        <v>9</v>
      </c>
      <c r="E516" s="54">
        <v>15</v>
      </c>
      <c r="F516" s="54">
        <v>4</v>
      </c>
      <c r="G516" s="54">
        <v>60</v>
      </c>
      <c r="H516" s="131" t="s">
        <v>1040</v>
      </c>
    </row>
    <row r="517" spans="1:8">
      <c r="A517" s="62">
        <v>8317113</v>
      </c>
      <c r="B517" s="55" t="s">
        <v>1041</v>
      </c>
      <c r="C517" s="58">
        <v>17750243081198</v>
      </c>
      <c r="D517" s="55" t="s">
        <v>9</v>
      </c>
      <c r="E517" s="55">
        <v>15</v>
      </c>
      <c r="F517" s="55">
        <v>4</v>
      </c>
      <c r="G517" s="55">
        <v>60</v>
      </c>
      <c r="H517" s="131" t="s">
        <v>1042</v>
      </c>
    </row>
    <row r="518" spans="1:8">
      <c r="A518" s="61">
        <v>8317118</v>
      </c>
      <c r="B518" s="54" t="s">
        <v>1043</v>
      </c>
      <c r="C518" s="57">
        <v>17750243064603</v>
      </c>
      <c r="D518" s="54" t="s">
        <v>9</v>
      </c>
      <c r="E518" s="54">
        <v>16</v>
      </c>
      <c r="F518" s="54">
        <v>3</v>
      </c>
      <c r="G518" s="54">
        <v>48</v>
      </c>
      <c r="H518" s="131" t="s">
        <v>1044</v>
      </c>
    </row>
    <row r="519" spans="1:8">
      <c r="A519" s="62">
        <v>8317120</v>
      </c>
      <c r="B519" s="55" t="s">
        <v>1045</v>
      </c>
      <c r="C519" s="58">
        <v>17750243064627</v>
      </c>
      <c r="D519" s="55" t="s">
        <v>9</v>
      </c>
      <c r="E519" s="55">
        <v>16</v>
      </c>
      <c r="F519" s="55">
        <v>3</v>
      </c>
      <c r="G519" s="55">
        <v>48</v>
      </c>
      <c r="H519" s="131" t="s">
        <v>1046</v>
      </c>
    </row>
    <row r="520" spans="1:8">
      <c r="A520" s="61">
        <v>8317121</v>
      </c>
      <c r="B520" s="54" t="s">
        <v>1047</v>
      </c>
      <c r="C520" s="57">
        <v>17750243064634</v>
      </c>
      <c r="D520" s="54" t="s">
        <v>9</v>
      </c>
      <c r="E520" s="54">
        <v>16</v>
      </c>
      <c r="F520" s="54">
        <v>3</v>
      </c>
      <c r="G520" s="54">
        <v>48</v>
      </c>
      <c r="H520" s="131" t="s">
        <v>1048</v>
      </c>
    </row>
    <row r="521" spans="1:8">
      <c r="A521" s="62">
        <v>8317122</v>
      </c>
      <c r="B521" s="55" t="s">
        <v>1049</v>
      </c>
      <c r="C521" s="58">
        <v>17750243064641</v>
      </c>
      <c r="D521" s="55" t="s">
        <v>9</v>
      </c>
      <c r="E521" s="55">
        <v>16</v>
      </c>
      <c r="F521" s="55">
        <v>3</v>
      </c>
      <c r="G521" s="55">
        <v>48</v>
      </c>
      <c r="H521" s="131" t="s">
        <v>1050</v>
      </c>
    </row>
    <row r="522" spans="1:8">
      <c r="A522" s="61">
        <v>8317129</v>
      </c>
      <c r="B522" s="54" t="s">
        <v>1051</v>
      </c>
      <c r="C522" s="57">
        <v>17750243064719</v>
      </c>
      <c r="D522" s="54" t="s">
        <v>9</v>
      </c>
      <c r="E522" s="54">
        <v>9</v>
      </c>
      <c r="F522" s="54">
        <v>3</v>
      </c>
      <c r="G522" s="54">
        <v>27</v>
      </c>
      <c r="H522" s="131" t="s">
        <v>1052</v>
      </c>
    </row>
    <row r="523" spans="1:8">
      <c r="A523" s="62">
        <v>8317130</v>
      </c>
      <c r="B523" s="55" t="s">
        <v>1053</v>
      </c>
      <c r="C523" s="58">
        <v>17750243064726</v>
      </c>
      <c r="D523" s="55" t="s">
        <v>9</v>
      </c>
      <c r="E523" s="55">
        <v>9</v>
      </c>
      <c r="F523" s="55">
        <v>3</v>
      </c>
      <c r="G523" s="55">
        <v>27</v>
      </c>
      <c r="H523" s="131" t="s">
        <v>1054</v>
      </c>
    </row>
    <row r="524" spans="1:8">
      <c r="A524" s="61">
        <v>8317131</v>
      </c>
      <c r="B524" s="54" t="s">
        <v>1055</v>
      </c>
      <c r="C524" s="57">
        <v>17750243064733</v>
      </c>
      <c r="D524" s="54" t="s">
        <v>9</v>
      </c>
      <c r="E524" s="54">
        <v>9</v>
      </c>
      <c r="F524" s="54">
        <v>3</v>
      </c>
      <c r="G524" s="54">
        <v>27</v>
      </c>
      <c r="H524" s="133" t="s">
        <v>1056</v>
      </c>
    </row>
    <row r="525" spans="1:8">
      <c r="A525" s="62">
        <v>8317132</v>
      </c>
      <c r="B525" s="55" t="s">
        <v>1057</v>
      </c>
      <c r="C525" s="58">
        <v>17750243064740</v>
      </c>
      <c r="D525" s="55" t="s">
        <v>9</v>
      </c>
      <c r="E525" s="55">
        <v>9</v>
      </c>
      <c r="F525" s="55">
        <v>3</v>
      </c>
      <c r="G525" s="55">
        <v>27</v>
      </c>
      <c r="H525" s="131" t="s">
        <v>1058</v>
      </c>
    </row>
    <row r="526" spans="1:8">
      <c r="A526" s="61">
        <v>8317145</v>
      </c>
      <c r="B526" s="54" t="s">
        <v>1059</v>
      </c>
      <c r="C526" s="57">
        <v>17750243069165</v>
      </c>
      <c r="D526" s="54" t="s">
        <v>9</v>
      </c>
      <c r="E526" s="54">
        <v>13</v>
      </c>
      <c r="F526" s="54">
        <v>4</v>
      </c>
      <c r="G526" s="54">
        <v>52</v>
      </c>
      <c r="H526" s="131" t="s">
        <v>1060</v>
      </c>
    </row>
    <row r="527" spans="1:8">
      <c r="A527" s="62">
        <v>8317147</v>
      </c>
      <c r="B527" s="55" t="s">
        <v>1061</v>
      </c>
      <c r="C527" s="58">
        <v>17750243066706</v>
      </c>
      <c r="D527" s="55" t="s">
        <v>9</v>
      </c>
      <c r="E527" s="55">
        <v>13</v>
      </c>
      <c r="F527" s="55">
        <v>4</v>
      </c>
      <c r="G527" s="55">
        <v>52</v>
      </c>
      <c r="H527" s="131" t="s">
        <v>1062</v>
      </c>
    </row>
    <row r="528" spans="1:8">
      <c r="A528" s="61">
        <v>8317148</v>
      </c>
      <c r="B528" s="54" t="s">
        <v>1063</v>
      </c>
      <c r="C528" s="57">
        <v>17750243066713</v>
      </c>
      <c r="D528" s="54" t="s">
        <v>9</v>
      </c>
      <c r="E528" s="54">
        <v>13</v>
      </c>
      <c r="F528" s="54">
        <v>4</v>
      </c>
      <c r="G528" s="54">
        <v>52</v>
      </c>
      <c r="H528" s="131" t="s">
        <v>1064</v>
      </c>
    </row>
    <row r="529" spans="1:8">
      <c r="A529" s="62">
        <v>8317150</v>
      </c>
      <c r="B529" s="55" t="s">
        <v>1065</v>
      </c>
      <c r="C529" s="58">
        <v>17750243066737</v>
      </c>
      <c r="D529" s="55" t="s">
        <v>9</v>
      </c>
      <c r="E529" s="55">
        <v>15</v>
      </c>
      <c r="F529" s="55">
        <v>4</v>
      </c>
      <c r="G529" s="55">
        <v>60</v>
      </c>
      <c r="H529" s="131" t="s">
        <v>1066</v>
      </c>
    </row>
    <row r="530" spans="1:8">
      <c r="A530" s="61">
        <v>8317151</v>
      </c>
      <c r="B530" s="54" t="s">
        <v>1067</v>
      </c>
      <c r="C530" s="57">
        <v>17750243066744</v>
      </c>
      <c r="D530" s="54" t="s">
        <v>9</v>
      </c>
      <c r="E530" s="54">
        <v>15</v>
      </c>
      <c r="F530" s="54">
        <v>4</v>
      </c>
      <c r="G530" s="54">
        <v>60</v>
      </c>
      <c r="H530" s="131" t="s">
        <v>1068</v>
      </c>
    </row>
    <row r="531" spans="1:8">
      <c r="A531" s="62">
        <v>8317154</v>
      </c>
      <c r="B531" s="55" t="s">
        <v>1069</v>
      </c>
      <c r="C531" s="58">
        <v>17750243066775</v>
      </c>
      <c r="D531" s="55" t="s">
        <v>9</v>
      </c>
      <c r="E531" s="55">
        <v>16</v>
      </c>
      <c r="F531" s="55">
        <v>3</v>
      </c>
      <c r="G531" s="55">
        <v>48</v>
      </c>
      <c r="H531" s="131" t="s">
        <v>1070</v>
      </c>
    </row>
    <row r="532" spans="1:8">
      <c r="A532" s="61">
        <v>8317159</v>
      </c>
      <c r="B532" s="54" t="s">
        <v>1071</v>
      </c>
      <c r="C532" s="57">
        <v>17750243066829</v>
      </c>
      <c r="D532" s="54" t="s">
        <v>9</v>
      </c>
      <c r="E532" s="54">
        <v>9</v>
      </c>
      <c r="F532" s="54">
        <v>3</v>
      </c>
      <c r="G532" s="54">
        <v>27</v>
      </c>
      <c r="H532" s="131" t="s">
        <v>1072</v>
      </c>
    </row>
    <row r="533" spans="1:8">
      <c r="A533" s="62">
        <v>8317160</v>
      </c>
      <c r="B533" s="55" t="s">
        <v>1073</v>
      </c>
      <c r="C533" s="58">
        <v>17750243066836</v>
      </c>
      <c r="D533" s="55" t="s">
        <v>9</v>
      </c>
      <c r="E533" s="55">
        <v>9</v>
      </c>
      <c r="F533" s="55">
        <v>3</v>
      </c>
      <c r="G533" s="55">
        <v>27</v>
      </c>
      <c r="H533" s="131" t="s">
        <v>1074</v>
      </c>
    </row>
    <row r="534" spans="1:8">
      <c r="A534" s="61">
        <v>8317166</v>
      </c>
      <c r="B534" s="54" t="s">
        <v>1075</v>
      </c>
      <c r="C534" s="57">
        <v>17750243077184</v>
      </c>
      <c r="D534" s="54" t="s">
        <v>9</v>
      </c>
      <c r="E534" s="54">
        <v>9</v>
      </c>
      <c r="F534" s="54">
        <v>3</v>
      </c>
      <c r="G534" s="54">
        <v>27</v>
      </c>
      <c r="H534" s="131" t="s">
        <v>1076</v>
      </c>
    </row>
    <row r="535" spans="1:8">
      <c r="A535" s="62">
        <v>8317167</v>
      </c>
      <c r="B535" s="55" t="s">
        <v>1077</v>
      </c>
      <c r="C535" s="58">
        <v>17750243077191</v>
      </c>
      <c r="D535" s="55" t="s">
        <v>9</v>
      </c>
      <c r="E535" s="55">
        <v>9</v>
      </c>
      <c r="F535" s="55">
        <v>3</v>
      </c>
      <c r="G535" s="55">
        <v>27</v>
      </c>
      <c r="H535" s="131" t="s">
        <v>1078</v>
      </c>
    </row>
    <row r="536" spans="1:8">
      <c r="A536" s="61">
        <v>8317168</v>
      </c>
      <c r="B536" s="54" t="s">
        <v>1079</v>
      </c>
      <c r="C536" s="57">
        <v>17750243077207</v>
      </c>
      <c r="D536" s="54" t="s">
        <v>9</v>
      </c>
      <c r="E536" s="54">
        <v>9</v>
      </c>
      <c r="F536" s="54">
        <v>3</v>
      </c>
      <c r="G536" s="54">
        <v>27</v>
      </c>
      <c r="H536" s="131" t="s">
        <v>1080</v>
      </c>
    </row>
    <row r="537" spans="1:8">
      <c r="A537" s="62">
        <v>8317169</v>
      </c>
      <c r="B537" s="55" t="s">
        <v>1081</v>
      </c>
      <c r="C537" s="58">
        <v>17750243077214</v>
      </c>
      <c r="D537" s="55" t="s">
        <v>9</v>
      </c>
      <c r="E537" s="55">
        <v>9</v>
      </c>
      <c r="F537" s="55">
        <v>3</v>
      </c>
      <c r="G537" s="55">
        <v>27</v>
      </c>
      <c r="H537" s="131" t="s">
        <v>1082</v>
      </c>
    </row>
    <row r="538" spans="1:8">
      <c r="A538" s="61">
        <v>8317170</v>
      </c>
      <c r="B538" s="54" t="s">
        <v>1083</v>
      </c>
      <c r="C538" s="57">
        <v>17750243077320</v>
      </c>
      <c r="D538" s="54" t="s">
        <v>9</v>
      </c>
      <c r="E538" s="54">
        <v>9</v>
      </c>
      <c r="F538" s="54">
        <v>3</v>
      </c>
      <c r="G538" s="54">
        <v>27</v>
      </c>
      <c r="H538" s="131" t="s">
        <v>1084</v>
      </c>
    </row>
    <row r="539" spans="1:8">
      <c r="A539" s="62">
        <v>8317171</v>
      </c>
      <c r="B539" s="55" t="s">
        <v>1085</v>
      </c>
      <c r="C539" s="58">
        <v>17750243077337</v>
      </c>
      <c r="D539" s="55" t="s">
        <v>9</v>
      </c>
      <c r="E539" s="55">
        <v>9</v>
      </c>
      <c r="F539" s="55">
        <v>3</v>
      </c>
      <c r="G539" s="55">
        <v>27</v>
      </c>
      <c r="H539" s="131" t="s">
        <v>1086</v>
      </c>
    </row>
    <row r="540" spans="1:8">
      <c r="A540" s="61">
        <v>8317172</v>
      </c>
      <c r="B540" s="54" t="s">
        <v>1087</v>
      </c>
      <c r="C540" s="57">
        <v>17750243077344</v>
      </c>
      <c r="D540" s="54" t="s">
        <v>9</v>
      </c>
      <c r="E540" s="54">
        <v>9</v>
      </c>
      <c r="F540" s="54">
        <v>3</v>
      </c>
      <c r="G540" s="54">
        <v>27</v>
      </c>
      <c r="H540" s="131" t="s">
        <v>1088</v>
      </c>
    </row>
    <row r="541" spans="1:8">
      <c r="A541" s="62">
        <v>8317173</v>
      </c>
      <c r="B541" s="55" t="s">
        <v>1089</v>
      </c>
      <c r="C541" s="58">
        <v>17750243077351</v>
      </c>
      <c r="D541" s="55" t="s">
        <v>9</v>
      </c>
      <c r="E541" s="55">
        <v>9</v>
      </c>
      <c r="F541" s="55">
        <v>3</v>
      </c>
      <c r="G541" s="55">
        <v>27</v>
      </c>
      <c r="H541" s="131" t="s">
        <v>1090</v>
      </c>
    </row>
    <row r="542" spans="1:8">
      <c r="A542" s="61">
        <v>8317178</v>
      </c>
      <c r="B542" s="54" t="s">
        <v>1091</v>
      </c>
      <c r="C542" s="57">
        <v>17750243077405</v>
      </c>
      <c r="D542" s="54" t="s">
        <v>9</v>
      </c>
      <c r="E542" s="54">
        <v>9</v>
      </c>
      <c r="F542" s="54">
        <v>3</v>
      </c>
      <c r="G542" s="54">
        <v>27</v>
      </c>
      <c r="H542" s="131" t="s">
        <v>1092</v>
      </c>
    </row>
    <row r="543" spans="1:8">
      <c r="A543" s="62">
        <v>8317179</v>
      </c>
      <c r="B543" s="55" t="s">
        <v>1093</v>
      </c>
      <c r="C543" s="58">
        <v>17750243077412</v>
      </c>
      <c r="D543" s="55" t="s">
        <v>9</v>
      </c>
      <c r="E543" s="55">
        <v>9</v>
      </c>
      <c r="F543" s="55">
        <v>3</v>
      </c>
      <c r="G543" s="55">
        <v>27</v>
      </c>
      <c r="H543" s="131" t="s">
        <v>1094</v>
      </c>
    </row>
    <row r="544" spans="1:8">
      <c r="A544" s="61">
        <v>8317182</v>
      </c>
      <c r="B544" s="54" t="s">
        <v>1095</v>
      </c>
      <c r="C544" s="57">
        <v>17750243078310</v>
      </c>
      <c r="D544" s="54" t="s">
        <v>9</v>
      </c>
      <c r="E544" s="54">
        <v>9</v>
      </c>
      <c r="F544" s="54">
        <v>3</v>
      </c>
      <c r="G544" s="54">
        <v>27</v>
      </c>
      <c r="H544" s="131" t="s">
        <v>1096</v>
      </c>
    </row>
    <row r="545" spans="1:8">
      <c r="A545" s="62">
        <v>8317184</v>
      </c>
      <c r="B545" s="55" t="s">
        <v>1097</v>
      </c>
      <c r="C545" s="58">
        <v>17750243078426</v>
      </c>
      <c r="D545" s="55" t="s">
        <v>9</v>
      </c>
      <c r="E545" s="55">
        <v>9</v>
      </c>
      <c r="F545" s="55">
        <v>3</v>
      </c>
      <c r="G545" s="55">
        <v>27</v>
      </c>
      <c r="H545" s="131" t="s">
        <v>1098</v>
      </c>
    </row>
    <row r="546" spans="1:8">
      <c r="A546" s="61">
        <v>8317185</v>
      </c>
      <c r="B546" s="54" t="s">
        <v>1099</v>
      </c>
      <c r="C546" s="57">
        <v>17750243078433</v>
      </c>
      <c r="D546" s="54" t="s">
        <v>9</v>
      </c>
      <c r="E546" s="54">
        <v>9</v>
      </c>
      <c r="F546" s="54">
        <v>3</v>
      </c>
      <c r="G546" s="54">
        <v>27</v>
      </c>
      <c r="H546" s="131" t="s">
        <v>1100</v>
      </c>
    </row>
    <row r="547" spans="1:8">
      <c r="A547" s="62">
        <v>8317186</v>
      </c>
      <c r="B547" s="55" t="s">
        <v>1101</v>
      </c>
      <c r="C547" s="58">
        <v>17750243078440</v>
      </c>
      <c r="D547" s="55" t="s">
        <v>9</v>
      </c>
      <c r="E547" s="55">
        <v>9</v>
      </c>
      <c r="F547" s="55">
        <v>3</v>
      </c>
      <c r="G547" s="55">
        <v>27</v>
      </c>
      <c r="H547" s="131" t="s">
        <v>1102</v>
      </c>
    </row>
    <row r="548" spans="1:8">
      <c r="A548" s="61">
        <v>8317187</v>
      </c>
      <c r="B548" s="54" t="s">
        <v>1103</v>
      </c>
      <c r="C548" s="57">
        <v>17750243078457</v>
      </c>
      <c r="D548" s="54" t="s">
        <v>9</v>
      </c>
      <c r="E548" s="54">
        <v>9</v>
      </c>
      <c r="F548" s="54">
        <v>3</v>
      </c>
      <c r="G548" s="54">
        <v>27</v>
      </c>
      <c r="H548" s="131" t="s">
        <v>1104</v>
      </c>
    </row>
    <row r="549" spans="1:8">
      <c r="A549" s="62">
        <v>8317188</v>
      </c>
      <c r="B549" s="55" t="s">
        <v>1105</v>
      </c>
      <c r="C549" s="58">
        <v>17750243079553</v>
      </c>
      <c r="D549" s="55" t="s">
        <v>9</v>
      </c>
      <c r="E549" s="55">
        <v>9</v>
      </c>
      <c r="F549" s="55">
        <v>3</v>
      </c>
      <c r="G549" s="55">
        <v>27</v>
      </c>
      <c r="H549" s="133" t="s">
        <v>1106</v>
      </c>
    </row>
    <row r="550" spans="1:8">
      <c r="A550" s="61">
        <v>8317189</v>
      </c>
      <c r="B550" s="54" t="s">
        <v>1107</v>
      </c>
      <c r="C550" s="57">
        <v>17750243079560</v>
      </c>
      <c r="D550" s="54" t="s">
        <v>9</v>
      </c>
      <c r="E550" s="54">
        <v>9</v>
      </c>
      <c r="F550" s="54">
        <v>3</v>
      </c>
      <c r="G550" s="54">
        <v>27</v>
      </c>
      <c r="H550" s="131" t="s">
        <v>1108</v>
      </c>
    </row>
    <row r="551" spans="1:8">
      <c r="A551" s="62">
        <v>8317190</v>
      </c>
      <c r="B551" s="55" t="s">
        <v>1109</v>
      </c>
      <c r="C551" s="58">
        <v>17750243079577</v>
      </c>
      <c r="D551" s="55" t="s">
        <v>9</v>
      </c>
      <c r="E551" s="55">
        <v>9</v>
      </c>
      <c r="F551" s="55">
        <v>3</v>
      </c>
      <c r="G551" s="55">
        <v>27</v>
      </c>
      <c r="H551" s="131" t="s">
        <v>1110</v>
      </c>
    </row>
    <row r="552" spans="1:8">
      <c r="A552" s="61">
        <v>8317191</v>
      </c>
      <c r="B552" s="54" t="s">
        <v>1111</v>
      </c>
      <c r="C552" s="57">
        <v>17750243079584</v>
      </c>
      <c r="D552" s="54" t="s">
        <v>9</v>
      </c>
      <c r="E552" s="54">
        <v>9</v>
      </c>
      <c r="F552" s="54">
        <v>3</v>
      </c>
      <c r="G552" s="54">
        <v>27</v>
      </c>
      <c r="H552" s="131" t="s">
        <v>1112</v>
      </c>
    </row>
    <row r="553" spans="1:8">
      <c r="A553" s="62">
        <v>8317193</v>
      </c>
      <c r="B553" s="55" t="s">
        <v>1113</v>
      </c>
      <c r="C553" s="58">
        <v>37751851086135</v>
      </c>
      <c r="D553" s="55" t="s">
        <v>9</v>
      </c>
      <c r="E553" s="55">
        <v>20</v>
      </c>
      <c r="F553" s="55">
        <v>4</v>
      </c>
      <c r="G553" s="55">
        <v>80</v>
      </c>
      <c r="H553" s="131" t="s">
        <v>1114</v>
      </c>
    </row>
    <row r="554" spans="1:8">
      <c r="A554" s="61">
        <v>8317194</v>
      </c>
      <c r="B554" s="54" t="s">
        <v>1115</v>
      </c>
      <c r="C554" s="57">
        <v>37751851107540</v>
      </c>
      <c r="D554" s="54" t="s">
        <v>288</v>
      </c>
      <c r="E554" s="54">
        <v>17</v>
      </c>
      <c r="F554" s="54">
        <v>5</v>
      </c>
      <c r="G554" s="54">
        <v>85</v>
      </c>
      <c r="H554" s="131" t="s">
        <v>1116</v>
      </c>
    </row>
    <row r="555" spans="1:8">
      <c r="A555" s="62">
        <v>8317198</v>
      </c>
      <c r="B555" s="55" t="s">
        <v>1117</v>
      </c>
      <c r="C555" s="58">
        <v>37751851000759</v>
      </c>
      <c r="D555" s="55" t="s">
        <v>9</v>
      </c>
      <c r="E555" s="55">
        <v>15</v>
      </c>
      <c r="F555" s="55">
        <v>4</v>
      </c>
      <c r="G555" s="55">
        <v>60</v>
      </c>
      <c r="H555" s="131" t="s">
        <v>1118</v>
      </c>
    </row>
    <row r="556" spans="1:8">
      <c r="A556" s="61">
        <v>8317199</v>
      </c>
      <c r="B556" s="54" t="s">
        <v>1119</v>
      </c>
      <c r="C556" s="57">
        <v>37751851000742</v>
      </c>
      <c r="D556" s="54" t="s">
        <v>9</v>
      </c>
      <c r="E556" s="54">
        <v>15</v>
      </c>
      <c r="F556" s="54">
        <v>4</v>
      </c>
      <c r="G556" s="54">
        <v>60</v>
      </c>
      <c r="H556" s="131" t="s">
        <v>1120</v>
      </c>
    </row>
    <row r="557" spans="1:8">
      <c r="A557" s="62">
        <v>8317200</v>
      </c>
      <c r="B557" s="55" t="s">
        <v>1121</v>
      </c>
      <c r="C557" s="58">
        <v>27751851012212</v>
      </c>
      <c r="D557" s="55" t="s">
        <v>9</v>
      </c>
      <c r="E557" s="55">
        <v>16</v>
      </c>
      <c r="F557" s="55">
        <v>3</v>
      </c>
      <c r="G557" s="55">
        <v>48</v>
      </c>
      <c r="H557" s="131" t="s">
        <v>1122</v>
      </c>
    </row>
    <row r="558" spans="1:8">
      <c r="A558" s="61">
        <v>8317201</v>
      </c>
      <c r="B558" s="54" t="s">
        <v>1123</v>
      </c>
      <c r="C558" s="57">
        <v>27751851012229</v>
      </c>
      <c r="D558" s="54" t="s">
        <v>9</v>
      </c>
      <c r="E558" s="54">
        <v>16</v>
      </c>
      <c r="F558" s="54">
        <v>3</v>
      </c>
      <c r="G558" s="54">
        <v>48</v>
      </c>
      <c r="H558" s="131" t="s">
        <v>1124</v>
      </c>
    </row>
    <row r="559" spans="1:8">
      <c r="A559" s="62">
        <v>8317202</v>
      </c>
      <c r="B559" s="55" t="s">
        <v>1125</v>
      </c>
      <c r="C559" s="58">
        <v>27750243066734</v>
      </c>
      <c r="D559" s="55" t="s">
        <v>9</v>
      </c>
      <c r="E559" s="55">
        <v>15</v>
      </c>
      <c r="F559" s="55">
        <v>4</v>
      </c>
      <c r="G559" s="55">
        <v>60</v>
      </c>
      <c r="H559" s="131" t="s">
        <v>1126</v>
      </c>
    </row>
    <row r="560" spans="1:8">
      <c r="A560" s="61">
        <v>8317203</v>
      </c>
      <c r="B560" s="54" t="s">
        <v>1127</v>
      </c>
      <c r="C560" s="57">
        <v>27750243066741</v>
      </c>
      <c r="D560" s="54" t="s">
        <v>9</v>
      </c>
      <c r="E560" s="54">
        <v>15</v>
      </c>
      <c r="F560" s="54">
        <v>4</v>
      </c>
      <c r="G560" s="54">
        <v>60</v>
      </c>
      <c r="H560" s="131" t="s">
        <v>1128</v>
      </c>
    </row>
    <row r="561" spans="1:8">
      <c r="A561" s="62">
        <v>8317204</v>
      </c>
      <c r="B561" s="55" t="s">
        <v>1129</v>
      </c>
      <c r="C561" s="58">
        <v>27750243077327</v>
      </c>
      <c r="D561" s="55" t="s">
        <v>9</v>
      </c>
      <c r="E561" s="55">
        <v>9</v>
      </c>
      <c r="F561" s="55">
        <v>3</v>
      </c>
      <c r="G561" s="55">
        <v>27</v>
      </c>
      <c r="H561" s="131" t="s">
        <v>1130</v>
      </c>
    </row>
    <row r="562" spans="1:8">
      <c r="A562" s="61">
        <v>8317205</v>
      </c>
      <c r="B562" s="54" t="s">
        <v>1131</v>
      </c>
      <c r="C562" s="57">
        <v>27750243077334</v>
      </c>
      <c r="D562" s="54" t="s">
        <v>9</v>
      </c>
      <c r="E562" s="54">
        <v>9</v>
      </c>
      <c r="F562" s="54">
        <v>3</v>
      </c>
      <c r="G562" s="54">
        <v>27</v>
      </c>
      <c r="H562" s="131" t="s">
        <v>1132</v>
      </c>
    </row>
    <row r="563" spans="1:8">
      <c r="A563" s="62">
        <v>8317206</v>
      </c>
      <c r="B563" s="55" t="s">
        <v>1133</v>
      </c>
      <c r="C563" s="58">
        <v>27750243077358</v>
      </c>
      <c r="D563" s="55" t="s">
        <v>9</v>
      </c>
      <c r="E563" s="55">
        <v>9</v>
      </c>
      <c r="F563" s="55">
        <v>3</v>
      </c>
      <c r="G563" s="55">
        <v>27</v>
      </c>
      <c r="H563" s="131" t="s">
        <v>1134</v>
      </c>
    </row>
    <row r="564" spans="1:8">
      <c r="A564" s="61">
        <v>8317208</v>
      </c>
      <c r="B564" s="54" t="s">
        <v>1135</v>
      </c>
      <c r="C564" s="57">
        <v>27750243077419</v>
      </c>
      <c r="D564" s="54" t="s">
        <v>9</v>
      </c>
      <c r="E564" s="54">
        <v>9</v>
      </c>
      <c r="F564" s="54">
        <v>3</v>
      </c>
      <c r="G564" s="54">
        <v>27</v>
      </c>
      <c r="H564" s="131" t="s">
        <v>1136</v>
      </c>
    </row>
    <row r="565" spans="1:8">
      <c r="A565" s="62">
        <v>8317209</v>
      </c>
      <c r="B565" s="55" t="s">
        <v>1137</v>
      </c>
      <c r="C565" s="58">
        <v>27750243077341</v>
      </c>
      <c r="D565" s="55" t="s">
        <v>9</v>
      </c>
      <c r="E565" s="55">
        <v>9</v>
      </c>
      <c r="F565" s="55">
        <v>3</v>
      </c>
      <c r="G565" s="55">
        <v>27</v>
      </c>
      <c r="H565" s="131" t="s">
        <v>1138</v>
      </c>
    </row>
    <row r="566" spans="1:8">
      <c r="A566" s="61">
        <v>8317210</v>
      </c>
      <c r="B566" s="54" t="s">
        <v>1139</v>
      </c>
      <c r="C566" s="57">
        <v>17750243083314</v>
      </c>
      <c r="D566" s="54" t="s">
        <v>9</v>
      </c>
      <c r="E566" s="54">
        <v>9</v>
      </c>
      <c r="F566" s="54">
        <v>3</v>
      </c>
      <c r="G566" s="54">
        <v>27</v>
      </c>
      <c r="H566" s="131" t="s">
        <v>1140</v>
      </c>
    </row>
    <row r="567" spans="1:8">
      <c r="A567" s="62">
        <v>8317211</v>
      </c>
      <c r="B567" s="55" t="s">
        <v>1141</v>
      </c>
      <c r="C567" s="58">
        <v>17750243083321</v>
      </c>
      <c r="D567" s="55" t="s">
        <v>9</v>
      </c>
      <c r="E567" s="55">
        <v>9</v>
      </c>
      <c r="F567" s="55">
        <v>3</v>
      </c>
      <c r="G567" s="55">
        <v>27</v>
      </c>
      <c r="H567" s="131" t="s">
        <v>1142</v>
      </c>
    </row>
    <row r="568" spans="1:8">
      <c r="A568" s="61">
        <v>8317212</v>
      </c>
      <c r="B568" s="54" t="s">
        <v>1143</v>
      </c>
      <c r="C568" s="57">
        <v>17750243084496</v>
      </c>
      <c r="D568" s="54" t="s">
        <v>9</v>
      </c>
      <c r="E568" s="54">
        <v>9</v>
      </c>
      <c r="F568" s="54">
        <v>3</v>
      </c>
      <c r="G568" s="54">
        <v>27</v>
      </c>
      <c r="H568" s="131" t="s">
        <v>1144</v>
      </c>
    </row>
    <row r="569" spans="1:8">
      <c r="A569" s="62">
        <v>8317213</v>
      </c>
      <c r="B569" s="55" t="s">
        <v>1145</v>
      </c>
      <c r="C569" s="58">
        <v>17750243084502</v>
      </c>
      <c r="D569" s="55" t="s">
        <v>9</v>
      </c>
      <c r="E569" s="55">
        <v>9</v>
      </c>
      <c r="F569" s="55">
        <v>3</v>
      </c>
      <c r="G569" s="55">
        <v>27</v>
      </c>
      <c r="H569" s="131" t="s">
        <v>1146</v>
      </c>
    </row>
    <row r="570" spans="1:8">
      <c r="A570" s="61">
        <v>8317214</v>
      </c>
      <c r="B570" s="54" t="s">
        <v>1147</v>
      </c>
      <c r="C570" s="57">
        <v>17750243084519</v>
      </c>
      <c r="D570" s="54" t="s">
        <v>9</v>
      </c>
      <c r="E570" s="54">
        <v>9</v>
      </c>
      <c r="F570" s="54">
        <v>3</v>
      </c>
      <c r="G570" s="54">
        <v>27</v>
      </c>
      <c r="H570" s="131" t="s">
        <v>1148</v>
      </c>
    </row>
    <row r="571" spans="1:8">
      <c r="A571" s="62">
        <v>8317215</v>
      </c>
      <c r="B571" s="55" t="s">
        <v>1149</v>
      </c>
      <c r="C571" s="58">
        <v>17750243084526</v>
      </c>
      <c r="D571" s="55" t="s">
        <v>9</v>
      </c>
      <c r="E571" s="55">
        <v>9</v>
      </c>
      <c r="F571" s="55">
        <v>3</v>
      </c>
      <c r="G571" s="55">
        <v>27</v>
      </c>
      <c r="H571" s="131" t="s">
        <v>1150</v>
      </c>
    </row>
    <row r="572" spans="1:8">
      <c r="A572" s="61">
        <v>8317216</v>
      </c>
      <c r="B572" s="54" t="s">
        <v>1151</v>
      </c>
      <c r="C572" s="57">
        <v>17750243084533</v>
      </c>
      <c r="D572" s="54" t="s">
        <v>9</v>
      </c>
      <c r="E572" s="54">
        <v>9</v>
      </c>
      <c r="F572" s="54">
        <v>3</v>
      </c>
      <c r="G572" s="54">
        <v>27</v>
      </c>
      <c r="H572" s="131" t="s">
        <v>1152</v>
      </c>
    </row>
    <row r="573" spans="1:8">
      <c r="A573" s="62">
        <v>8317217</v>
      </c>
      <c r="B573" s="55" t="s">
        <v>1153</v>
      </c>
      <c r="C573" s="58">
        <v>17750243087688</v>
      </c>
      <c r="D573" s="55" t="s">
        <v>9</v>
      </c>
      <c r="E573" s="55">
        <v>9</v>
      </c>
      <c r="F573" s="55">
        <v>3</v>
      </c>
      <c r="G573" s="55">
        <v>27</v>
      </c>
      <c r="H573" s="131" t="s">
        <v>1154</v>
      </c>
    </row>
    <row r="574" spans="1:8">
      <c r="A574" s="61">
        <v>8317218</v>
      </c>
      <c r="B574" s="54" t="s">
        <v>1155</v>
      </c>
      <c r="C574" s="57">
        <v>27750243087968</v>
      </c>
      <c r="D574" s="54" t="s">
        <v>9</v>
      </c>
      <c r="E574" s="54">
        <v>15</v>
      </c>
      <c r="F574" s="54">
        <v>4</v>
      </c>
      <c r="G574" s="54">
        <v>60</v>
      </c>
      <c r="H574" s="131" t="s">
        <v>1156</v>
      </c>
    </row>
    <row r="575" spans="1:8">
      <c r="A575" s="62">
        <v>8317219</v>
      </c>
      <c r="B575" s="55" t="s">
        <v>1157</v>
      </c>
      <c r="C575" s="58">
        <v>27750243087982</v>
      </c>
      <c r="D575" s="55" t="s">
        <v>9</v>
      </c>
      <c r="E575" s="55">
        <v>9</v>
      </c>
      <c r="F575" s="55">
        <v>3</v>
      </c>
      <c r="G575" s="55">
        <v>27</v>
      </c>
      <c r="H575" s="131" t="s">
        <v>1158</v>
      </c>
    </row>
    <row r="576" spans="1:8">
      <c r="A576" s="61">
        <v>8317220</v>
      </c>
      <c r="B576" s="54" t="s">
        <v>1159</v>
      </c>
      <c r="C576" s="57">
        <v>27750243088002</v>
      </c>
      <c r="D576" s="54" t="s">
        <v>9</v>
      </c>
      <c r="E576" s="54">
        <v>9</v>
      </c>
      <c r="F576" s="54">
        <v>3</v>
      </c>
      <c r="G576" s="54">
        <v>27</v>
      </c>
      <c r="H576" s="131" t="s">
        <v>1160</v>
      </c>
    </row>
    <row r="577" spans="1:8">
      <c r="A577" s="62">
        <v>8317221</v>
      </c>
      <c r="B577" s="55" t="s">
        <v>1161</v>
      </c>
      <c r="C577" s="58">
        <v>27750243088026</v>
      </c>
      <c r="D577" s="55" t="s">
        <v>9</v>
      </c>
      <c r="E577" s="55">
        <v>15</v>
      </c>
      <c r="F577" s="55">
        <v>4</v>
      </c>
      <c r="G577" s="55">
        <v>60</v>
      </c>
      <c r="H577" s="131" t="s">
        <v>1162</v>
      </c>
    </row>
    <row r="578" spans="1:8">
      <c r="A578" s="61">
        <v>8317222</v>
      </c>
      <c r="B578" s="54" t="s">
        <v>1163</v>
      </c>
      <c r="C578" s="57">
        <v>27750243088040</v>
      </c>
      <c r="D578" s="54" t="s">
        <v>9</v>
      </c>
      <c r="E578" s="54">
        <v>9</v>
      </c>
      <c r="F578" s="54">
        <v>3</v>
      </c>
      <c r="G578" s="54">
        <v>27</v>
      </c>
      <c r="H578" s="131" t="s">
        <v>1164</v>
      </c>
    </row>
    <row r="579" spans="1:8">
      <c r="A579" s="62">
        <v>8317223</v>
      </c>
      <c r="B579" s="55" t="s">
        <v>1165</v>
      </c>
      <c r="C579" s="58">
        <v>27750243088064</v>
      </c>
      <c r="D579" s="55" t="s">
        <v>9</v>
      </c>
      <c r="E579" s="55">
        <v>15</v>
      </c>
      <c r="F579" s="55">
        <v>4</v>
      </c>
      <c r="G579" s="55">
        <v>60</v>
      </c>
      <c r="H579" s="131" t="s">
        <v>1166</v>
      </c>
    </row>
    <row r="580" spans="1:8">
      <c r="A580" s="61">
        <v>8317224</v>
      </c>
      <c r="B580" s="54" t="s">
        <v>1167</v>
      </c>
      <c r="C580" s="57">
        <v>27750243088088</v>
      </c>
      <c r="D580" s="54" t="s">
        <v>9</v>
      </c>
      <c r="E580" s="54">
        <v>9</v>
      </c>
      <c r="F580" s="54">
        <v>3</v>
      </c>
      <c r="G580" s="54">
        <v>27</v>
      </c>
      <c r="H580" s="131" t="s">
        <v>1168</v>
      </c>
    </row>
    <row r="581" spans="1:8">
      <c r="A581" s="62">
        <v>8317225</v>
      </c>
      <c r="B581" s="55" t="s">
        <v>1169</v>
      </c>
      <c r="C581" s="58">
        <v>17750243087923</v>
      </c>
      <c r="D581" s="55" t="s">
        <v>9</v>
      </c>
      <c r="E581" s="55">
        <v>16</v>
      </c>
      <c r="F581" s="55">
        <v>3</v>
      </c>
      <c r="G581" s="55">
        <v>48</v>
      </c>
      <c r="H581" s="131" t="s">
        <v>1170</v>
      </c>
    </row>
    <row r="582" spans="1:8">
      <c r="A582" s="61">
        <v>8317226</v>
      </c>
      <c r="B582" s="54" t="s">
        <v>1171</v>
      </c>
      <c r="C582" s="57">
        <v>17750243087954</v>
      </c>
      <c r="D582" s="54" t="s">
        <v>9</v>
      </c>
      <c r="E582" s="54">
        <v>15</v>
      </c>
      <c r="F582" s="54">
        <v>4</v>
      </c>
      <c r="G582" s="54">
        <v>60</v>
      </c>
      <c r="H582" s="131" t="s">
        <v>1172</v>
      </c>
    </row>
    <row r="583" spans="1:8">
      <c r="A583" s="62">
        <v>8317227</v>
      </c>
      <c r="B583" s="55" t="s">
        <v>1173</v>
      </c>
      <c r="C583" s="58">
        <v>17750243087978</v>
      </c>
      <c r="D583" s="55" t="s">
        <v>9</v>
      </c>
      <c r="E583" s="55">
        <v>9</v>
      </c>
      <c r="F583" s="55">
        <v>3</v>
      </c>
      <c r="G583" s="55">
        <v>27</v>
      </c>
      <c r="H583" s="131" t="s">
        <v>1174</v>
      </c>
    </row>
    <row r="584" spans="1:8">
      <c r="A584" s="61">
        <v>8317228</v>
      </c>
      <c r="B584" s="54" t="s">
        <v>1175</v>
      </c>
      <c r="C584" s="57">
        <v>17750243087992</v>
      </c>
      <c r="D584" s="54" t="s">
        <v>9</v>
      </c>
      <c r="E584" s="54">
        <v>16</v>
      </c>
      <c r="F584" s="54">
        <v>3</v>
      </c>
      <c r="G584" s="54">
        <v>48</v>
      </c>
      <c r="H584" s="131" t="s">
        <v>1176</v>
      </c>
    </row>
    <row r="585" spans="1:8">
      <c r="A585" s="62">
        <v>8317229</v>
      </c>
      <c r="B585" s="55" t="s">
        <v>1177</v>
      </c>
      <c r="C585" s="58">
        <v>17750243088012</v>
      </c>
      <c r="D585" s="55" t="s">
        <v>9</v>
      </c>
      <c r="E585" s="55">
        <v>15</v>
      </c>
      <c r="F585" s="55">
        <v>4</v>
      </c>
      <c r="G585" s="55">
        <v>60</v>
      </c>
      <c r="H585" s="131" t="s">
        <v>1178</v>
      </c>
    </row>
    <row r="586" spans="1:8">
      <c r="A586" s="61">
        <v>8317230</v>
      </c>
      <c r="B586" s="54" t="s">
        <v>1179</v>
      </c>
      <c r="C586" s="57">
        <v>17750243088036</v>
      </c>
      <c r="D586" s="54" t="s">
        <v>9</v>
      </c>
      <c r="E586" s="54">
        <v>16</v>
      </c>
      <c r="F586" s="54">
        <v>3</v>
      </c>
      <c r="G586" s="54">
        <v>48</v>
      </c>
      <c r="H586" s="131" t="s">
        <v>1180</v>
      </c>
    </row>
    <row r="587" spans="1:8">
      <c r="A587" s="62">
        <v>8317231</v>
      </c>
      <c r="B587" s="55" t="s">
        <v>1181</v>
      </c>
      <c r="C587" s="58">
        <v>17750243088050</v>
      </c>
      <c r="D587" s="55" t="s">
        <v>9</v>
      </c>
      <c r="E587" s="55">
        <v>9</v>
      </c>
      <c r="F587" s="55">
        <v>3</v>
      </c>
      <c r="G587" s="55">
        <v>27</v>
      </c>
      <c r="H587" s="131" t="s">
        <v>1182</v>
      </c>
    </row>
    <row r="588" spans="1:8">
      <c r="A588" s="61">
        <v>8317232</v>
      </c>
      <c r="B588" s="54" t="s">
        <v>1183</v>
      </c>
      <c r="C588" s="57">
        <v>17750243088074</v>
      </c>
      <c r="D588" s="54" t="s">
        <v>9</v>
      </c>
      <c r="E588" s="54">
        <v>9</v>
      </c>
      <c r="F588" s="54">
        <v>3</v>
      </c>
      <c r="G588" s="54">
        <v>27</v>
      </c>
      <c r="H588" s="131" t="s">
        <v>1184</v>
      </c>
    </row>
    <row r="589" spans="1:8">
      <c r="A589" s="62">
        <v>8317233</v>
      </c>
      <c r="B589" s="55" t="s">
        <v>1185</v>
      </c>
      <c r="C589" s="58">
        <v>17750243088098</v>
      </c>
      <c r="D589" s="55" t="s">
        <v>9</v>
      </c>
      <c r="E589" s="55">
        <v>9</v>
      </c>
      <c r="F589" s="55">
        <v>3</v>
      </c>
      <c r="G589" s="55">
        <v>27</v>
      </c>
      <c r="H589" s="131" t="s">
        <v>1186</v>
      </c>
    </row>
    <row r="590" spans="1:8">
      <c r="A590" s="61">
        <v>8317234</v>
      </c>
      <c r="B590" s="54" t="s">
        <v>1187</v>
      </c>
      <c r="C590" s="57">
        <v>17750243088180</v>
      </c>
      <c r="D590" s="54" t="s">
        <v>9</v>
      </c>
      <c r="E590" s="54">
        <v>9</v>
      </c>
      <c r="F590" s="54">
        <v>3</v>
      </c>
      <c r="G590" s="54">
        <v>27</v>
      </c>
      <c r="H590" s="131" t="s">
        <v>1188</v>
      </c>
    </row>
    <row r="591" spans="1:8">
      <c r="A591" s="62">
        <v>8317235</v>
      </c>
      <c r="B591" s="55" t="s">
        <v>1189</v>
      </c>
      <c r="C591" s="58">
        <v>17750243088197</v>
      </c>
      <c r="D591" s="55" t="s">
        <v>9</v>
      </c>
      <c r="E591" s="55">
        <v>9</v>
      </c>
      <c r="F591" s="55">
        <v>3</v>
      </c>
      <c r="G591" s="55">
        <v>27</v>
      </c>
      <c r="H591" s="131" t="s">
        <v>1190</v>
      </c>
    </row>
    <row r="592" spans="1:8">
      <c r="A592" s="61">
        <v>8317236</v>
      </c>
      <c r="B592" s="54" t="s">
        <v>1191</v>
      </c>
      <c r="C592" s="57">
        <v>17750243088531</v>
      </c>
      <c r="D592" s="54" t="s">
        <v>9</v>
      </c>
      <c r="E592" s="54">
        <v>9</v>
      </c>
      <c r="F592" s="54">
        <v>3</v>
      </c>
      <c r="G592" s="54">
        <v>27</v>
      </c>
      <c r="H592" s="131" t="s">
        <v>1192</v>
      </c>
    </row>
    <row r="593" spans="1:8">
      <c r="A593" s="62">
        <v>8317237</v>
      </c>
      <c r="B593" s="55" t="s">
        <v>1193</v>
      </c>
      <c r="C593" s="58">
        <v>17750243088548</v>
      </c>
      <c r="D593" s="55" t="s">
        <v>9</v>
      </c>
      <c r="E593" s="55">
        <v>9</v>
      </c>
      <c r="F593" s="55">
        <v>3</v>
      </c>
      <c r="G593" s="55">
        <v>27</v>
      </c>
      <c r="H593" s="131" t="s">
        <v>1194</v>
      </c>
    </row>
    <row r="594" spans="1:8">
      <c r="A594" s="61">
        <v>8317238</v>
      </c>
      <c r="B594" s="54" t="s">
        <v>1195</v>
      </c>
      <c r="C594" s="57">
        <v>17750243088555</v>
      </c>
      <c r="D594" s="54" t="s">
        <v>9</v>
      </c>
      <c r="E594" s="54">
        <v>9</v>
      </c>
      <c r="F594" s="54">
        <v>3</v>
      </c>
      <c r="G594" s="54">
        <v>27</v>
      </c>
      <c r="H594" s="131" t="s">
        <v>1196</v>
      </c>
    </row>
    <row r="595" spans="1:8">
      <c r="A595" s="62">
        <v>8317239</v>
      </c>
      <c r="B595" s="55" t="s">
        <v>1197</v>
      </c>
      <c r="C595" s="58">
        <v>17750243088562</v>
      </c>
      <c r="D595" s="55" t="s">
        <v>9</v>
      </c>
      <c r="E595" s="55">
        <v>9</v>
      </c>
      <c r="F595" s="55">
        <v>3</v>
      </c>
      <c r="G595" s="55">
        <v>27</v>
      </c>
      <c r="H595" s="131" t="s">
        <v>1198</v>
      </c>
    </row>
    <row r="596" spans="1:8">
      <c r="A596" s="61">
        <v>8320004</v>
      </c>
      <c r="B596" s="54" t="s">
        <v>1199</v>
      </c>
      <c r="C596" s="57">
        <v>17751851008898</v>
      </c>
      <c r="D596" s="54" t="s">
        <v>9</v>
      </c>
      <c r="E596" s="54">
        <v>15</v>
      </c>
      <c r="F596" s="54">
        <v>7</v>
      </c>
      <c r="G596" s="54">
        <v>105</v>
      </c>
      <c r="H596" s="131" t="s">
        <v>1200</v>
      </c>
    </row>
    <row r="597" spans="1:8">
      <c r="A597" s="62">
        <v>8320005</v>
      </c>
      <c r="B597" s="55" t="s">
        <v>1201</v>
      </c>
      <c r="C597" s="58">
        <v>17751851008911</v>
      </c>
      <c r="D597" s="55" t="s">
        <v>9</v>
      </c>
      <c r="E597" s="55">
        <v>15</v>
      </c>
      <c r="F597" s="55">
        <v>7</v>
      </c>
      <c r="G597" s="55">
        <v>105</v>
      </c>
      <c r="H597" s="131" t="s">
        <v>1202</v>
      </c>
    </row>
    <row r="598" spans="1:8">
      <c r="A598" s="61">
        <v>8320006</v>
      </c>
      <c r="B598" s="54" t="s">
        <v>1203</v>
      </c>
      <c r="C598" s="57">
        <v>17751851008928</v>
      </c>
      <c r="D598" s="54" t="s">
        <v>9</v>
      </c>
      <c r="E598" s="54">
        <v>15</v>
      </c>
      <c r="F598" s="54">
        <v>7</v>
      </c>
      <c r="G598" s="54">
        <v>105</v>
      </c>
      <c r="H598" s="131" t="s">
        <v>1204</v>
      </c>
    </row>
    <row r="599" spans="1:8">
      <c r="A599" s="62">
        <v>8320007</v>
      </c>
      <c r="B599" s="55" t="s">
        <v>1205</v>
      </c>
      <c r="C599" s="58">
        <v>17751851008904</v>
      </c>
      <c r="D599" s="55" t="s">
        <v>9</v>
      </c>
      <c r="E599" s="55">
        <v>15</v>
      </c>
      <c r="F599" s="55">
        <v>7</v>
      </c>
      <c r="G599" s="55">
        <v>105</v>
      </c>
      <c r="H599" s="131" t="s">
        <v>1206</v>
      </c>
    </row>
    <row r="600" spans="1:8">
      <c r="A600" s="61">
        <v>8320008</v>
      </c>
      <c r="B600" s="54" t="s">
        <v>1207</v>
      </c>
      <c r="C600" s="57">
        <v>17751851008881</v>
      </c>
      <c r="D600" s="54" t="s">
        <v>9</v>
      </c>
      <c r="E600" s="54">
        <v>15</v>
      </c>
      <c r="F600" s="54">
        <v>7</v>
      </c>
      <c r="G600" s="54">
        <v>105</v>
      </c>
      <c r="H600" s="131" t="s">
        <v>1208</v>
      </c>
    </row>
    <row r="601" spans="1:8">
      <c r="A601" s="62">
        <v>8320010</v>
      </c>
      <c r="B601" s="55" t="s">
        <v>1209</v>
      </c>
      <c r="C601" s="58">
        <v>17751851008942</v>
      </c>
      <c r="D601" s="55" t="s">
        <v>9</v>
      </c>
      <c r="E601" s="55">
        <v>15</v>
      </c>
      <c r="F601" s="55">
        <v>6</v>
      </c>
      <c r="G601" s="55">
        <v>90</v>
      </c>
      <c r="H601" s="131" t="s">
        <v>1210</v>
      </c>
    </row>
    <row r="602" spans="1:8">
      <c r="A602" s="61">
        <v>8320014</v>
      </c>
      <c r="B602" s="54" t="s">
        <v>1211</v>
      </c>
      <c r="C602" s="57">
        <v>17751851015261</v>
      </c>
      <c r="D602" s="54" t="s">
        <v>9</v>
      </c>
      <c r="E602" s="54">
        <v>15</v>
      </c>
      <c r="F602" s="54">
        <v>7</v>
      </c>
      <c r="G602" s="54">
        <v>105</v>
      </c>
      <c r="H602" s="131" t="s">
        <v>1212</v>
      </c>
    </row>
    <row r="603" spans="1:8">
      <c r="A603" s="62">
        <v>8320015</v>
      </c>
      <c r="B603" s="55" t="s">
        <v>1213</v>
      </c>
      <c r="C603" s="58">
        <v>17751851015278</v>
      </c>
      <c r="D603" s="55" t="s">
        <v>9</v>
      </c>
      <c r="E603" s="55">
        <v>15</v>
      </c>
      <c r="F603" s="55">
        <v>6</v>
      </c>
      <c r="G603" s="55">
        <v>90</v>
      </c>
      <c r="H603" s="131" t="s">
        <v>1214</v>
      </c>
    </row>
    <row r="604" spans="1:8">
      <c r="A604" s="61">
        <v>8320016</v>
      </c>
      <c r="B604" s="54" t="s">
        <v>1215</v>
      </c>
      <c r="C604" s="57">
        <v>17751851015285</v>
      </c>
      <c r="D604" s="54" t="s">
        <v>9</v>
      </c>
      <c r="E604" s="54">
        <v>15</v>
      </c>
      <c r="F604" s="54">
        <v>7</v>
      </c>
      <c r="G604" s="54">
        <v>105</v>
      </c>
      <c r="H604" s="131" t="s">
        <v>1216</v>
      </c>
    </row>
    <row r="605" spans="1:8">
      <c r="A605" s="62">
        <v>8320022</v>
      </c>
      <c r="B605" s="55" t="s">
        <v>1217</v>
      </c>
      <c r="C605" s="58">
        <v>17751851018095</v>
      </c>
      <c r="D605" s="55" t="s">
        <v>9</v>
      </c>
      <c r="E605" s="55">
        <v>9</v>
      </c>
      <c r="F605" s="55">
        <v>3</v>
      </c>
      <c r="G605" s="55">
        <v>27</v>
      </c>
      <c r="H605" s="131" t="s">
        <v>1218</v>
      </c>
    </row>
    <row r="606" spans="1:8">
      <c r="A606" s="61">
        <v>8320023</v>
      </c>
      <c r="B606" s="54" t="s">
        <v>1219</v>
      </c>
      <c r="C606" s="57">
        <v>17751851020586</v>
      </c>
      <c r="D606" s="54" t="s">
        <v>9</v>
      </c>
      <c r="E606" s="54">
        <v>9</v>
      </c>
      <c r="F606" s="54">
        <v>3</v>
      </c>
      <c r="G606" s="54">
        <v>27</v>
      </c>
      <c r="H606" s="133" t="s">
        <v>1220</v>
      </c>
    </row>
    <row r="607" spans="1:8">
      <c r="A607" s="62">
        <v>8320024</v>
      </c>
      <c r="B607" s="55" t="s">
        <v>1221</v>
      </c>
      <c r="C607" s="58">
        <v>17751851020593</v>
      </c>
      <c r="D607" s="55" t="s">
        <v>9</v>
      </c>
      <c r="E607" s="55">
        <v>9</v>
      </c>
      <c r="F607" s="55">
        <v>3</v>
      </c>
      <c r="G607" s="55">
        <v>27</v>
      </c>
      <c r="H607" s="131" t="s">
        <v>1222</v>
      </c>
    </row>
    <row r="608" spans="1:8">
      <c r="A608" s="61">
        <v>8320027</v>
      </c>
      <c r="B608" s="54" t="s">
        <v>1223</v>
      </c>
      <c r="C608" s="57">
        <v>17751851024546</v>
      </c>
      <c r="D608" s="54" t="s">
        <v>9</v>
      </c>
      <c r="E608" s="54">
        <v>10</v>
      </c>
      <c r="F608" s="54">
        <v>5</v>
      </c>
      <c r="G608" s="54">
        <v>50</v>
      </c>
      <c r="H608" s="131" t="s">
        <v>1224</v>
      </c>
    </row>
    <row r="609" spans="1:8">
      <c r="A609" s="62">
        <v>8320028</v>
      </c>
      <c r="B609" s="55" t="s">
        <v>1225</v>
      </c>
      <c r="C609" s="58">
        <v>17751851024553</v>
      </c>
      <c r="D609" s="55" t="s">
        <v>9</v>
      </c>
      <c r="E609" s="55">
        <v>10</v>
      </c>
      <c r="F609" s="55">
        <v>5</v>
      </c>
      <c r="G609" s="55">
        <v>50</v>
      </c>
      <c r="H609" s="131" t="s">
        <v>1226</v>
      </c>
    </row>
    <row r="610" spans="1:8">
      <c r="A610" s="61">
        <v>8320029</v>
      </c>
      <c r="B610" s="54" t="s">
        <v>1227</v>
      </c>
      <c r="C610" s="57">
        <v>17751851024577</v>
      </c>
      <c r="D610" s="54" t="s">
        <v>9</v>
      </c>
      <c r="E610" s="54">
        <v>10</v>
      </c>
      <c r="F610" s="54">
        <v>5</v>
      </c>
      <c r="G610" s="54">
        <v>50</v>
      </c>
      <c r="H610" s="131" t="s">
        <v>1228</v>
      </c>
    </row>
    <row r="611" spans="1:8">
      <c r="A611" s="62">
        <v>8320030</v>
      </c>
      <c r="B611" s="55" t="s">
        <v>1229</v>
      </c>
      <c r="C611" s="58">
        <v>17751851024584</v>
      </c>
      <c r="D611" s="55" t="s">
        <v>9</v>
      </c>
      <c r="E611" s="55">
        <v>10</v>
      </c>
      <c r="F611" s="55">
        <v>5</v>
      </c>
      <c r="G611" s="55">
        <v>50</v>
      </c>
      <c r="H611" s="131" t="s">
        <v>1230</v>
      </c>
    </row>
    <row r="612" spans="1:8">
      <c r="A612" s="61">
        <v>8320031</v>
      </c>
      <c r="B612" s="54" t="s">
        <v>1231</v>
      </c>
      <c r="C612" s="57">
        <v>17751851024591</v>
      </c>
      <c r="D612" s="54" t="s">
        <v>9</v>
      </c>
      <c r="E612" s="54">
        <v>10</v>
      </c>
      <c r="F612" s="54">
        <v>5</v>
      </c>
      <c r="G612" s="54">
        <v>50</v>
      </c>
      <c r="H612" s="131" t="s">
        <v>1232</v>
      </c>
    </row>
    <row r="613" spans="1:8">
      <c r="A613" s="62">
        <v>8320032</v>
      </c>
      <c r="B613" s="55" t="s">
        <v>1233</v>
      </c>
      <c r="C613" s="58">
        <v>17751851024607</v>
      </c>
      <c r="D613" s="55" t="s">
        <v>9</v>
      </c>
      <c r="E613" s="55">
        <v>10</v>
      </c>
      <c r="F613" s="55">
        <v>5</v>
      </c>
      <c r="G613" s="55">
        <v>50</v>
      </c>
      <c r="H613" s="131" t="s">
        <v>1234</v>
      </c>
    </row>
    <row r="614" spans="1:8">
      <c r="A614" s="61">
        <v>8320047</v>
      </c>
      <c r="B614" s="54" t="s">
        <v>1235</v>
      </c>
      <c r="C614" s="57">
        <v>17751851024560</v>
      </c>
      <c r="D614" s="54" t="s">
        <v>9</v>
      </c>
      <c r="E614" s="54">
        <v>10</v>
      </c>
      <c r="F614" s="54">
        <v>5</v>
      </c>
      <c r="G614" s="54">
        <v>50</v>
      </c>
      <c r="H614" s="131" t="s">
        <v>1236</v>
      </c>
    </row>
    <row r="615" spans="1:8">
      <c r="A615" s="62">
        <v>8320050</v>
      </c>
      <c r="B615" s="55" t="s">
        <v>1237</v>
      </c>
      <c r="C615" s="58">
        <v>17751851028018</v>
      </c>
      <c r="D615" s="55" t="s">
        <v>9</v>
      </c>
      <c r="E615" s="55">
        <v>10</v>
      </c>
      <c r="F615" s="55">
        <v>5</v>
      </c>
      <c r="G615" s="55">
        <v>50</v>
      </c>
      <c r="H615" s="131" t="s">
        <v>1238</v>
      </c>
    </row>
    <row r="616" spans="1:8">
      <c r="A616" s="61">
        <v>8320053</v>
      </c>
      <c r="B616" s="54" t="s">
        <v>1239</v>
      </c>
      <c r="C616" s="57">
        <v>17751851031018</v>
      </c>
      <c r="D616" s="54" t="s">
        <v>9</v>
      </c>
      <c r="E616" s="54">
        <v>17</v>
      </c>
      <c r="F616" s="54">
        <v>5</v>
      </c>
      <c r="G616" s="54">
        <v>85</v>
      </c>
      <c r="H616" s="131" t="s">
        <v>1240</v>
      </c>
    </row>
    <row r="617" spans="1:8">
      <c r="A617" s="62">
        <v>8320056</v>
      </c>
      <c r="B617" s="55" t="s">
        <v>1241</v>
      </c>
      <c r="C617" s="58">
        <v>17751851031025</v>
      </c>
      <c r="D617" s="55" t="s">
        <v>9</v>
      </c>
      <c r="E617" s="55">
        <v>17</v>
      </c>
      <c r="F617" s="55">
        <v>5</v>
      </c>
      <c r="G617" s="55">
        <v>85</v>
      </c>
      <c r="H617" s="131" t="s">
        <v>1242</v>
      </c>
    </row>
    <row r="618" spans="1:8">
      <c r="A618" s="61">
        <v>8320057</v>
      </c>
      <c r="B618" s="54" t="s">
        <v>1243</v>
      </c>
      <c r="C618" s="57">
        <v>17751851031032</v>
      </c>
      <c r="D618" s="54" t="s">
        <v>9</v>
      </c>
      <c r="E618" s="54">
        <v>17</v>
      </c>
      <c r="F618" s="54">
        <v>5</v>
      </c>
      <c r="G618" s="54">
        <v>85</v>
      </c>
      <c r="H618" s="131" t="s">
        <v>1244</v>
      </c>
    </row>
    <row r="619" spans="1:8">
      <c r="A619" s="62">
        <v>8320058</v>
      </c>
      <c r="B619" s="55" t="s">
        <v>1245</v>
      </c>
      <c r="C619" s="58">
        <v>17751851031551</v>
      </c>
      <c r="D619" s="55" t="s">
        <v>9</v>
      </c>
      <c r="E619" s="55">
        <v>17</v>
      </c>
      <c r="F619" s="55">
        <v>5</v>
      </c>
      <c r="G619" s="55">
        <v>85</v>
      </c>
      <c r="H619" s="131" t="s">
        <v>1246</v>
      </c>
    </row>
    <row r="620" spans="1:8">
      <c r="A620" s="61">
        <v>8320059</v>
      </c>
      <c r="B620" s="54" t="s">
        <v>1247</v>
      </c>
      <c r="C620" s="57">
        <v>17751851031568</v>
      </c>
      <c r="D620" s="54" t="s">
        <v>9</v>
      </c>
      <c r="E620" s="54">
        <v>17</v>
      </c>
      <c r="F620" s="54">
        <v>5</v>
      </c>
      <c r="G620" s="54">
        <v>85</v>
      </c>
      <c r="H620" s="131" t="s">
        <v>1248</v>
      </c>
    </row>
    <row r="621" spans="1:8">
      <c r="A621" s="62">
        <v>8320064</v>
      </c>
      <c r="B621" s="55" t="s">
        <v>1249</v>
      </c>
      <c r="C621" s="58">
        <v>17751851022795</v>
      </c>
      <c r="D621" s="55" t="s">
        <v>9</v>
      </c>
      <c r="E621" s="55">
        <v>22</v>
      </c>
      <c r="F621" s="55">
        <v>7</v>
      </c>
      <c r="G621" s="55">
        <v>154</v>
      </c>
      <c r="H621" s="131" t="s">
        <v>1250</v>
      </c>
    </row>
    <row r="622" spans="1:8">
      <c r="A622" s="61">
        <v>8320065</v>
      </c>
      <c r="B622" s="54" t="s">
        <v>1251</v>
      </c>
      <c r="C622" s="57">
        <v>17751851022788</v>
      </c>
      <c r="D622" s="54" t="s">
        <v>9</v>
      </c>
      <c r="E622" s="54">
        <v>22</v>
      </c>
      <c r="F622" s="54">
        <v>7</v>
      </c>
      <c r="G622" s="54">
        <v>154</v>
      </c>
      <c r="H622" s="131" t="s">
        <v>1252</v>
      </c>
    </row>
    <row r="623" spans="1:8">
      <c r="A623" s="62">
        <v>8320181</v>
      </c>
      <c r="B623" s="55" t="s">
        <v>1253</v>
      </c>
      <c r="C623" s="58">
        <v>17750243063804</v>
      </c>
      <c r="D623" s="55" t="s">
        <v>9</v>
      </c>
      <c r="E623" s="55">
        <v>15</v>
      </c>
      <c r="F623" s="55">
        <v>7</v>
      </c>
      <c r="G623" s="55">
        <v>105</v>
      </c>
      <c r="H623" s="131" t="s">
        <v>1254</v>
      </c>
    </row>
    <row r="624" spans="1:8">
      <c r="A624" s="61">
        <v>8320182</v>
      </c>
      <c r="B624" s="54" t="s">
        <v>1255</v>
      </c>
      <c r="C624" s="57">
        <v>17750243063811</v>
      </c>
      <c r="D624" s="54" t="s">
        <v>9</v>
      </c>
      <c r="E624" s="54">
        <v>15</v>
      </c>
      <c r="F624" s="54">
        <v>7</v>
      </c>
      <c r="G624" s="54">
        <v>105</v>
      </c>
      <c r="H624" s="131" t="s">
        <v>1256</v>
      </c>
    </row>
    <row r="625" spans="1:8">
      <c r="A625" s="62">
        <v>8320183</v>
      </c>
      <c r="B625" s="55" t="s">
        <v>1257</v>
      </c>
      <c r="C625" s="58">
        <v>17750243063828</v>
      </c>
      <c r="D625" s="55" t="s">
        <v>9</v>
      </c>
      <c r="E625" s="55">
        <v>10</v>
      </c>
      <c r="F625" s="55">
        <v>5</v>
      </c>
      <c r="G625" s="55">
        <v>50</v>
      </c>
      <c r="H625" s="131" t="s">
        <v>1258</v>
      </c>
    </row>
    <row r="626" spans="1:8">
      <c r="A626" s="61">
        <v>8320184</v>
      </c>
      <c r="B626" s="54" t="s">
        <v>1259</v>
      </c>
      <c r="C626" s="57">
        <v>17750243063835</v>
      </c>
      <c r="D626" s="54" t="s">
        <v>9</v>
      </c>
      <c r="E626" s="54">
        <v>10</v>
      </c>
      <c r="F626" s="54">
        <v>5</v>
      </c>
      <c r="G626" s="54">
        <v>50</v>
      </c>
      <c r="H626" s="131" t="s">
        <v>1260</v>
      </c>
    </row>
    <row r="627" spans="1:8">
      <c r="A627" s="62">
        <v>8320185</v>
      </c>
      <c r="B627" s="55" t="s">
        <v>1261</v>
      </c>
      <c r="C627" s="58">
        <v>17750243063842</v>
      </c>
      <c r="D627" s="55" t="s">
        <v>9</v>
      </c>
      <c r="E627" s="55">
        <v>9</v>
      </c>
      <c r="F627" s="55">
        <v>3</v>
      </c>
      <c r="G627" s="55">
        <v>27</v>
      </c>
      <c r="H627" s="133" t="s">
        <v>1262</v>
      </c>
    </row>
    <row r="628" spans="1:8">
      <c r="A628" s="61">
        <v>8320189</v>
      </c>
      <c r="B628" s="54" t="s">
        <v>1263</v>
      </c>
      <c r="C628" s="57">
        <v>17750243060827</v>
      </c>
      <c r="D628" s="54" t="s">
        <v>9</v>
      </c>
      <c r="E628" s="54">
        <v>18</v>
      </c>
      <c r="F628" s="54">
        <v>4</v>
      </c>
      <c r="G628" s="54">
        <v>72</v>
      </c>
      <c r="H628" s="131" t="s">
        <v>1264</v>
      </c>
    </row>
    <row r="629" spans="1:8">
      <c r="A629" s="62">
        <v>8320190</v>
      </c>
      <c r="B629" s="55" t="s">
        <v>1265</v>
      </c>
      <c r="C629" s="58">
        <v>17750243060858</v>
      </c>
      <c r="D629" s="55" t="s">
        <v>9</v>
      </c>
      <c r="E629" s="55">
        <v>18</v>
      </c>
      <c r="F629" s="55">
        <v>4</v>
      </c>
      <c r="G629" s="55">
        <v>72</v>
      </c>
      <c r="H629" s="131" t="s">
        <v>1266</v>
      </c>
    </row>
    <row r="630" spans="1:8">
      <c r="A630" s="61">
        <v>8320191</v>
      </c>
      <c r="B630" s="54" t="s">
        <v>1267</v>
      </c>
      <c r="C630" s="57">
        <v>17750243060834</v>
      </c>
      <c r="D630" s="54" t="s">
        <v>9</v>
      </c>
      <c r="E630" s="54">
        <v>18</v>
      </c>
      <c r="F630" s="54">
        <v>4</v>
      </c>
      <c r="G630" s="54">
        <v>72</v>
      </c>
      <c r="H630" s="131" t="s">
        <v>1268</v>
      </c>
    </row>
    <row r="631" spans="1:8">
      <c r="A631" s="62">
        <v>8320193</v>
      </c>
      <c r="B631" s="55" t="s">
        <v>1269</v>
      </c>
      <c r="C631" s="58">
        <v>17750243060841</v>
      </c>
      <c r="D631" s="55" t="s">
        <v>9</v>
      </c>
      <c r="E631" s="55">
        <v>18</v>
      </c>
      <c r="F631" s="55">
        <v>4</v>
      </c>
      <c r="G631" s="55">
        <v>72</v>
      </c>
      <c r="H631" s="131" t="s">
        <v>1270</v>
      </c>
    </row>
    <row r="632" spans="1:8">
      <c r="A632" s="61">
        <v>8320223</v>
      </c>
      <c r="B632" s="54" t="s">
        <v>1271</v>
      </c>
      <c r="C632" s="57">
        <v>17750243071922</v>
      </c>
      <c r="D632" s="54" t="s">
        <v>9</v>
      </c>
      <c r="E632" s="54">
        <v>15</v>
      </c>
      <c r="F632" s="54">
        <v>6</v>
      </c>
      <c r="G632" s="54">
        <v>90</v>
      </c>
      <c r="H632" s="131" t="s">
        <v>1272</v>
      </c>
    </row>
    <row r="633" spans="1:8">
      <c r="A633" s="62">
        <v>8320225</v>
      </c>
      <c r="B633" s="55" t="s">
        <v>1273</v>
      </c>
      <c r="C633" s="58">
        <v>17750243071946</v>
      </c>
      <c r="D633" s="55" t="s">
        <v>9</v>
      </c>
      <c r="E633" s="55">
        <v>15</v>
      </c>
      <c r="F633" s="55">
        <v>6</v>
      </c>
      <c r="G633" s="55">
        <v>90</v>
      </c>
      <c r="H633" s="131" t="s">
        <v>1274</v>
      </c>
    </row>
    <row r="634" spans="1:8">
      <c r="A634" s="61">
        <v>8320226</v>
      </c>
      <c r="B634" s="54" t="s">
        <v>1275</v>
      </c>
      <c r="C634" s="57">
        <v>17750243071953</v>
      </c>
      <c r="D634" s="54" t="s">
        <v>9</v>
      </c>
      <c r="E634" s="54">
        <v>10</v>
      </c>
      <c r="F634" s="54">
        <v>5</v>
      </c>
      <c r="G634" s="54">
        <v>50</v>
      </c>
      <c r="H634" s="131" t="s">
        <v>1276</v>
      </c>
    </row>
    <row r="635" spans="1:8">
      <c r="A635" s="62">
        <v>8320228</v>
      </c>
      <c r="B635" s="55" t="s">
        <v>1277</v>
      </c>
      <c r="C635" s="58">
        <v>17750243071977</v>
      </c>
      <c r="D635" s="55" t="s">
        <v>9</v>
      </c>
      <c r="E635" s="55">
        <v>10</v>
      </c>
      <c r="F635" s="55">
        <v>5</v>
      </c>
      <c r="G635" s="55">
        <v>50</v>
      </c>
      <c r="H635" s="131" t="s">
        <v>1278</v>
      </c>
    </row>
    <row r="636" spans="1:8">
      <c r="A636" s="61">
        <v>8320236</v>
      </c>
      <c r="B636" s="54" t="s">
        <v>1279</v>
      </c>
      <c r="C636" s="57">
        <v>17750243075685</v>
      </c>
      <c r="D636" s="54" t="s">
        <v>9</v>
      </c>
      <c r="E636" s="54">
        <v>25</v>
      </c>
      <c r="F636" s="54">
        <v>6</v>
      </c>
      <c r="G636" s="54">
        <v>150</v>
      </c>
      <c r="H636" s="133" t="s">
        <v>1280</v>
      </c>
    </row>
    <row r="637" spans="1:8">
      <c r="A637" s="62">
        <v>8320237</v>
      </c>
      <c r="B637" s="55" t="s">
        <v>1281</v>
      </c>
      <c r="C637" s="58">
        <v>17750243075678</v>
      </c>
      <c r="D637" s="55" t="s">
        <v>9</v>
      </c>
      <c r="E637" s="55">
        <v>25</v>
      </c>
      <c r="F637" s="55">
        <v>6</v>
      </c>
      <c r="G637" s="55">
        <v>150</v>
      </c>
      <c r="H637" s="131" t="s">
        <v>1282</v>
      </c>
    </row>
    <row r="638" spans="1:8">
      <c r="A638" s="61">
        <v>8320240</v>
      </c>
      <c r="B638" s="54" t="s">
        <v>1283</v>
      </c>
      <c r="C638" s="57">
        <v>17750243080337</v>
      </c>
      <c r="D638" s="54" t="s">
        <v>9</v>
      </c>
      <c r="E638" s="54">
        <v>15</v>
      </c>
      <c r="F638" s="54">
        <v>6</v>
      </c>
      <c r="G638" s="54">
        <v>90</v>
      </c>
      <c r="H638" s="131" t="s">
        <v>1284</v>
      </c>
    </row>
    <row r="639" spans="1:8">
      <c r="A639" s="62">
        <v>8320241</v>
      </c>
      <c r="B639" s="55" t="s">
        <v>1285</v>
      </c>
      <c r="C639" s="58">
        <v>17750243080344</v>
      </c>
      <c r="D639" s="55" t="s">
        <v>9</v>
      </c>
      <c r="E639" s="55">
        <v>15</v>
      </c>
      <c r="F639" s="55">
        <v>6</v>
      </c>
      <c r="G639" s="55">
        <v>90</v>
      </c>
      <c r="H639" s="131" t="s">
        <v>1286</v>
      </c>
    </row>
    <row r="640" spans="1:8">
      <c r="A640" s="61">
        <v>8320242</v>
      </c>
      <c r="B640" s="54" t="s">
        <v>1287</v>
      </c>
      <c r="C640" s="57">
        <v>17750243080351</v>
      </c>
      <c r="D640" s="54" t="s">
        <v>9</v>
      </c>
      <c r="E640" s="54">
        <v>15</v>
      </c>
      <c r="F640" s="54">
        <v>6</v>
      </c>
      <c r="G640" s="54">
        <v>90</v>
      </c>
      <c r="H640" s="131" t="s">
        <v>1288</v>
      </c>
    </row>
    <row r="641" spans="1:8">
      <c r="A641" s="62">
        <v>8320243</v>
      </c>
      <c r="B641" s="55" t="s">
        <v>1289</v>
      </c>
      <c r="C641" s="58">
        <v>17750243080368</v>
      </c>
      <c r="D641" s="55" t="s">
        <v>9</v>
      </c>
      <c r="E641" s="55">
        <v>15</v>
      </c>
      <c r="F641" s="55">
        <v>6</v>
      </c>
      <c r="G641" s="55">
        <v>90</v>
      </c>
      <c r="H641" s="131" t="s">
        <v>1290</v>
      </c>
    </row>
    <row r="642" spans="1:8">
      <c r="A642" s="61">
        <v>8320245</v>
      </c>
      <c r="B642" s="54" t="s">
        <v>1291</v>
      </c>
      <c r="C642" s="57">
        <v>17750243080382</v>
      </c>
      <c r="D642" s="54" t="s">
        <v>9</v>
      </c>
      <c r="E642" s="54">
        <v>15</v>
      </c>
      <c r="F642" s="54">
        <v>6</v>
      </c>
      <c r="G642" s="54">
        <v>90</v>
      </c>
      <c r="H642" s="131" t="s">
        <v>1292</v>
      </c>
    </row>
    <row r="643" spans="1:8">
      <c r="A643" s="62">
        <v>8320246</v>
      </c>
      <c r="B643" s="55" t="s">
        <v>1293</v>
      </c>
      <c r="C643" s="58">
        <v>17750243080399</v>
      </c>
      <c r="D643" s="55" t="s">
        <v>9</v>
      </c>
      <c r="E643" s="55">
        <v>10</v>
      </c>
      <c r="F643" s="55">
        <v>5</v>
      </c>
      <c r="G643" s="55">
        <v>50</v>
      </c>
      <c r="H643" s="131" t="s">
        <v>1294</v>
      </c>
    </row>
    <row r="644" spans="1:8">
      <c r="A644" s="61">
        <v>8320247</v>
      </c>
      <c r="B644" s="54" t="s">
        <v>1295</v>
      </c>
      <c r="C644" s="57">
        <v>17750243080405</v>
      </c>
      <c r="D644" s="54" t="s">
        <v>9</v>
      </c>
      <c r="E644" s="54">
        <v>10</v>
      </c>
      <c r="F644" s="54">
        <v>5</v>
      </c>
      <c r="G644" s="54">
        <v>50</v>
      </c>
      <c r="H644" s="131" t="s">
        <v>1296</v>
      </c>
    </row>
    <row r="645" spans="1:8">
      <c r="A645" s="62">
        <v>8320248</v>
      </c>
      <c r="B645" s="55" t="s">
        <v>1297</v>
      </c>
      <c r="C645" s="58">
        <v>17750243080412</v>
      </c>
      <c r="D645" s="55" t="s">
        <v>9</v>
      </c>
      <c r="E645" s="55">
        <v>10</v>
      </c>
      <c r="F645" s="55">
        <v>5</v>
      </c>
      <c r="G645" s="55">
        <v>50</v>
      </c>
      <c r="H645" s="131" t="s">
        <v>1298</v>
      </c>
    </row>
    <row r="646" spans="1:8">
      <c r="A646" s="61">
        <v>8320249</v>
      </c>
      <c r="B646" s="54" t="s">
        <v>1299</v>
      </c>
      <c r="C646" s="57">
        <v>17750243080429</v>
      </c>
      <c r="D646" s="54" t="s">
        <v>9</v>
      </c>
      <c r="E646" s="54">
        <v>17</v>
      </c>
      <c r="F646" s="54">
        <v>5</v>
      </c>
      <c r="G646" s="54">
        <v>85</v>
      </c>
      <c r="H646" s="131" t="s">
        <v>1300</v>
      </c>
    </row>
    <row r="647" spans="1:8">
      <c r="A647" s="62">
        <v>8320250</v>
      </c>
      <c r="B647" s="55" t="s">
        <v>1301</v>
      </c>
      <c r="C647" s="58">
        <v>17750243080436</v>
      </c>
      <c r="D647" s="55" t="s">
        <v>9</v>
      </c>
      <c r="E647" s="55">
        <v>9</v>
      </c>
      <c r="F647" s="55">
        <v>3</v>
      </c>
      <c r="G647" s="55">
        <v>27</v>
      </c>
      <c r="H647" s="131" t="s">
        <v>1302</v>
      </c>
    </row>
    <row r="648" spans="1:8">
      <c r="A648" s="61">
        <v>8320251</v>
      </c>
      <c r="B648" s="54" t="s">
        <v>1303</v>
      </c>
      <c r="C648" s="57">
        <v>17750243080122</v>
      </c>
      <c r="D648" s="54" t="s">
        <v>9</v>
      </c>
      <c r="E648" s="54">
        <v>15</v>
      </c>
      <c r="F648" s="54">
        <v>6</v>
      </c>
      <c r="G648" s="54">
        <v>90</v>
      </c>
      <c r="H648" s="131" t="s">
        <v>1304</v>
      </c>
    </row>
    <row r="649" spans="1:8">
      <c r="A649" s="62">
        <v>8320252</v>
      </c>
      <c r="B649" s="55" t="s">
        <v>1305</v>
      </c>
      <c r="C649" s="58">
        <v>17750243080139</v>
      </c>
      <c r="D649" s="55" t="s">
        <v>9</v>
      </c>
      <c r="E649" s="55">
        <v>15</v>
      </c>
      <c r="F649" s="55">
        <v>6</v>
      </c>
      <c r="G649" s="55">
        <v>90</v>
      </c>
      <c r="H649" s="131" t="s">
        <v>1306</v>
      </c>
    </row>
    <row r="650" spans="1:8">
      <c r="A650" s="61">
        <v>8320253</v>
      </c>
      <c r="B650" s="54" t="s">
        <v>1307</v>
      </c>
      <c r="C650" s="57">
        <v>17750243080146</v>
      </c>
      <c r="D650" s="54" t="s">
        <v>9</v>
      </c>
      <c r="E650" s="54">
        <v>15</v>
      </c>
      <c r="F650" s="54">
        <v>6</v>
      </c>
      <c r="G650" s="54">
        <v>90</v>
      </c>
      <c r="H650" s="131" t="s">
        <v>1308</v>
      </c>
    </row>
    <row r="651" spans="1:8">
      <c r="A651" s="62">
        <v>8320254</v>
      </c>
      <c r="B651" s="55" t="s">
        <v>1309</v>
      </c>
      <c r="C651" s="58">
        <v>17750243080153</v>
      </c>
      <c r="D651" s="55" t="s">
        <v>9</v>
      </c>
      <c r="E651" s="55">
        <v>15</v>
      </c>
      <c r="F651" s="55">
        <v>6</v>
      </c>
      <c r="G651" s="55">
        <v>90</v>
      </c>
      <c r="H651" s="131" t="s">
        <v>1310</v>
      </c>
    </row>
    <row r="652" spans="1:8">
      <c r="A652" s="61">
        <v>8320255</v>
      </c>
      <c r="B652" s="54" t="s">
        <v>1311</v>
      </c>
      <c r="C652" s="57">
        <v>17750243080160</v>
      </c>
      <c r="D652" s="54" t="s">
        <v>9</v>
      </c>
      <c r="E652" s="54">
        <v>15</v>
      </c>
      <c r="F652" s="54">
        <v>6</v>
      </c>
      <c r="G652" s="54">
        <v>90</v>
      </c>
      <c r="H652" s="131" t="s">
        <v>1312</v>
      </c>
    </row>
    <row r="653" spans="1:8">
      <c r="A653" s="62">
        <v>8320256</v>
      </c>
      <c r="B653" s="55" t="s">
        <v>1313</v>
      </c>
      <c r="C653" s="58">
        <v>17750243080177</v>
      </c>
      <c r="D653" s="55" t="s">
        <v>9</v>
      </c>
      <c r="E653" s="55">
        <v>15</v>
      </c>
      <c r="F653" s="55">
        <v>6</v>
      </c>
      <c r="G653" s="55">
        <v>90</v>
      </c>
      <c r="H653" s="131" t="s">
        <v>1314</v>
      </c>
    </row>
    <row r="654" spans="1:8">
      <c r="A654" s="61">
        <v>8320257</v>
      </c>
      <c r="B654" s="54" t="s">
        <v>1315</v>
      </c>
      <c r="C654" s="57">
        <v>17750243080184</v>
      </c>
      <c r="D654" s="54" t="s">
        <v>9</v>
      </c>
      <c r="E654" s="54">
        <v>10</v>
      </c>
      <c r="F654" s="54">
        <v>5</v>
      </c>
      <c r="G654" s="54">
        <v>50</v>
      </c>
      <c r="H654" s="131" t="s">
        <v>1316</v>
      </c>
    </row>
    <row r="655" spans="1:8">
      <c r="A655" s="62">
        <v>8320258</v>
      </c>
      <c r="B655" s="55" t="s">
        <v>1317</v>
      </c>
      <c r="C655" s="58">
        <v>17750243080191</v>
      </c>
      <c r="D655" s="55" t="s">
        <v>9</v>
      </c>
      <c r="E655" s="55">
        <v>10</v>
      </c>
      <c r="F655" s="55">
        <v>5</v>
      </c>
      <c r="G655" s="55">
        <v>50</v>
      </c>
      <c r="H655" s="131" t="s">
        <v>1318</v>
      </c>
    </row>
    <row r="656" spans="1:8">
      <c r="A656" s="61">
        <v>8320259</v>
      </c>
      <c r="B656" s="54" t="s">
        <v>1319</v>
      </c>
      <c r="C656" s="57">
        <v>17750243080207</v>
      </c>
      <c r="D656" s="54" t="s">
        <v>9</v>
      </c>
      <c r="E656" s="54">
        <v>10</v>
      </c>
      <c r="F656" s="54">
        <v>5</v>
      </c>
      <c r="G656" s="54">
        <v>50</v>
      </c>
      <c r="H656" s="131" t="s">
        <v>1320</v>
      </c>
    </row>
    <row r="657" spans="1:8">
      <c r="A657" s="62">
        <v>8320260</v>
      </c>
      <c r="B657" s="55" t="s">
        <v>1321</v>
      </c>
      <c r="C657" s="58">
        <v>17750243080214</v>
      </c>
      <c r="D657" s="55" t="s">
        <v>9</v>
      </c>
      <c r="E657" s="55">
        <v>10</v>
      </c>
      <c r="F657" s="55">
        <v>5</v>
      </c>
      <c r="G657" s="55">
        <v>50</v>
      </c>
      <c r="H657" s="131" t="s">
        <v>1322</v>
      </c>
    </row>
    <row r="658" spans="1:8">
      <c r="A658" s="61">
        <v>8320261</v>
      </c>
      <c r="B658" s="54" t="s">
        <v>1323</v>
      </c>
      <c r="C658" s="57">
        <v>17750243080221</v>
      </c>
      <c r="D658" s="54" t="s">
        <v>9</v>
      </c>
      <c r="E658" s="54">
        <v>10</v>
      </c>
      <c r="F658" s="54">
        <v>5</v>
      </c>
      <c r="G658" s="54">
        <v>50</v>
      </c>
      <c r="H658" s="131" t="s">
        <v>1324</v>
      </c>
    </row>
    <row r="659" spans="1:8">
      <c r="A659" s="62">
        <v>8320262</v>
      </c>
      <c r="B659" s="55" t="s">
        <v>1325</v>
      </c>
      <c r="C659" s="58">
        <v>17750243080238</v>
      </c>
      <c r="D659" s="55" t="s">
        <v>9</v>
      </c>
      <c r="E659" s="55">
        <v>10</v>
      </c>
      <c r="F659" s="55">
        <v>5</v>
      </c>
      <c r="G659" s="55">
        <v>50</v>
      </c>
      <c r="H659" s="131" t="s">
        <v>1326</v>
      </c>
    </row>
    <row r="660" spans="1:8">
      <c r="A660" s="61">
        <v>8320263</v>
      </c>
      <c r="B660" s="54" t="s">
        <v>1327</v>
      </c>
      <c r="C660" s="57">
        <v>17750243080245</v>
      </c>
      <c r="D660" s="54" t="s">
        <v>9</v>
      </c>
      <c r="E660" s="54">
        <v>17</v>
      </c>
      <c r="F660" s="54">
        <v>5</v>
      </c>
      <c r="G660" s="54">
        <v>85</v>
      </c>
      <c r="H660" s="131" t="s">
        <v>1328</v>
      </c>
    </row>
    <row r="661" spans="1:8">
      <c r="A661" s="62">
        <v>8320264</v>
      </c>
      <c r="B661" s="55" t="s">
        <v>1329</v>
      </c>
      <c r="C661" s="58">
        <v>17750243080252</v>
      </c>
      <c r="D661" s="55" t="s">
        <v>9</v>
      </c>
      <c r="E661" s="55">
        <v>17</v>
      </c>
      <c r="F661" s="55">
        <v>5</v>
      </c>
      <c r="G661" s="55">
        <v>85</v>
      </c>
      <c r="H661" s="131" t="s">
        <v>1330</v>
      </c>
    </row>
    <row r="662" spans="1:8">
      <c r="A662" s="61">
        <v>8320265</v>
      </c>
      <c r="B662" s="54" t="s">
        <v>1331</v>
      </c>
      <c r="C662" s="57">
        <v>27751851031565</v>
      </c>
      <c r="D662" s="54" t="s">
        <v>9</v>
      </c>
      <c r="E662" s="54">
        <v>17</v>
      </c>
      <c r="F662" s="54">
        <v>5</v>
      </c>
      <c r="G662" s="54">
        <v>85</v>
      </c>
      <c r="H662" s="131" t="s">
        <v>1332</v>
      </c>
    </row>
    <row r="663" spans="1:8">
      <c r="A663" s="62">
        <v>8320266</v>
      </c>
      <c r="B663" s="55" t="s">
        <v>1333</v>
      </c>
      <c r="C663" s="58">
        <v>17750243080276</v>
      </c>
      <c r="D663" s="55" t="s">
        <v>9</v>
      </c>
      <c r="E663" s="55">
        <v>17</v>
      </c>
      <c r="F663" s="55">
        <v>5</v>
      </c>
      <c r="G663" s="55">
        <v>85</v>
      </c>
      <c r="H663" s="131" t="s">
        <v>1334</v>
      </c>
    </row>
    <row r="664" spans="1:8">
      <c r="A664" s="61">
        <v>8320267</v>
      </c>
      <c r="B664" s="54" t="s">
        <v>1335</v>
      </c>
      <c r="C664" s="57">
        <v>17750243080283</v>
      </c>
      <c r="D664" s="54" t="s">
        <v>9</v>
      </c>
      <c r="E664" s="54">
        <v>9</v>
      </c>
      <c r="F664" s="54">
        <v>3</v>
      </c>
      <c r="G664" s="54">
        <v>27</v>
      </c>
      <c r="H664" s="131" t="s">
        <v>1336</v>
      </c>
    </row>
    <row r="665" spans="1:8">
      <c r="A665" s="62">
        <v>8320268</v>
      </c>
      <c r="B665" s="55" t="s">
        <v>1337</v>
      </c>
      <c r="C665" s="58">
        <v>17750243080313</v>
      </c>
      <c r="D665" s="55" t="s">
        <v>9</v>
      </c>
      <c r="E665" s="55">
        <v>9</v>
      </c>
      <c r="F665" s="55">
        <v>3</v>
      </c>
      <c r="G665" s="55">
        <v>27</v>
      </c>
      <c r="H665" s="131" t="s">
        <v>1338</v>
      </c>
    </row>
    <row r="666" spans="1:8">
      <c r="A666" s="61">
        <v>8320269</v>
      </c>
      <c r="B666" s="54" t="s">
        <v>1339</v>
      </c>
      <c r="C666" s="57">
        <v>17750243080320</v>
      </c>
      <c r="D666" s="54" t="s">
        <v>9</v>
      </c>
      <c r="E666" s="54">
        <v>9</v>
      </c>
      <c r="F666" s="54">
        <v>3</v>
      </c>
      <c r="G666" s="54">
        <v>27</v>
      </c>
      <c r="H666" s="131" t="s">
        <v>1340</v>
      </c>
    </row>
    <row r="667" spans="1:8">
      <c r="A667" s="62">
        <v>8321000</v>
      </c>
      <c r="B667" s="55" t="s">
        <v>1341</v>
      </c>
      <c r="C667" s="58">
        <v>17751851014288</v>
      </c>
      <c r="D667" s="55" t="s">
        <v>9</v>
      </c>
      <c r="E667" s="55">
        <v>26</v>
      </c>
      <c r="F667" s="55">
        <v>5</v>
      </c>
      <c r="G667" s="55">
        <v>130</v>
      </c>
      <c r="H667" s="131" t="s">
        <v>1342</v>
      </c>
    </row>
    <row r="668" spans="1:8">
      <c r="A668" s="61">
        <v>8321001</v>
      </c>
      <c r="B668" s="54" t="s">
        <v>1343</v>
      </c>
      <c r="C668" s="57">
        <v>17751851014295</v>
      </c>
      <c r="D668" s="54" t="s">
        <v>9</v>
      </c>
      <c r="E668" s="54">
        <v>26</v>
      </c>
      <c r="F668" s="54">
        <v>5</v>
      </c>
      <c r="G668" s="54">
        <v>130</v>
      </c>
      <c r="H668" s="131" t="s">
        <v>1344</v>
      </c>
    </row>
    <row r="669" spans="1:8">
      <c r="A669" s="62">
        <v>8321002</v>
      </c>
      <c r="B669" s="55" t="s">
        <v>1345</v>
      </c>
      <c r="C669" s="58">
        <v>17751851014301</v>
      </c>
      <c r="D669" s="55" t="s">
        <v>9</v>
      </c>
      <c r="E669" s="55">
        <v>26</v>
      </c>
      <c r="F669" s="55">
        <v>5</v>
      </c>
      <c r="G669" s="55">
        <v>130</v>
      </c>
      <c r="H669" s="131" t="s">
        <v>1346</v>
      </c>
    </row>
    <row r="670" spans="1:8">
      <c r="A670" s="61">
        <v>8321003</v>
      </c>
      <c r="B670" s="54" t="s">
        <v>1347</v>
      </c>
      <c r="C670" s="57">
        <v>17751851014271</v>
      </c>
      <c r="D670" s="54" t="s">
        <v>9</v>
      </c>
      <c r="E670" s="54">
        <v>26</v>
      </c>
      <c r="F670" s="54">
        <v>5</v>
      </c>
      <c r="G670" s="54">
        <v>130</v>
      </c>
      <c r="H670" s="131" t="s">
        <v>1348</v>
      </c>
    </row>
    <row r="671" spans="1:8">
      <c r="A671" s="62">
        <v>8321010</v>
      </c>
      <c r="B671" s="55" t="s">
        <v>1349</v>
      </c>
      <c r="C671" s="58">
        <v>27751851006778</v>
      </c>
      <c r="D671" s="55" t="s">
        <v>9</v>
      </c>
      <c r="E671" s="55">
        <v>27</v>
      </c>
      <c r="F671" s="55">
        <v>4</v>
      </c>
      <c r="G671" s="55">
        <v>108</v>
      </c>
      <c r="H671" s="131" t="s">
        <v>1350</v>
      </c>
    </row>
    <row r="672" spans="1:8">
      <c r="A672" s="61">
        <v>8321012</v>
      </c>
      <c r="B672" s="54" t="s">
        <v>1351</v>
      </c>
      <c r="C672" s="57">
        <v>27751851006754</v>
      </c>
      <c r="D672" s="54" t="s">
        <v>9</v>
      </c>
      <c r="E672" s="54">
        <v>27</v>
      </c>
      <c r="F672" s="54">
        <v>4</v>
      </c>
      <c r="G672" s="54">
        <v>108</v>
      </c>
      <c r="H672" s="131" t="s">
        <v>1352</v>
      </c>
    </row>
    <row r="673" spans="1:8">
      <c r="A673" s="62">
        <v>8321030</v>
      </c>
      <c r="B673" s="55" t="s">
        <v>1353</v>
      </c>
      <c r="C673" s="58">
        <v>27751851006761</v>
      </c>
      <c r="D673" s="55" t="s">
        <v>9</v>
      </c>
      <c r="E673" s="55">
        <v>27</v>
      </c>
      <c r="F673" s="55">
        <v>4</v>
      </c>
      <c r="G673" s="55">
        <v>108</v>
      </c>
      <c r="H673" s="131" t="s">
        <v>1354</v>
      </c>
    </row>
    <row r="674" spans="1:8">
      <c r="A674" s="61">
        <v>8321090</v>
      </c>
      <c r="B674" s="54" t="s">
        <v>1355</v>
      </c>
      <c r="C674" s="57">
        <v>17750243073827</v>
      </c>
      <c r="D674" s="54" t="s">
        <v>9</v>
      </c>
      <c r="E674" s="54">
        <v>15</v>
      </c>
      <c r="F674" s="54">
        <v>4</v>
      </c>
      <c r="G674" s="54">
        <v>60</v>
      </c>
      <c r="H674" s="131" t="s">
        <v>1356</v>
      </c>
    </row>
    <row r="675" spans="1:8">
      <c r="A675" s="62">
        <v>8321091</v>
      </c>
      <c r="B675" s="55" t="s">
        <v>1357</v>
      </c>
      <c r="C675" s="58">
        <v>17750243073834</v>
      </c>
      <c r="D675" s="55" t="s">
        <v>9</v>
      </c>
      <c r="E675" s="55">
        <v>25</v>
      </c>
      <c r="F675" s="55">
        <v>4</v>
      </c>
      <c r="G675" s="55">
        <v>100</v>
      </c>
      <c r="H675" s="131" t="s">
        <v>1358</v>
      </c>
    </row>
    <row r="676" spans="1:8">
      <c r="A676" s="61">
        <v>8321092</v>
      </c>
      <c r="B676" s="54" t="s">
        <v>1359</v>
      </c>
      <c r="C676" s="57">
        <v>17750243073841</v>
      </c>
      <c r="D676" s="54" t="s">
        <v>9</v>
      </c>
      <c r="E676" s="54">
        <v>10</v>
      </c>
      <c r="F676" s="54">
        <v>7</v>
      </c>
      <c r="G676" s="54">
        <v>70</v>
      </c>
      <c r="H676" s="131" t="s">
        <v>1360</v>
      </c>
    </row>
    <row r="677" spans="1:8">
      <c r="A677" s="62">
        <v>8321093</v>
      </c>
      <c r="B677" s="55" t="s">
        <v>1361</v>
      </c>
      <c r="C677" s="58">
        <v>17750243073858</v>
      </c>
      <c r="D677" s="55" t="s">
        <v>9</v>
      </c>
      <c r="E677" s="55">
        <v>18</v>
      </c>
      <c r="F677" s="55">
        <v>4</v>
      </c>
      <c r="G677" s="55">
        <v>72</v>
      </c>
      <c r="H677" s="131" t="s">
        <v>1362</v>
      </c>
    </row>
    <row r="678" spans="1:8">
      <c r="A678" s="61">
        <v>8321096</v>
      </c>
      <c r="B678" s="54" t="s">
        <v>1363</v>
      </c>
      <c r="C678" s="57">
        <v>17750243073865</v>
      </c>
      <c r="D678" s="54" t="s">
        <v>9</v>
      </c>
      <c r="E678" s="54">
        <v>8</v>
      </c>
      <c r="F678" s="54">
        <v>8</v>
      </c>
      <c r="G678" s="54">
        <v>64</v>
      </c>
      <c r="H678" s="131" t="s">
        <v>1364</v>
      </c>
    </row>
    <row r="679" spans="1:8">
      <c r="A679" s="62">
        <v>8321097</v>
      </c>
      <c r="B679" s="55" t="s">
        <v>1365</v>
      </c>
      <c r="C679" s="58">
        <v>17750243073872</v>
      </c>
      <c r="D679" s="55" t="s">
        <v>9</v>
      </c>
      <c r="E679" s="55">
        <v>15</v>
      </c>
      <c r="F679" s="55">
        <v>4</v>
      </c>
      <c r="G679" s="55">
        <v>60</v>
      </c>
      <c r="H679" s="131" t="s">
        <v>1366</v>
      </c>
    </row>
    <row r="680" spans="1:8">
      <c r="A680" s="61">
        <v>8321098</v>
      </c>
      <c r="B680" s="54" t="s">
        <v>1367</v>
      </c>
      <c r="C680" s="57">
        <v>17750243073889</v>
      </c>
      <c r="D680" s="54" t="s">
        <v>9</v>
      </c>
      <c r="E680" s="54">
        <v>25</v>
      </c>
      <c r="F680" s="54">
        <v>4</v>
      </c>
      <c r="G680" s="54">
        <v>100</v>
      </c>
      <c r="H680" s="131" t="s">
        <v>1368</v>
      </c>
    </row>
    <row r="681" spans="1:8">
      <c r="A681" s="62">
        <v>8321100</v>
      </c>
      <c r="B681" s="55" t="s">
        <v>1369</v>
      </c>
      <c r="C681" s="58">
        <v>17750243073902</v>
      </c>
      <c r="D681" s="55" t="s">
        <v>9</v>
      </c>
      <c r="E681" s="55">
        <v>18</v>
      </c>
      <c r="F681" s="55">
        <v>4</v>
      </c>
      <c r="G681" s="55">
        <v>72</v>
      </c>
      <c r="H681" s="131" t="s">
        <v>1370</v>
      </c>
    </row>
    <row r="682" spans="1:8">
      <c r="A682" s="61">
        <v>8321101</v>
      </c>
      <c r="B682" s="54" t="s">
        <v>1371</v>
      </c>
      <c r="C682" s="57">
        <v>17750243073919</v>
      </c>
      <c r="D682" s="54" t="s">
        <v>9</v>
      </c>
      <c r="E682" s="54">
        <v>32</v>
      </c>
      <c r="F682" s="54">
        <v>4</v>
      </c>
      <c r="G682" s="54">
        <v>128</v>
      </c>
      <c r="H682" s="131" t="s">
        <v>1372</v>
      </c>
    </row>
    <row r="683" spans="1:8">
      <c r="A683" s="62">
        <v>8321104</v>
      </c>
      <c r="B683" s="55" t="s">
        <v>1373</v>
      </c>
      <c r="C683" s="58">
        <v>17750243073933</v>
      </c>
      <c r="D683" s="55" t="s">
        <v>9</v>
      </c>
      <c r="E683" s="55">
        <v>27</v>
      </c>
      <c r="F683" s="55">
        <v>5</v>
      </c>
      <c r="G683" s="55">
        <v>135</v>
      </c>
      <c r="H683" s="131" t="s">
        <v>1374</v>
      </c>
    </row>
    <row r="684" spans="1:8">
      <c r="A684" s="61">
        <v>8321105</v>
      </c>
      <c r="B684" s="54" t="s">
        <v>1375</v>
      </c>
      <c r="C684" s="57">
        <v>17750243073940</v>
      </c>
      <c r="D684" s="54" t="s">
        <v>9</v>
      </c>
      <c r="E684" s="54">
        <v>45</v>
      </c>
      <c r="F684" s="54">
        <v>6</v>
      </c>
      <c r="G684" s="54">
        <v>270</v>
      </c>
      <c r="H684" s="131" t="s">
        <v>1376</v>
      </c>
    </row>
    <row r="685" spans="1:8">
      <c r="A685" s="62">
        <v>8321106</v>
      </c>
      <c r="B685" s="55" t="s">
        <v>1377</v>
      </c>
      <c r="C685" s="58">
        <v>17750243073957</v>
      </c>
      <c r="D685" s="55" t="s">
        <v>9</v>
      </c>
      <c r="E685" s="55">
        <v>13</v>
      </c>
      <c r="F685" s="55">
        <v>8</v>
      </c>
      <c r="G685" s="55">
        <v>104</v>
      </c>
      <c r="H685" s="131" t="s">
        <v>1378</v>
      </c>
    </row>
    <row r="686" spans="1:8">
      <c r="A686" s="61">
        <v>8321107</v>
      </c>
      <c r="B686" s="54" t="s">
        <v>1379</v>
      </c>
      <c r="C686" s="57">
        <v>17750243073964</v>
      </c>
      <c r="D686" s="54" t="s">
        <v>9</v>
      </c>
      <c r="E686" s="54">
        <v>8</v>
      </c>
      <c r="F686" s="54">
        <v>8</v>
      </c>
      <c r="G686" s="54">
        <v>64</v>
      </c>
      <c r="H686" s="131" t="s">
        <v>1380</v>
      </c>
    </row>
    <row r="687" spans="1:8">
      <c r="A687" s="62">
        <v>8321108</v>
      </c>
      <c r="B687" s="55" t="s">
        <v>1381</v>
      </c>
      <c r="C687" s="58">
        <v>17750243073971</v>
      </c>
      <c r="D687" s="55" t="s">
        <v>9</v>
      </c>
      <c r="E687" s="55">
        <v>10</v>
      </c>
      <c r="F687" s="55">
        <v>11</v>
      </c>
      <c r="G687" s="55">
        <v>110</v>
      </c>
      <c r="H687" s="131" t="s">
        <v>1382</v>
      </c>
    </row>
    <row r="688" spans="1:8">
      <c r="A688" s="61">
        <v>8321110</v>
      </c>
      <c r="B688" s="54" t="s">
        <v>1383</v>
      </c>
      <c r="C688" s="57">
        <v>17750243073995</v>
      </c>
      <c r="D688" s="54" t="s">
        <v>9</v>
      </c>
      <c r="E688" s="54">
        <v>10</v>
      </c>
      <c r="F688" s="54">
        <v>7</v>
      </c>
      <c r="G688" s="54">
        <v>70</v>
      </c>
      <c r="H688" s="131" t="s">
        <v>1384</v>
      </c>
    </row>
    <row r="689" spans="1:8">
      <c r="A689" s="62">
        <v>8321111</v>
      </c>
      <c r="B689" s="55" t="s">
        <v>1385</v>
      </c>
      <c r="C689" s="58">
        <v>17750243073988</v>
      </c>
      <c r="D689" s="55" t="s">
        <v>9</v>
      </c>
      <c r="E689" s="55">
        <v>68</v>
      </c>
      <c r="F689" s="55">
        <v>7</v>
      </c>
      <c r="G689" s="55">
        <v>476</v>
      </c>
      <c r="H689" s="131" t="s">
        <v>1386</v>
      </c>
    </row>
    <row r="690" spans="1:8">
      <c r="A690" s="61">
        <v>8321112</v>
      </c>
      <c r="B690" s="54" t="s">
        <v>1387</v>
      </c>
      <c r="C690" s="57">
        <v>17750243074008</v>
      </c>
      <c r="D690" s="54" t="s">
        <v>9</v>
      </c>
      <c r="E690" s="54">
        <v>27</v>
      </c>
      <c r="F690" s="54">
        <v>5</v>
      </c>
      <c r="G690" s="54">
        <v>135</v>
      </c>
      <c r="H690" s="131" t="s">
        <v>1388</v>
      </c>
    </row>
    <row r="691" spans="1:8">
      <c r="A691" s="62">
        <v>8321113</v>
      </c>
      <c r="B691" s="55" t="s">
        <v>1389</v>
      </c>
      <c r="C691" s="58">
        <v>17750243074015</v>
      </c>
      <c r="D691" s="55" t="s">
        <v>9</v>
      </c>
      <c r="E691" s="55">
        <v>45</v>
      </c>
      <c r="F691" s="55">
        <v>6</v>
      </c>
      <c r="G691" s="55">
        <v>270</v>
      </c>
      <c r="H691" s="131" t="s">
        <v>1390</v>
      </c>
    </row>
    <row r="692" spans="1:8">
      <c r="A692" s="61">
        <v>8321114</v>
      </c>
      <c r="B692" s="54" t="s">
        <v>1391</v>
      </c>
      <c r="C692" s="57">
        <v>17750243074022</v>
      </c>
      <c r="D692" s="54" t="s">
        <v>9</v>
      </c>
      <c r="E692" s="54">
        <v>15</v>
      </c>
      <c r="F692" s="54">
        <v>4</v>
      </c>
      <c r="G692" s="54">
        <v>60</v>
      </c>
      <c r="H692" s="131" t="s">
        <v>1392</v>
      </c>
    </row>
    <row r="693" spans="1:8">
      <c r="A693" s="62">
        <v>8321115</v>
      </c>
      <c r="B693" s="55" t="s">
        <v>1393</v>
      </c>
      <c r="C693" s="58">
        <v>17750243074039</v>
      </c>
      <c r="D693" s="55" t="s">
        <v>9</v>
      </c>
      <c r="E693" s="55">
        <v>25</v>
      </c>
      <c r="F693" s="55">
        <v>4</v>
      </c>
      <c r="G693" s="55">
        <v>100</v>
      </c>
      <c r="H693" s="131" t="s">
        <v>1394</v>
      </c>
    </row>
    <row r="694" spans="1:8">
      <c r="A694" s="61">
        <v>8321116</v>
      </c>
      <c r="B694" s="54" t="s">
        <v>1395</v>
      </c>
      <c r="C694" s="57">
        <v>17750243074046</v>
      </c>
      <c r="D694" s="54" t="s">
        <v>9</v>
      </c>
      <c r="E694" s="54">
        <v>10</v>
      </c>
      <c r="F694" s="54">
        <v>7</v>
      </c>
      <c r="G694" s="54">
        <v>70</v>
      </c>
      <c r="H694" s="131" t="s">
        <v>1396</v>
      </c>
    </row>
    <row r="695" spans="1:8">
      <c r="A695" s="62">
        <v>8321117</v>
      </c>
      <c r="B695" s="55" t="s">
        <v>1397</v>
      </c>
      <c r="C695" s="58">
        <v>17750243074053</v>
      </c>
      <c r="D695" s="55" t="s">
        <v>9</v>
      </c>
      <c r="E695" s="55">
        <v>18</v>
      </c>
      <c r="F695" s="55">
        <v>4</v>
      </c>
      <c r="G695" s="55">
        <v>72</v>
      </c>
      <c r="H695" s="131" t="s">
        <v>1398</v>
      </c>
    </row>
    <row r="696" spans="1:8">
      <c r="A696" s="61">
        <v>8321120</v>
      </c>
      <c r="B696" s="54" t="s">
        <v>1399</v>
      </c>
      <c r="C696" s="57">
        <v>17750243074060</v>
      </c>
      <c r="D696" s="54" t="s">
        <v>9</v>
      </c>
      <c r="E696" s="54">
        <v>8</v>
      </c>
      <c r="F696" s="54">
        <v>8</v>
      </c>
      <c r="G696" s="54">
        <v>64</v>
      </c>
      <c r="H696" s="131" t="s">
        <v>1400</v>
      </c>
    </row>
    <row r="697" spans="1:8">
      <c r="A697" s="62">
        <v>8321122</v>
      </c>
      <c r="B697" s="55" t="s">
        <v>1401</v>
      </c>
      <c r="C697" s="58">
        <v>17750243073001</v>
      </c>
      <c r="D697" s="55" t="s">
        <v>9</v>
      </c>
      <c r="E697" s="55">
        <v>32</v>
      </c>
      <c r="F697" s="55">
        <v>4</v>
      </c>
      <c r="G697" s="55">
        <v>128</v>
      </c>
      <c r="H697" s="131" t="s">
        <v>1402</v>
      </c>
    </row>
    <row r="698" spans="1:8">
      <c r="A698" s="61">
        <v>8321123</v>
      </c>
      <c r="B698" s="54" t="s">
        <v>1403</v>
      </c>
      <c r="C698" s="57">
        <v>17750243073018</v>
      </c>
      <c r="D698" s="54" t="s">
        <v>9</v>
      </c>
      <c r="E698" s="54">
        <v>32</v>
      </c>
      <c r="F698" s="54">
        <v>4</v>
      </c>
      <c r="G698" s="54">
        <v>128</v>
      </c>
      <c r="H698" s="131" t="s">
        <v>1404</v>
      </c>
    </row>
    <row r="699" spans="1:8">
      <c r="A699" s="62">
        <v>8321141</v>
      </c>
      <c r="B699" s="55" t="s">
        <v>1405</v>
      </c>
      <c r="C699" s="60"/>
      <c r="D699" s="55" t="s">
        <v>9</v>
      </c>
      <c r="E699" s="55">
        <v>10</v>
      </c>
      <c r="F699" s="55">
        <v>8</v>
      </c>
      <c r="G699" s="55">
        <v>80</v>
      </c>
      <c r="H699" s="131" t="s">
        <v>1406</v>
      </c>
    </row>
    <row r="700" spans="1:8">
      <c r="A700" s="61">
        <v>8321146</v>
      </c>
      <c r="B700" s="54" t="s">
        <v>1407</v>
      </c>
      <c r="C700" s="57">
        <v>17750243076378</v>
      </c>
      <c r="D700" s="54" t="s">
        <v>9</v>
      </c>
      <c r="E700" s="54">
        <v>15</v>
      </c>
      <c r="F700" s="54">
        <v>4</v>
      </c>
      <c r="G700" s="54">
        <v>60</v>
      </c>
      <c r="H700" s="131" t="s">
        <v>1408</v>
      </c>
    </row>
    <row r="701" spans="1:8">
      <c r="A701" s="62">
        <v>8321147</v>
      </c>
      <c r="B701" s="55" t="s">
        <v>1409</v>
      </c>
      <c r="C701" s="58">
        <v>17750243076453</v>
      </c>
      <c r="D701" s="55" t="s">
        <v>9</v>
      </c>
      <c r="E701" s="55">
        <v>25</v>
      </c>
      <c r="F701" s="55">
        <v>4</v>
      </c>
      <c r="G701" s="55">
        <v>100</v>
      </c>
      <c r="H701" s="131" t="s">
        <v>1410</v>
      </c>
    </row>
    <row r="702" spans="1:8">
      <c r="A702" s="61">
        <v>8321148</v>
      </c>
      <c r="B702" s="54" t="s">
        <v>1411</v>
      </c>
      <c r="C702" s="57">
        <v>17750243076477</v>
      </c>
      <c r="D702" s="54" t="s">
        <v>9</v>
      </c>
      <c r="E702" s="54">
        <v>10</v>
      </c>
      <c r="F702" s="54">
        <v>7</v>
      </c>
      <c r="G702" s="54">
        <v>70</v>
      </c>
      <c r="H702" s="131" t="s">
        <v>1412</v>
      </c>
    </row>
    <row r="703" spans="1:8">
      <c r="A703" s="62">
        <v>8321149</v>
      </c>
      <c r="B703" s="55" t="s">
        <v>1413</v>
      </c>
      <c r="C703" s="58">
        <v>17750243076484</v>
      </c>
      <c r="D703" s="55" t="s">
        <v>9</v>
      </c>
      <c r="E703" s="55">
        <v>10</v>
      </c>
      <c r="F703" s="55">
        <v>11</v>
      </c>
      <c r="G703" s="55">
        <v>110</v>
      </c>
      <c r="H703" s="131" t="s">
        <v>1414</v>
      </c>
    </row>
    <row r="704" spans="1:8">
      <c r="A704" s="61">
        <v>8321150</v>
      </c>
      <c r="B704" s="54" t="s">
        <v>1415</v>
      </c>
      <c r="C704" s="57">
        <v>17750243076491</v>
      </c>
      <c r="D704" s="54" t="s">
        <v>9</v>
      </c>
      <c r="E704" s="54">
        <v>32</v>
      </c>
      <c r="F704" s="54">
        <v>4</v>
      </c>
      <c r="G704" s="54">
        <v>128</v>
      </c>
      <c r="H704" s="131" t="s">
        <v>1416</v>
      </c>
    </row>
    <row r="705" spans="1:8">
      <c r="A705" s="62">
        <v>8321151</v>
      </c>
      <c r="B705" s="55" t="s">
        <v>1417</v>
      </c>
      <c r="C705" s="58">
        <v>17750243076507</v>
      </c>
      <c r="D705" s="55" t="s">
        <v>9</v>
      </c>
      <c r="E705" s="55">
        <v>18</v>
      </c>
      <c r="F705" s="55">
        <v>4</v>
      </c>
      <c r="G705" s="55">
        <v>72</v>
      </c>
      <c r="H705" s="131" t="s">
        <v>1418</v>
      </c>
    </row>
    <row r="706" spans="1:8">
      <c r="A706" s="61">
        <v>8321152</v>
      </c>
      <c r="B706" s="54" t="s">
        <v>1419</v>
      </c>
      <c r="C706" s="57">
        <v>17750243076514</v>
      </c>
      <c r="D706" s="54" t="s">
        <v>9</v>
      </c>
      <c r="E706" s="54">
        <v>10</v>
      </c>
      <c r="F706" s="54">
        <v>7</v>
      </c>
      <c r="G706" s="54">
        <v>70</v>
      </c>
      <c r="H706" s="131" t="s">
        <v>1420</v>
      </c>
    </row>
    <row r="707" spans="1:8">
      <c r="A707" s="62">
        <v>8321153</v>
      </c>
      <c r="B707" s="55" t="s">
        <v>1421</v>
      </c>
      <c r="C707" s="58">
        <v>17750243076880</v>
      </c>
      <c r="D707" s="55" t="s">
        <v>9</v>
      </c>
      <c r="E707" s="55">
        <v>8</v>
      </c>
      <c r="F707" s="55">
        <v>8</v>
      </c>
      <c r="G707" s="55">
        <v>64</v>
      </c>
      <c r="H707" s="131" t="s">
        <v>1422</v>
      </c>
    </row>
    <row r="708" spans="1:8">
      <c r="A708" s="61">
        <v>8321154</v>
      </c>
      <c r="B708" s="54" t="s">
        <v>1423</v>
      </c>
      <c r="C708" s="57">
        <v>17750243076873</v>
      </c>
      <c r="D708" s="54" t="s">
        <v>9</v>
      </c>
      <c r="E708" s="54">
        <v>45</v>
      </c>
      <c r="F708" s="54">
        <v>6</v>
      </c>
      <c r="G708" s="54">
        <v>270</v>
      </c>
      <c r="H708" s="131" t="s">
        <v>1424</v>
      </c>
    </row>
    <row r="709" spans="1:8">
      <c r="A709" s="62">
        <v>8321162</v>
      </c>
      <c r="B709" s="55" t="s">
        <v>1425</v>
      </c>
      <c r="C709" s="58">
        <v>17750243077429</v>
      </c>
      <c r="D709" s="55" t="s">
        <v>9</v>
      </c>
      <c r="E709" s="55">
        <v>27</v>
      </c>
      <c r="F709" s="55">
        <v>5</v>
      </c>
      <c r="G709" s="55">
        <v>135</v>
      </c>
      <c r="H709" s="131" t="s">
        <v>1426</v>
      </c>
    </row>
    <row r="710" spans="1:8">
      <c r="A710" s="61">
        <v>8321163</v>
      </c>
      <c r="B710" s="54" t="s">
        <v>1427</v>
      </c>
      <c r="C710" s="57">
        <v>17750243077436</v>
      </c>
      <c r="D710" s="54" t="s">
        <v>9</v>
      </c>
      <c r="E710" s="54">
        <v>10</v>
      </c>
      <c r="F710" s="54">
        <v>11</v>
      </c>
      <c r="G710" s="54">
        <v>110</v>
      </c>
      <c r="H710" s="131" t="s">
        <v>1428</v>
      </c>
    </row>
    <row r="711" spans="1:8">
      <c r="A711" s="62">
        <v>8321164</v>
      </c>
      <c r="B711" s="55" t="s">
        <v>1429</v>
      </c>
      <c r="C711" s="58">
        <v>17750243077665</v>
      </c>
      <c r="D711" s="55" t="s">
        <v>9</v>
      </c>
      <c r="E711" s="55">
        <v>25</v>
      </c>
      <c r="F711" s="55">
        <v>4</v>
      </c>
      <c r="G711" s="55">
        <v>100</v>
      </c>
      <c r="H711" s="131" t="s">
        <v>1430</v>
      </c>
    </row>
    <row r="712" spans="1:8">
      <c r="A712" s="61">
        <v>8321165</v>
      </c>
      <c r="B712" s="54" t="s">
        <v>1431</v>
      </c>
      <c r="C712" s="57">
        <v>17750243077863</v>
      </c>
      <c r="D712" s="54" t="s">
        <v>9</v>
      </c>
      <c r="E712" s="54">
        <v>68</v>
      </c>
      <c r="F712" s="54">
        <v>7</v>
      </c>
      <c r="G712" s="54">
        <v>476</v>
      </c>
      <c r="H712" s="131" t="s">
        <v>1432</v>
      </c>
    </row>
    <row r="713" spans="1:8">
      <c r="A713" s="62">
        <v>8321166</v>
      </c>
      <c r="B713" s="55" t="s">
        <v>1433</v>
      </c>
      <c r="C713" s="58">
        <v>17750243077870</v>
      </c>
      <c r="D713" s="55" t="s">
        <v>9</v>
      </c>
      <c r="E713" s="55">
        <v>10</v>
      </c>
      <c r="F713" s="55">
        <v>11</v>
      </c>
      <c r="G713" s="55">
        <v>110</v>
      </c>
      <c r="H713" s="131" t="s">
        <v>1434</v>
      </c>
    </row>
    <row r="714" spans="1:8">
      <c r="A714" s="61">
        <v>8321167</v>
      </c>
      <c r="B714" s="54" t="s">
        <v>1435</v>
      </c>
      <c r="C714" s="57">
        <v>17750243077917</v>
      </c>
      <c r="D714" s="54" t="s">
        <v>9</v>
      </c>
      <c r="E714" s="54">
        <v>8</v>
      </c>
      <c r="F714" s="54">
        <v>8</v>
      </c>
      <c r="G714" s="54">
        <v>64</v>
      </c>
      <c r="H714" s="131" t="s">
        <v>1436</v>
      </c>
    </row>
    <row r="715" spans="1:8">
      <c r="A715" s="62">
        <v>8321168</v>
      </c>
      <c r="B715" s="55" t="s">
        <v>1437</v>
      </c>
      <c r="C715" s="58">
        <v>17750243078068</v>
      </c>
      <c r="D715" s="55" t="s">
        <v>9</v>
      </c>
      <c r="E715" s="55">
        <v>45</v>
      </c>
      <c r="F715" s="55">
        <v>6</v>
      </c>
      <c r="G715" s="55">
        <v>270</v>
      </c>
      <c r="H715" s="131" t="s">
        <v>1438</v>
      </c>
    </row>
    <row r="716" spans="1:8">
      <c r="A716" s="61">
        <v>8321169</v>
      </c>
      <c r="B716" s="54" t="s">
        <v>1439</v>
      </c>
      <c r="C716" s="57">
        <v>17750243078013</v>
      </c>
      <c r="D716" s="54" t="s">
        <v>9</v>
      </c>
      <c r="E716" s="54">
        <v>32</v>
      </c>
      <c r="F716" s="54">
        <v>4</v>
      </c>
      <c r="G716" s="54">
        <v>128</v>
      </c>
      <c r="H716" s="131" t="s">
        <v>1440</v>
      </c>
    </row>
    <row r="717" spans="1:8">
      <c r="A717" s="62">
        <v>8321170</v>
      </c>
      <c r="B717" s="55" t="s">
        <v>1441</v>
      </c>
      <c r="C717" s="58">
        <v>17750243078020</v>
      </c>
      <c r="D717" s="55" t="s">
        <v>9</v>
      </c>
      <c r="E717" s="55">
        <v>25</v>
      </c>
      <c r="F717" s="55">
        <v>4</v>
      </c>
      <c r="G717" s="55">
        <v>100</v>
      </c>
      <c r="H717" s="131" t="s">
        <v>1442</v>
      </c>
    </row>
    <row r="718" spans="1:8">
      <c r="A718" s="61">
        <v>8321175</v>
      </c>
      <c r="B718" s="54" t="s">
        <v>1443</v>
      </c>
      <c r="C718" s="57">
        <v>17750243081303</v>
      </c>
      <c r="D718" s="54" t="s">
        <v>9</v>
      </c>
      <c r="E718" s="54">
        <v>8</v>
      </c>
      <c r="F718" s="54">
        <v>8</v>
      </c>
      <c r="G718" s="54">
        <v>64</v>
      </c>
      <c r="H718" s="131" t="s">
        <v>1444</v>
      </c>
    </row>
    <row r="719" spans="1:8">
      <c r="A719" s="62">
        <v>8321176</v>
      </c>
      <c r="B719" s="55" t="s">
        <v>1445</v>
      </c>
      <c r="C719" s="58">
        <v>17750243078600</v>
      </c>
      <c r="D719" s="55" t="s">
        <v>9</v>
      </c>
      <c r="E719" s="55">
        <v>68</v>
      </c>
      <c r="F719" s="55">
        <v>7</v>
      </c>
      <c r="G719" s="55">
        <v>476</v>
      </c>
      <c r="H719" s="131" t="s">
        <v>1446</v>
      </c>
    </row>
    <row r="720" spans="1:8">
      <c r="A720" s="61">
        <v>8321177</v>
      </c>
      <c r="B720" s="54" t="s">
        <v>1447</v>
      </c>
      <c r="C720" s="57">
        <v>17750243078617</v>
      </c>
      <c r="D720" s="54" t="s">
        <v>9</v>
      </c>
      <c r="E720" s="54">
        <v>32</v>
      </c>
      <c r="F720" s="54">
        <v>4</v>
      </c>
      <c r="G720" s="54">
        <v>128</v>
      </c>
      <c r="H720" s="131" t="s">
        <v>1448</v>
      </c>
    </row>
    <row r="721" spans="1:8">
      <c r="A721" s="62">
        <v>8321178</v>
      </c>
      <c r="B721" s="55" t="s">
        <v>1449</v>
      </c>
      <c r="C721" s="58">
        <v>17750243078624</v>
      </c>
      <c r="D721" s="55" t="s">
        <v>9</v>
      </c>
      <c r="E721" s="55">
        <v>25</v>
      </c>
      <c r="F721" s="55">
        <v>4</v>
      </c>
      <c r="G721" s="55">
        <v>100</v>
      </c>
      <c r="H721" s="131" t="s">
        <v>1450</v>
      </c>
    </row>
    <row r="722" spans="1:8">
      <c r="A722" s="61">
        <v>8321179</v>
      </c>
      <c r="B722" s="54" t="s">
        <v>1451</v>
      </c>
      <c r="C722" s="57">
        <v>17750243078730</v>
      </c>
      <c r="D722" s="54" t="s">
        <v>9</v>
      </c>
      <c r="E722" s="54">
        <v>15</v>
      </c>
      <c r="F722" s="54">
        <v>4</v>
      </c>
      <c r="G722" s="54">
        <v>60</v>
      </c>
      <c r="H722" s="131" t="s">
        <v>1452</v>
      </c>
    </row>
    <row r="723" spans="1:8">
      <c r="A723" s="62">
        <v>8321180</v>
      </c>
      <c r="B723" s="55" t="s">
        <v>1453</v>
      </c>
      <c r="C723" s="58">
        <v>17750243078747</v>
      </c>
      <c r="D723" s="55" t="s">
        <v>9</v>
      </c>
      <c r="E723" s="55">
        <v>10</v>
      </c>
      <c r="F723" s="55">
        <v>7</v>
      </c>
      <c r="G723" s="55">
        <v>70</v>
      </c>
      <c r="H723" s="131" t="s">
        <v>1454</v>
      </c>
    </row>
    <row r="724" spans="1:8">
      <c r="A724" s="61">
        <v>8321181</v>
      </c>
      <c r="B724" s="54" t="s">
        <v>1455</v>
      </c>
      <c r="C724" s="57">
        <v>17750243078754</v>
      </c>
      <c r="D724" s="54" t="s">
        <v>9</v>
      </c>
      <c r="E724" s="54">
        <v>18</v>
      </c>
      <c r="F724" s="54">
        <v>4</v>
      </c>
      <c r="G724" s="54">
        <v>72</v>
      </c>
      <c r="H724" s="133" t="s">
        <v>1456</v>
      </c>
    </row>
    <row r="725" spans="1:8">
      <c r="A725" s="62">
        <v>8321182</v>
      </c>
      <c r="B725" s="55" t="s">
        <v>1457</v>
      </c>
      <c r="C725" s="58">
        <v>17750243078761</v>
      </c>
      <c r="D725" s="55" t="s">
        <v>9</v>
      </c>
      <c r="E725" s="55">
        <v>27</v>
      </c>
      <c r="F725" s="55">
        <v>5</v>
      </c>
      <c r="G725" s="55">
        <v>135</v>
      </c>
      <c r="H725" s="131" t="s">
        <v>1458</v>
      </c>
    </row>
    <row r="726" spans="1:8">
      <c r="A726" s="61">
        <v>8321183</v>
      </c>
      <c r="B726" s="54" t="s">
        <v>1459</v>
      </c>
      <c r="C726" s="57">
        <v>17750243081068</v>
      </c>
      <c r="D726" s="54" t="s">
        <v>9</v>
      </c>
      <c r="E726" s="54">
        <v>25</v>
      </c>
      <c r="F726" s="54">
        <v>4</v>
      </c>
      <c r="G726" s="54">
        <v>100</v>
      </c>
      <c r="H726" s="131" t="s">
        <v>1460</v>
      </c>
    </row>
    <row r="727" spans="1:8">
      <c r="A727" s="62">
        <v>8321187</v>
      </c>
      <c r="B727" s="55" t="s">
        <v>1461</v>
      </c>
      <c r="C727" s="58">
        <v>17750243081075</v>
      </c>
      <c r="D727" s="55" t="s">
        <v>9</v>
      </c>
      <c r="E727" s="55">
        <v>68</v>
      </c>
      <c r="F727" s="55">
        <v>7</v>
      </c>
      <c r="G727" s="55">
        <v>476</v>
      </c>
      <c r="H727" s="131" t="s">
        <v>1462</v>
      </c>
    </row>
    <row r="728" spans="1:8">
      <c r="A728" s="61">
        <v>8321189</v>
      </c>
      <c r="B728" s="54" t="s">
        <v>1463</v>
      </c>
      <c r="C728" s="57">
        <v>17750243081082</v>
      </c>
      <c r="D728" s="54" t="s">
        <v>9</v>
      </c>
      <c r="E728" s="54">
        <v>32</v>
      </c>
      <c r="F728" s="54">
        <v>4</v>
      </c>
      <c r="G728" s="54">
        <v>128</v>
      </c>
      <c r="H728" s="131" t="s">
        <v>1464</v>
      </c>
    </row>
    <row r="729" spans="1:8">
      <c r="A729" s="62">
        <v>8321190</v>
      </c>
      <c r="B729" s="55" t="s">
        <v>1465</v>
      </c>
      <c r="C729" s="58">
        <v>17750243081099</v>
      </c>
      <c r="D729" s="55" t="s">
        <v>9</v>
      </c>
      <c r="E729" s="55">
        <v>45</v>
      </c>
      <c r="F729" s="55">
        <v>6</v>
      </c>
      <c r="G729" s="55">
        <v>270</v>
      </c>
      <c r="H729" s="131" t="s">
        <v>1466</v>
      </c>
    </row>
    <row r="730" spans="1:8">
      <c r="A730" s="61">
        <v>8321191</v>
      </c>
      <c r="B730" s="54" t="s">
        <v>1467</v>
      </c>
      <c r="C730" s="57">
        <v>17750243081204</v>
      </c>
      <c r="D730" s="54" t="s">
        <v>9</v>
      </c>
      <c r="E730" s="54">
        <v>27</v>
      </c>
      <c r="F730" s="54">
        <v>5</v>
      </c>
      <c r="G730" s="54">
        <v>135</v>
      </c>
      <c r="H730" s="131" t="s">
        <v>1468</v>
      </c>
    </row>
    <row r="731" spans="1:8">
      <c r="A731" s="62">
        <v>8321192</v>
      </c>
      <c r="B731" s="55" t="s">
        <v>1469</v>
      </c>
      <c r="C731" s="58">
        <v>17750243081495</v>
      </c>
      <c r="D731" s="55" t="s">
        <v>9</v>
      </c>
      <c r="E731" s="55">
        <v>13</v>
      </c>
      <c r="F731" s="55">
        <v>8</v>
      </c>
      <c r="G731" s="55">
        <v>104</v>
      </c>
      <c r="H731" s="131" t="s">
        <v>1470</v>
      </c>
    </row>
    <row r="732" spans="1:8">
      <c r="A732" s="61">
        <v>8321199</v>
      </c>
      <c r="B732" s="54" t="s">
        <v>1471</v>
      </c>
      <c r="C732" s="57">
        <v>17750243081976</v>
      </c>
      <c r="D732" s="54" t="s">
        <v>9</v>
      </c>
      <c r="E732" s="54">
        <v>8</v>
      </c>
      <c r="F732" s="54">
        <v>8</v>
      </c>
      <c r="G732" s="54">
        <v>64</v>
      </c>
      <c r="H732" s="131" t="s">
        <v>1472</v>
      </c>
    </row>
    <row r="733" spans="1:8">
      <c r="A733" s="62">
        <v>8321201</v>
      </c>
      <c r="B733" s="55" t="s">
        <v>1473</v>
      </c>
      <c r="C733" s="58">
        <v>17750243081990</v>
      </c>
      <c r="D733" s="55" t="s">
        <v>9</v>
      </c>
      <c r="E733" s="55">
        <v>8</v>
      </c>
      <c r="F733" s="55">
        <v>8</v>
      </c>
      <c r="G733" s="55">
        <v>64</v>
      </c>
      <c r="H733" s="131" t="s">
        <v>1474</v>
      </c>
    </row>
    <row r="734" spans="1:8">
      <c r="A734" s="61">
        <v>8321203</v>
      </c>
      <c r="B734" s="54" t="s">
        <v>1475</v>
      </c>
      <c r="C734" s="57">
        <v>17750243082010</v>
      </c>
      <c r="D734" s="54" t="s">
        <v>9</v>
      </c>
      <c r="E734" s="54">
        <v>8</v>
      </c>
      <c r="F734" s="54">
        <v>8</v>
      </c>
      <c r="G734" s="54">
        <v>64</v>
      </c>
      <c r="H734" s="131" t="s">
        <v>1476</v>
      </c>
    </row>
    <row r="735" spans="1:8">
      <c r="A735" s="62">
        <v>8321209</v>
      </c>
      <c r="B735" s="55" t="s">
        <v>1477</v>
      </c>
      <c r="C735" s="58">
        <v>17750243082706</v>
      </c>
      <c r="D735" s="55" t="s">
        <v>9</v>
      </c>
      <c r="E735" s="55">
        <v>10</v>
      </c>
      <c r="F735" s="55">
        <v>7</v>
      </c>
      <c r="G735" s="55">
        <v>70</v>
      </c>
      <c r="H735" s="131" t="s">
        <v>1478</v>
      </c>
    </row>
    <row r="736" spans="1:8">
      <c r="A736" s="61">
        <v>8321210</v>
      </c>
      <c r="B736" s="54" t="s">
        <v>1479</v>
      </c>
      <c r="C736" s="57">
        <v>17750243082720</v>
      </c>
      <c r="D736" s="54" t="s">
        <v>9</v>
      </c>
      <c r="E736" s="54">
        <v>10</v>
      </c>
      <c r="F736" s="54">
        <v>7</v>
      </c>
      <c r="G736" s="54">
        <v>70</v>
      </c>
      <c r="H736" s="131" t="s">
        <v>1480</v>
      </c>
    </row>
    <row r="737" spans="1:8">
      <c r="A737" s="62">
        <v>8321212</v>
      </c>
      <c r="B737" s="55" t="s">
        <v>1481</v>
      </c>
      <c r="C737" s="58">
        <v>17750243083123</v>
      </c>
      <c r="D737" s="55" t="s">
        <v>9</v>
      </c>
      <c r="E737" s="55">
        <v>27</v>
      </c>
      <c r="F737" s="55">
        <v>5</v>
      </c>
      <c r="G737" s="55">
        <v>135</v>
      </c>
      <c r="H737" s="131" t="s">
        <v>1482</v>
      </c>
    </row>
    <row r="738" spans="1:8">
      <c r="A738" s="61">
        <v>8321214</v>
      </c>
      <c r="B738" s="54" t="s">
        <v>1483</v>
      </c>
      <c r="C738" s="57">
        <v>17750243083147</v>
      </c>
      <c r="D738" s="54" t="s">
        <v>9</v>
      </c>
      <c r="E738" s="54">
        <v>18</v>
      </c>
      <c r="F738" s="54">
        <v>4</v>
      </c>
      <c r="G738" s="54">
        <v>72</v>
      </c>
      <c r="H738" s="131" t="s">
        <v>1484</v>
      </c>
    </row>
    <row r="739" spans="1:8">
      <c r="A739" s="62">
        <v>8321216</v>
      </c>
      <c r="B739" s="55" t="s">
        <v>1485</v>
      </c>
      <c r="C739" s="58">
        <v>17750243083161</v>
      </c>
      <c r="D739" s="55" t="s">
        <v>9</v>
      </c>
      <c r="E739" s="55">
        <v>15</v>
      </c>
      <c r="F739" s="55">
        <v>4</v>
      </c>
      <c r="G739" s="55">
        <v>60</v>
      </c>
      <c r="H739" s="131" t="s">
        <v>1486</v>
      </c>
    </row>
    <row r="740" spans="1:8">
      <c r="A740" s="61">
        <v>8321217</v>
      </c>
      <c r="B740" s="54" t="s">
        <v>1487</v>
      </c>
      <c r="C740" s="57">
        <v>17750243083178</v>
      </c>
      <c r="D740" s="54" t="s">
        <v>9</v>
      </c>
      <c r="E740" s="54">
        <v>25</v>
      </c>
      <c r="F740" s="54">
        <v>4</v>
      </c>
      <c r="G740" s="54">
        <v>100</v>
      </c>
      <c r="H740" s="131" t="s">
        <v>1488</v>
      </c>
    </row>
    <row r="741" spans="1:8">
      <c r="A741" s="62">
        <v>8321218</v>
      </c>
      <c r="B741" s="55" t="s">
        <v>1489</v>
      </c>
      <c r="C741" s="58">
        <v>17750243083116</v>
      </c>
      <c r="D741" s="55" t="s">
        <v>9</v>
      </c>
      <c r="E741" s="55">
        <v>10</v>
      </c>
      <c r="F741" s="55">
        <v>11</v>
      </c>
      <c r="G741" s="55">
        <v>110</v>
      </c>
      <c r="H741" s="131" t="s">
        <v>1490</v>
      </c>
    </row>
    <row r="742" spans="1:8">
      <c r="A742" s="61">
        <v>8321219</v>
      </c>
      <c r="B742" s="54" t="s">
        <v>1491</v>
      </c>
      <c r="C742" s="57">
        <v>17750243083130</v>
      </c>
      <c r="D742" s="54" t="s">
        <v>9</v>
      </c>
      <c r="E742" s="54">
        <v>32</v>
      </c>
      <c r="F742" s="54">
        <v>4</v>
      </c>
      <c r="G742" s="54">
        <v>128</v>
      </c>
      <c r="H742" s="131" t="s">
        <v>1492</v>
      </c>
    </row>
    <row r="743" spans="1:8">
      <c r="A743" s="62">
        <v>8321270</v>
      </c>
      <c r="B743" s="55" t="s">
        <v>1493</v>
      </c>
      <c r="C743" s="58">
        <v>17750243088203</v>
      </c>
      <c r="D743" s="55" t="s">
        <v>9</v>
      </c>
      <c r="E743" s="55">
        <v>25</v>
      </c>
      <c r="F743" s="55">
        <v>4</v>
      </c>
      <c r="G743" s="55">
        <v>100</v>
      </c>
      <c r="H743" s="131" t="s">
        <v>1494</v>
      </c>
    </row>
    <row r="744" spans="1:8">
      <c r="A744" s="61">
        <v>8321271</v>
      </c>
      <c r="B744" s="54" t="s">
        <v>1495</v>
      </c>
      <c r="C744" s="57">
        <v>17750243088210</v>
      </c>
      <c r="D744" s="54" t="s">
        <v>9</v>
      </c>
      <c r="E744" s="54">
        <v>10</v>
      </c>
      <c r="F744" s="54">
        <v>3</v>
      </c>
      <c r="G744" s="54">
        <v>30</v>
      </c>
      <c r="H744" s="131" t="s">
        <v>1496</v>
      </c>
    </row>
    <row r="745" spans="1:8">
      <c r="A745" s="62">
        <v>8321272</v>
      </c>
      <c r="B745" s="55" t="s">
        <v>1497</v>
      </c>
      <c r="C745" s="58">
        <v>17750243088227</v>
      </c>
      <c r="D745" s="55" t="s">
        <v>9</v>
      </c>
      <c r="E745" s="55">
        <v>10</v>
      </c>
      <c r="F745" s="55">
        <v>3</v>
      </c>
      <c r="G745" s="55">
        <v>30</v>
      </c>
      <c r="H745" s="131" t="s">
        <v>1498</v>
      </c>
    </row>
    <row r="746" spans="1:8">
      <c r="A746" s="61">
        <v>8321273</v>
      </c>
      <c r="B746" s="54" t="s">
        <v>1499</v>
      </c>
      <c r="C746" s="57">
        <v>17750243088234</v>
      </c>
      <c r="D746" s="54" t="s">
        <v>9</v>
      </c>
      <c r="E746" s="54">
        <v>10</v>
      </c>
      <c r="F746" s="54">
        <v>3</v>
      </c>
      <c r="G746" s="54">
        <v>30</v>
      </c>
      <c r="H746" s="131" t="s">
        <v>1500</v>
      </c>
    </row>
    <row r="747" spans="1:8">
      <c r="A747" s="62">
        <v>8321274</v>
      </c>
      <c r="B747" s="55" t="s">
        <v>1501</v>
      </c>
      <c r="C747" s="58">
        <v>17750243088241</v>
      </c>
      <c r="D747" s="55" t="s">
        <v>9</v>
      </c>
      <c r="E747" s="55">
        <v>10</v>
      </c>
      <c r="F747" s="55">
        <v>3</v>
      </c>
      <c r="G747" s="55">
        <v>30</v>
      </c>
      <c r="H747" s="131" t="s">
        <v>1502</v>
      </c>
    </row>
    <row r="748" spans="1:8">
      <c r="A748" s="61">
        <v>8321275</v>
      </c>
      <c r="B748" s="54" t="s">
        <v>1503</v>
      </c>
      <c r="C748" s="57">
        <v>17750243088890</v>
      </c>
      <c r="D748" s="54" t="s">
        <v>9</v>
      </c>
      <c r="E748" s="54">
        <v>25</v>
      </c>
      <c r="F748" s="54">
        <v>4</v>
      </c>
      <c r="G748" s="54">
        <v>100</v>
      </c>
      <c r="H748" s="131" t="s">
        <v>1504</v>
      </c>
    </row>
    <row r="749" spans="1:8">
      <c r="A749" s="62">
        <v>8321276</v>
      </c>
      <c r="B749" s="55" t="s">
        <v>1505</v>
      </c>
      <c r="C749" s="58">
        <v>17750243088906</v>
      </c>
      <c r="D749" s="55" t="s">
        <v>9</v>
      </c>
      <c r="E749" s="55">
        <v>32</v>
      </c>
      <c r="F749" s="55">
        <v>4</v>
      </c>
      <c r="G749" s="55">
        <v>128</v>
      </c>
      <c r="H749" s="131" t="s">
        <v>1506</v>
      </c>
    </row>
    <row r="750" spans="1:8">
      <c r="A750" s="61">
        <v>8321277</v>
      </c>
      <c r="B750" s="54" t="s">
        <v>1507</v>
      </c>
      <c r="C750" s="57">
        <v>17750243088746</v>
      </c>
      <c r="D750" s="54" t="s">
        <v>9</v>
      </c>
      <c r="E750" s="54">
        <v>20</v>
      </c>
      <c r="F750" s="54">
        <v>12</v>
      </c>
      <c r="G750" s="54">
        <v>240</v>
      </c>
      <c r="H750" s="131" t="s">
        <v>1508</v>
      </c>
    </row>
    <row r="751" spans="1:8">
      <c r="A751" s="62">
        <v>8321278</v>
      </c>
      <c r="B751" s="55" t="s">
        <v>1509</v>
      </c>
      <c r="C751" s="58">
        <v>17750243088753</v>
      </c>
      <c r="D751" s="55" t="s">
        <v>9</v>
      </c>
      <c r="E751" s="55">
        <v>137</v>
      </c>
      <c r="F751" s="55">
        <v>7</v>
      </c>
      <c r="G751" s="55">
        <v>959</v>
      </c>
      <c r="H751" s="131" t="s">
        <v>1510</v>
      </c>
    </row>
    <row r="752" spans="1:8">
      <c r="A752" s="61">
        <v>8321279</v>
      </c>
      <c r="B752" s="54" t="s">
        <v>1511</v>
      </c>
      <c r="C752" s="57">
        <v>17750243088760</v>
      </c>
      <c r="D752" s="54" t="s">
        <v>9</v>
      </c>
      <c r="E752" s="54">
        <v>85</v>
      </c>
      <c r="F752" s="54">
        <v>6</v>
      </c>
      <c r="G752" s="54">
        <v>510</v>
      </c>
      <c r="H752" s="131" t="s">
        <v>1512</v>
      </c>
    </row>
    <row r="753" spans="1:8">
      <c r="A753" s="62">
        <v>8321280</v>
      </c>
      <c r="B753" s="55" t="s">
        <v>1513</v>
      </c>
      <c r="C753" s="58">
        <v>17750243088913</v>
      </c>
      <c r="D753" s="55" t="s">
        <v>9</v>
      </c>
      <c r="E753" s="55">
        <v>116</v>
      </c>
      <c r="F753" s="55">
        <v>9</v>
      </c>
      <c r="G753" s="55">
        <v>1044</v>
      </c>
      <c r="H753" s="131" t="s">
        <v>1514</v>
      </c>
    </row>
    <row r="754" spans="1:8">
      <c r="A754" s="61">
        <v>8322000</v>
      </c>
      <c r="B754" s="54" t="s">
        <v>1515</v>
      </c>
      <c r="C754" s="57">
        <v>27751851975524</v>
      </c>
      <c r="D754" s="54" t="s">
        <v>9</v>
      </c>
      <c r="E754" s="54">
        <v>31</v>
      </c>
      <c r="F754" s="54">
        <v>7</v>
      </c>
      <c r="G754" s="54">
        <v>217</v>
      </c>
      <c r="H754" s="131" t="s">
        <v>1516</v>
      </c>
    </row>
    <row r="755" spans="1:8">
      <c r="A755" s="62">
        <v>8322003</v>
      </c>
      <c r="B755" s="55" t="s">
        <v>1517</v>
      </c>
      <c r="C755" s="58">
        <v>27751851975548</v>
      </c>
      <c r="D755" s="55" t="s">
        <v>9</v>
      </c>
      <c r="E755" s="55">
        <v>31</v>
      </c>
      <c r="F755" s="55">
        <v>7</v>
      </c>
      <c r="G755" s="55">
        <v>217</v>
      </c>
      <c r="H755" s="131" t="s">
        <v>1518</v>
      </c>
    </row>
    <row r="756" spans="1:8">
      <c r="A756" s="61">
        <v>8322004</v>
      </c>
      <c r="B756" s="54" t="s">
        <v>1519</v>
      </c>
      <c r="C756" s="57">
        <v>27751851944315</v>
      </c>
      <c r="D756" s="54" t="s">
        <v>9</v>
      </c>
      <c r="E756" s="54">
        <v>31</v>
      </c>
      <c r="F756" s="54">
        <v>7</v>
      </c>
      <c r="G756" s="54">
        <v>217</v>
      </c>
      <c r="H756" s="131" t="s">
        <v>1520</v>
      </c>
    </row>
    <row r="757" spans="1:8">
      <c r="A757" s="62">
        <v>8322042</v>
      </c>
      <c r="B757" s="55" t="s">
        <v>1521</v>
      </c>
      <c r="C757" s="58">
        <v>17751851013335</v>
      </c>
      <c r="D757" s="55" t="s">
        <v>9</v>
      </c>
      <c r="E757" s="55">
        <v>31</v>
      </c>
      <c r="F757" s="55">
        <v>7</v>
      </c>
      <c r="G757" s="55">
        <v>217</v>
      </c>
      <c r="H757" s="131" t="s">
        <v>1522</v>
      </c>
    </row>
    <row r="758" spans="1:8">
      <c r="A758" s="61">
        <v>8322140</v>
      </c>
      <c r="B758" s="54" t="s">
        <v>1523</v>
      </c>
      <c r="C758" s="57">
        <v>17750243072202</v>
      </c>
      <c r="D758" s="54" t="s">
        <v>9</v>
      </c>
      <c r="E758" s="54">
        <v>31</v>
      </c>
      <c r="F758" s="54">
        <v>7</v>
      </c>
      <c r="G758" s="54">
        <v>217</v>
      </c>
      <c r="H758" s="131" t="s">
        <v>1524</v>
      </c>
    </row>
    <row r="759" spans="1:8">
      <c r="A759" s="62">
        <v>8322141</v>
      </c>
      <c r="B759" s="55" t="s">
        <v>1525</v>
      </c>
      <c r="C759" s="58">
        <v>17750243072219</v>
      </c>
      <c r="D759" s="55" t="s">
        <v>9</v>
      </c>
      <c r="E759" s="55">
        <v>31</v>
      </c>
      <c r="F759" s="55">
        <v>7</v>
      </c>
      <c r="G759" s="55">
        <v>217</v>
      </c>
      <c r="H759" s="131" t="s">
        <v>1526</v>
      </c>
    </row>
    <row r="760" spans="1:8">
      <c r="A760" s="61">
        <v>8322142</v>
      </c>
      <c r="B760" s="54" t="s">
        <v>1527</v>
      </c>
      <c r="C760" s="57">
        <v>17750243072226</v>
      </c>
      <c r="D760" s="54" t="s">
        <v>9</v>
      </c>
      <c r="E760" s="54">
        <v>31</v>
      </c>
      <c r="F760" s="54">
        <v>7</v>
      </c>
      <c r="G760" s="54">
        <v>217</v>
      </c>
      <c r="H760" s="131" t="s">
        <v>1528</v>
      </c>
    </row>
    <row r="761" spans="1:8">
      <c r="A761" s="62">
        <v>8322143</v>
      </c>
      <c r="B761" s="55" t="s">
        <v>1529</v>
      </c>
      <c r="C761" s="58">
        <v>17750243072233</v>
      </c>
      <c r="D761" s="55" t="s">
        <v>9</v>
      </c>
      <c r="E761" s="55">
        <v>31</v>
      </c>
      <c r="F761" s="55">
        <v>7</v>
      </c>
      <c r="G761" s="55">
        <v>217</v>
      </c>
      <c r="H761" s="131" t="s">
        <v>1530</v>
      </c>
    </row>
    <row r="762" spans="1:8">
      <c r="A762" s="61">
        <v>8322144</v>
      </c>
      <c r="B762" s="54" t="s">
        <v>1531</v>
      </c>
      <c r="C762" s="57">
        <v>17750243072240</v>
      </c>
      <c r="D762" s="54" t="s">
        <v>9</v>
      </c>
      <c r="E762" s="54">
        <v>31</v>
      </c>
      <c r="F762" s="54">
        <v>7</v>
      </c>
      <c r="G762" s="54">
        <v>217</v>
      </c>
      <c r="H762" s="131" t="s">
        <v>1532</v>
      </c>
    </row>
    <row r="763" spans="1:8">
      <c r="A763" s="62">
        <v>8322145</v>
      </c>
      <c r="B763" s="55" t="s">
        <v>1533</v>
      </c>
      <c r="C763" s="58">
        <v>17750243072257</v>
      </c>
      <c r="D763" s="55" t="s">
        <v>9</v>
      </c>
      <c r="E763" s="55">
        <v>31</v>
      </c>
      <c r="F763" s="55">
        <v>7</v>
      </c>
      <c r="G763" s="55">
        <v>217</v>
      </c>
      <c r="H763" s="131" t="s">
        <v>1534</v>
      </c>
    </row>
    <row r="764" spans="1:8">
      <c r="A764" s="61">
        <v>8322146</v>
      </c>
      <c r="B764" s="54" t="s">
        <v>1535</v>
      </c>
      <c r="C764" s="57">
        <v>17750243072264</v>
      </c>
      <c r="D764" s="54" t="s">
        <v>9</v>
      </c>
      <c r="E764" s="54">
        <v>31</v>
      </c>
      <c r="F764" s="54">
        <v>7</v>
      </c>
      <c r="G764" s="54">
        <v>217</v>
      </c>
      <c r="H764" s="131" t="s">
        <v>1536</v>
      </c>
    </row>
    <row r="765" spans="1:8">
      <c r="A765" s="62">
        <v>8322147</v>
      </c>
      <c r="B765" s="55" t="s">
        <v>1537</v>
      </c>
      <c r="C765" s="58">
        <v>17750243072271</v>
      </c>
      <c r="D765" s="55" t="s">
        <v>9</v>
      </c>
      <c r="E765" s="55">
        <v>31</v>
      </c>
      <c r="F765" s="55">
        <v>7</v>
      </c>
      <c r="G765" s="55">
        <v>217</v>
      </c>
      <c r="H765" s="131" t="s">
        <v>1538</v>
      </c>
    </row>
    <row r="766" spans="1:8">
      <c r="A766" s="61">
        <v>8325000</v>
      </c>
      <c r="B766" s="54" t="s">
        <v>1539</v>
      </c>
      <c r="C766" s="57">
        <v>27751851006617</v>
      </c>
      <c r="D766" s="54" t="s">
        <v>9</v>
      </c>
      <c r="E766" s="54">
        <v>26</v>
      </c>
      <c r="F766" s="54">
        <v>4</v>
      </c>
      <c r="G766" s="54">
        <v>104</v>
      </c>
      <c r="H766" s="131" t="s">
        <v>1540</v>
      </c>
    </row>
    <row r="767" spans="1:8">
      <c r="A767" s="62">
        <v>8325002</v>
      </c>
      <c r="B767" s="55" t="s">
        <v>1541</v>
      </c>
      <c r="C767" s="58">
        <v>27751851006624</v>
      </c>
      <c r="D767" s="55" t="s">
        <v>9</v>
      </c>
      <c r="E767" s="55">
        <v>26</v>
      </c>
      <c r="F767" s="55">
        <v>4</v>
      </c>
      <c r="G767" s="55">
        <v>104</v>
      </c>
      <c r="H767" s="131" t="s">
        <v>1542</v>
      </c>
    </row>
    <row r="768" spans="1:8">
      <c r="A768" s="61">
        <v>8325004</v>
      </c>
      <c r="B768" s="54" t="s">
        <v>1543</v>
      </c>
      <c r="C768" s="57">
        <v>27751851006648</v>
      </c>
      <c r="D768" s="54" t="s">
        <v>9</v>
      </c>
      <c r="E768" s="54">
        <v>26</v>
      </c>
      <c r="F768" s="54">
        <v>4</v>
      </c>
      <c r="G768" s="54">
        <v>104</v>
      </c>
      <c r="H768" s="131" t="s">
        <v>1544</v>
      </c>
    </row>
    <row r="769" spans="1:8">
      <c r="A769" s="62">
        <v>8325005</v>
      </c>
      <c r="B769" s="55" t="s">
        <v>1545</v>
      </c>
      <c r="C769" s="58">
        <v>27751851006631</v>
      </c>
      <c r="D769" s="55" t="s">
        <v>9</v>
      </c>
      <c r="E769" s="55">
        <v>26</v>
      </c>
      <c r="F769" s="55">
        <v>4</v>
      </c>
      <c r="G769" s="55">
        <v>104</v>
      </c>
      <c r="H769" s="131" t="s">
        <v>1546</v>
      </c>
    </row>
    <row r="770" spans="1:8">
      <c r="A770" s="61">
        <v>8325006</v>
      </c>
      <c r="B770" s="54" t="s">
        <v>1547</v>
      </c>
      <c r="C770" s="57">
        <v>27751851006655</v>
      </c>
      <c r="D770" s="54" t="s">
        <v>9</v>
      </c>
      <c r="E770" s="54">
        <v>26</v>
      </c>
      <c r="F770" s="54">
        <v>4</v>
      </c>
      <c r="G770" s="54">
        <v>104</v>
      </c>
      <c r="H770" s="131" t="s">
        <v>1548</v>
      </c>
    </row>
    <row r="771" spans="1:8">
      <c r="A771" s="62">
        <v>8325007</v>
      </c>
      <c r="B771" s="55" t="s">
        <v>1549</v>
      </c>
      <c r="C771" s="58">
        <v>27751851006662</v>
      </c>
      <c r="D771" s="55" t="s">
        <v>9</v>
      </c>
      <c r="E771" s="55">
        <v>26</v>
      </c>
      <c r="F771" s="55">
        <v>4</v>
      </c>
      <c r="G771" s="55">
        <v>104</v>
      </c>
      <c r="H771" s="131" t="s">
        <v>1550</v>
      </c>
    </row>
    <row r="772" spans="1:8">
      <c r="A772" s="61">
        <v>8325008</v>
      </c>
      <c r="B772" s="54" t="s">
        <v>1551</v>
      </c>
      <c r="C772" s="57">
        <v>27751851010287</v>
      </c>
      <c r="D772" s="54" t="s">
        <v>9</v>
      </c>
      <c r="E772" s="54">
        <v>26</v>
      </c>
      <c r="F772" s="54">
        <v>4</v>
      </c>
      <c r="G772" s="54">
        <v>104</v>
      </c>
      <c r="H772" s="131" t="s">
        <v>1552</v>
      </c>
    </row>
    <row r="773" spans="1:8">
      <c r="A773" s="62">
        <v>8325009</v>
      </c>
      <c r="B773" s="55" t="s">
        <v>1553</v>
      </c>
      <c r="C773" s="58">
        <v>17751851011195</v>
      </c>
      <c r="D773" s="55" t="s">
        <v>9</v>
      </c>
      <c r="E773" s="55">
        <v>26</v>
      </c>
      <c r="F773" s="55">
        <v>4</v>
      </c>
      <c r="G773" s="55">
        <v>104</v>
      </c>
      <c r="H773" s="131" t="s">
        <v>1554</v>
      </c>
    </row>
    <row r="774" spans="1:8">
      <c r="A774" s="61">
        <v>8325011</v>
      </c>
      <c r="B774" s="54" t="s">
        <v>1555</v>
      </c>
      <c r="C774" s="57">
        <v>17751851005460</v>
      </c>
      <c r="D774" s="54" t="s">
        <v>9</v>
      </c>
      <c r="E774" s="54">
        <v>26</v>
      </c>
      <c r="F774" s="54">
        <v>4</v>
      </c>
      <c r="G774" s="54">
        <v>104</v>
      </c>
      <c r="H774" s="131" t="s">
        <v>1556</v>
      </c>
    </row>
    <row r="775" spans="1:8">
      <c r="A775" s="62">
        <v>8325012</v>
      </c>
      <c r="B775" s="55" t="s">
        <v>1557</v>
      </c>
      <c r="C775" s="58">
        <v>17751851006351</v>
      </c>
      <c r="D775" s="55" t="s">
        <v>288</v>
      </c>
      <c r="E775" s="55">
        <v>45</v>
      </c>
      <c r="F775" s="55">
        <v>12</v>
      </c>
      <c r="G775" s="55">
        <v>540</v>
      </c>
      <c r="H775" s="131" t="s">
        <v>1558</v>
      </c>
    </row>
    <row r="776" spans="1:8">
      <c r="A776" s="61">
        <v>8325013</v>
      </c>
      <c r="B776" s="54" t="s">
        <v>1559</v>
      </c>
      <c r="C776" s="57">
        <v>17751851006344</v>
      </c>
      <c r="D776" s="54" t="s">
        <v>288</v>
      </c>
      <c r="E776" s="54">
        <v>20</v>
      </c>
      <c r="F776" s="54">
        <v>14</v>
      </c>
      <c r="G776" s="54">
        <v>280</v>
      </c>
      <c r="H776" s="131" t="s">
        <v>1560</v>
      </c>
    </row>
    <row r="777" spans="1:8">
      <c r="A777" s="62">
        <v>8325014</v>
      </c>
      <c r="B777" s="55" t="s">
        <v>1561</v>
      </c>
      <c r="C777" s="58">
        <v>17751851006368</v>
      </c>
      <c r="D777" s="55" t="s">
        <v>288</v>
      </c>
      <c r="E777" s="55">
        <v>27</v>
      </c>
      <c r="F777" s="55">
        <v>13</v>
      </c>
      <c r="G777" s="55">
        <v>351</v>
      </c>
      <c r="H777" s="131" t="s">
        <v>1562</v>
      </c>
    </row>
    <row r="778" spans="1:8">
      <c r="A778" s="61">
        <v>8325015</v>
      </c>
      <c r="B778" s="54" t="s">
        <v>1563</v>
      </c>
      <c r="C778" s="57">
        <v>17751851018590</v>
      </c>
      <c r="D778" s="54" t="s">
        <v>288</v>
      </c>
      <c r="E778" s="54">
        <v>25</v>
      </c>
      <c r="F778" s="54">
        <v>12</v>
      </c>
      <c r="G778" s="54">
        <v>300</v>
      </c>
      <c r="H778" s="131" t="s">
        <v>1564</v>
      </c>
    </row>
    <row r="779" spans="1:8">
      <c r="A779" s="62">
        <v>8325016</v>
      </c>
      <c r="B779" s="55" t="s">
        <v>1565</v>
      </c>
      <c r="C779" s="58">
        <v>17751851020159</v>
      </c>
      <c r="D779" s="55" t="s">
        <v>9</v>
      </c>
      <c r="E779" s="55">
        <v>26</v>
      </c>
      <c r="F779" s="55">
        <v>4</v>
      </c>
      <c r="G779" s="55">
        <v>104</v>
      </c>
      <c r="H779" s="131" t="s">
        <v>1566</v>
      </c>
    </row>
    <row r="780" spans="1:8">
      <c r="A780" s="61">
        <v>8325019</v>
      </c>
      <c r="B780" s="54" t="s">
        <v>1567</v>
      </c>
      <c r="C780" s="57">
        <v>17751851006634</v>
      </c>
      <c r="D780" s="54" t="s">
        <v>9</v>
      </c>
      <c r="E780" s="54">
        <v>26</v>
      </c>
      <c r="F780" s="54">
        <v>4</v>
      </c>
      <c r="G780" s="54">
        <v>104</v>
      </c>
      <c r="H780" s="133" t="s">
        <v>1568</v>
      </c>
    </row>
    <row r="781" spans="1:8">
      <c r="A781" s="62">
        <v>8325022</v>
      </c>
      <c r="B781" s="55" t="s">
        <v>1569</v>
      </c>
      <c r="C781" s="58">
        <v>37751851006614</v>
      </c>
      <c r="D781" s="55" t="s">
        <v>9</v>
      </c>
      <c r="E781" s="55">
        <v>26</v>
      </c>
      <c r="F781" s="55">
        <v>4</v>
      </c>
      <c r="G781" s="55">
        <v>104</v>
      </c>
      <c r="H781" s="131" t="s">
        <v>1570</v>
      </c>
    </row>
    <row r="782" spans="1:8">
      <c r="A782" s="61">
        <v>8325023</v>
      </c>
      <c r="B782" s="54" t="s">
        <v>1571</v>
      </c>
      <c r="C782" s="57">
        <v>37751851006621</v>
      </c>
      <c r="D782" s="54" t="s">
        <v>9</v>
      </c>
      <c r="E782" s="54">
        <v>26</v>
      </c>
      <c r="F782" s="54">
        <v>4</v>
      </c>
      <c r="G782" s="54">
        <v>104</v>
      </c>
      <c r="H782" s="131" t="s">
        <v>1572</v>
      </c>
    </row>
    <row r="783" spans="1:8">
      <c r="A783" s="62">
        <v>8325024</v>
      </c>
      <c r="B783" s="55" t="s">
        <v>1573</v>
      </c>
      <c r="C783" s="58">
        <v>17751851006641</v>
      </c>
      <c r="D783" s="55" t="s">
        <v>9</v>
      </c>
      <c r="E783" s="55">
        <v>26</v>
      </c>
      <c r="F783" s="55">
        <v>4</v>
      </c>
      <c r="G783" s="55">
        <v>104</v>
      </c>
      <c r="H783" s="131" t="s">
        <v>1574</v>
      </c>
    </row>
    <row r="784" spans="1:8">
      <c r="A784" s="61">
        <v>8325025</v>
      </c>
      <c r="B784" s="54" t="s">
        <v>1575</v>
      </c>
      <c r="C784" s="57">
        <v>17751851029701</v>
      </c>
      <c r="D784" s="54" t="s">
        <v>9</v>
      </c>
      <c r="E784" s="54">
        <v>26</v>
      </c>
      <c r="F784" s="54">
        <v>4</v>
      </c>
      <c r="G784" s="54">
        <v>104</v>
      </c>
      <c r="H784" s="131" t="s">
        <v>1576</v>
      </c>
    </row>
    <row r="785" spans="1:8">
      <c r="A785" s="62">
        <v>8325026</v>
      </c>
      <c r="B785" s="55" t="s">
        <v>1577</v>
      </c>
      <c r="C785" s="58">
        <v>17751851029695</v>
      </c>
      <c r="D785" s="55" t="s">
        <v>9</v>
      </c>
      <c r="E785" s="55">
        <v>26</v>
      </c>
      <c r="F785" s="55">
        <v>4</v>
      </c>
      <c r="G785" s="55">
        <v>104</v>
      </c>
      <c r="H785" s="131" t="s">
        <v>1578</v>
      </c>
    </row>
    <row r="786" spans="1:8">
      <c r="A786" s="61">
        <v>8325027</v>
      </c>
      <c r="B786" s="54" t="s">
        <v>1579</v>
      </c>
      <c r="C786" s="57">
        <v>17751851029732</v>
      </c>
      <c r="D786" s="54" t="s">
        <v>9</v>
      </c>
      <c r="E786" s="54">
        <v>26</v>
      </c>
      <c r="F786" s="54">
        <v>4</v>
      </c>
      <c r="G786" s="54">
        <v>104</v>
      </c>
      <c r="H786" s="131" t="s">
        <v>1580</v>
      </c>
    </row>
    <row r="787" spans="1:8">
      <c r="A787" s="62">
        <v>8325028</v>
      </c>
      <c r="B787" s="55" t="s">
        <v>1581</v>
      </c>
      <c r="C787" s="58">
        <v>17751851029718</v>
      </c>
      <c r="D787" s="55" t="s">
        <v>9</v>
      </c>
      <c r="E787" s="55">
        <v>26</v>
      </c>
      <c r="F787" s="55">
        <v>4</v>
      </c>
      <c r="G787" s="55">
        <v>104</v>
      </c>
      <c r="H787" s="131" t="s">
        <v>1582</v>
      </c>
    </row>
    <row r="788" spans="1:8">
      <c r="A788" s="61">
        <v>8325053</v>
      </c>
      <c r="B788" s="54" t="s">
        <v>1583</v>
      </c>
      <c r="C788" s="57">
        <v>17750243064184</v>
      </c>
      <c r="D788" s="54" t="s">
        <v>9</v>
      </c>
      <c r="E788" s="54">
        <v>26</v>
      </c>
      <c r="F788" s="54">
        <v>4</v>
      </c>
      <c r="G788" s="54">
        <v>104</v>
      </c>
      <c r="H788" s="131" t="s">
        <v>1584</v>
      </c>
    </row>
    <row r="789" spans="1:8">
      <c r="A789" s="62">
        <v>8325056</v>
      </c>
      <c r="B789" s="55" t="s">
        <v>1585</v>
      </c>
      <c r="C789" s="58">
        <v>37751851006645</v>
      </c>
      <c r="D789" s="55" t="s">
        <v>9</v>
      </c>
      <c r="E789" s="55">
        <v>26</v>
      </c>
      <c r="F789" s="55">
        <v>4</v>
      </c>
      <c r="G789" s="55">
        <v>104</v>
      </c>
      <c r="H789" s="131" t="s">
        <v>1586</v>
      </c>
    </row>
    <row r="790" spans="1:8">
      <c r="A790" s="61">
        <v>8325057</v>
      </c>
      <c r="B790" s="54" t="s">
        <v>1587</v>
      </c>
      <c r="C790" s="57">
        <v>37751851011199</v>
      </c>
      <c r="D790" s="54" t="s">
        <v>9</v>
      </c>
      <c r="E790" s="54">
        <v>26</v>
      </c>
      <c r="F790" s="54">
        <v>4</v>
      </c>
      <c r="G790" s="54">
        <v>104</v>
      </c>
      <c r="H790" s="131" t="s">
        <v>1588</v>
      </c>
    </row>
    <row r="791" spans="1:8">
      <c r="A791" s="62">
        <v>8325070</v>
      </c>
      <c r="B791" s="55" t="s">
        <v>1589</v>
      </c>
      <c r="C791" s="60"/>
      <c r="D791" s="55" t="s">
        <v>1590</v>
      </c>
      <c r="E791" s="55">
        <v>312</v>
      </c>
      <c r="F791" s="55">
        <v>4</v>
      </c>
      <c r="G791" s="55">
        <v>1248</v>
      </c>
      <c r="H791" s="131" t="s">
        <v>1591</v>
      </c>
    </row>
    <row r="792" spans="1:8">
      <c r="A792" s="61">
        <v>8325072</v>
      </c>
      <c r="B792" s="54" t="s">
        <v>1592</v>
      </c>
      <c r="C792" s="57">
        <v>27751851011192</v>
      </c>
      <c r="D792" s="54" t="s">
        <v>9</v>
      </c>
      <c r="E792" s="54">
        <v>26</v>
      </c>
      <c r="F792" s="54">
        <v>4</v>
      </c>
      <c r="G792" s="54">
        <v>104</v>
      </c>
      <c r="H792" s="131" t="s">
        <v>1593</v>
      </c>
    </row>
    <row r="793" spans="1:8">
      <c r="A793" s="62">
        <v>8325074</v>
      </c>
      <c r="B793" s="55" t="s">
        <v>1594</v>
      </c>
      <c r="C793" s="58">
        <v>57751851006618</v>
      </c>
      <c r="D793" s="55" t="s">
        <v>9</v>
      </c>
      <c r="E793" s="55">
        <v>26</v>
      </c>
      <c r="F793" s="55">
        <v>4</v>
      </c>
      <c r="G793" s="55">
        <v>104</v>
      </c>
      <c r="H793" s="131" t="s">
        <v>1595</v>
      </c>
    </row>
    <row r="794" spans="1:8">
      <c r="A794" s="61">
        <v>8325082</v>
      </c>
      <c r="B794" s="54" t="s">
        <v>1596</v>
      </c>
      <c r="C794" s="57">
        <v>57751851006625</v>
      </c>
      <c r="D794" s="54" t="s">
        <v>9</v>
      </c>
      <c r="E794" s="54">
        <v>26</v>
      </c>
      <c r="F794" s="54">
        <v>4</v>
      </c>
      <c r="G794" s="54">
        <v>104</v>
      </c>
      <c r="H794" s="131" t="s">
        <v>1597</v>
      </c>
    </row>
    <row r="795" spans="1:8">
      <c r="A795" s="62">
        <v>8325084</v>
      </c>
      <c r="B795" s="55" t="s">
        <v>1598</v>
      </c>
      <c r="C795" s="58">
        <v>67751851006622</v>
      </c>
      <c r="D795" s="55" t="s">
        <v>9</v>
      </c>
      <c r="E795" s="55">
        <v>26</v>
      </c>
      <c r="F795" s="55">
        <v>4</v>
      </c>
      <c r="G795" s="55">
        <v>104</v>
      </c>
      <c r="H795" s="131" t="s">
        <v>1599</v>
      </c>
    </row>
    <row r="796" spans="1:8">
      <c r="A796" s="61">
        <v>8325085</v>
      </c>
      <c r="B796" s="54" t="s">
        <v>1600</v>
      </c>
      <c r="C796" s="57">
        <v>7750243079648</v>
      </c>
      <c r="D796" s="54" t="s">
        <v>1590</v>
      </c>
      <c r="E796" s="54">
        <v>54</v>
      </c>
      <c r="F796" s="54">
        <v>5</v>
      </c>
      <c r="G796" s="54">
        <v>270</v>
      </c>
      <c r="H796" s="131" t="s">
        <v>1601</v>
      </c>
    </row>
    <row r="797" spans="1:8">
      <c r="A797" s="62">
        <v>8325087</v>
      </c>
      <c r="B797" s="55" t="s">
        <v>1602</v>
      </c>
      <c r="C797" s="58">
        <v>27751851006358</v>
      </c>
      <c r="D797" s="55" t="s">
        <v>288</v>
      </c>
      <c r="E797" s="55">
        <v>45</v>
      </c>
      <c r="F797" s="55">
        <v>12</v>
      </c>
      <c r="G797" s="55">
        <v>540</v>
      </c>
      <c r="H797" s="131" t="s">
        <v>1603</v>
      </c>
    </row>
    <row r="798" spans="1:8">
      <c r="A798" s="61">
        <v>8325088</v>
      </c>
      <c r="B798" s="54" t="s">
        <v>1604</v>
      </c>
      <c r="C798" s="57">
        <v>27751851006365</v>
      </c>
      <c r="D798" s="54" t="s">
        <v>288</v>
      </c>
      <c r="E798" s="54">
        <v>27</v>
      </c>
      <c r="F798" s="54">
        <v>13</v>
      </c>
      <c r="G798" s="54">
        <v>351</v>
      </c>
      <c r="H798" s="131" t="s">
        <v>1605</v>
      </c>
    </row>
    <row r="799" spans="1:8">
      <c r="A799" s="62">
        <v>8325089</v>
      </c>
      <c r="B799" s="55" t="s">
        <v>1606</v>
      </c>
      <c r="C799" s="58">
        <v>27751851018597</v>
      </c>
      <c r="D799" s="55" t="s">
        <v>288</v>
      </c>
      <c r="E799" s="55">
        <v>25</v>
      </c>
      <c r="F799" s="55">
        <v>12</v>
      </c>
      <c r="G799" s="55">
        <v>300</v>
      </c>
      <c r="H799" s="131" t="s">
        <v>1607</v>
      </c>
    </row>
    <row r="800" spans="1:8">
      <c r="A800" s="61">
        <v>8325090</v>
      </c>
      <c r="B800" s="54" t="s">
        <v>1608</v>
      </c>
      <c r="C800" s="57">
        <v>27751851006341</v>
      </c>
      <c r="D800" s="54" t="s">
        <v>288</v>
      </c>
      <c r="E800" s="54">
        <v>20</v>
      </c>
      <c r="F800" s="54">
        <v>14</v>
      </c>
      <c r="G800" s="54">
        <v>280</v>
      </c>
      <c r="H800" s="131" t="s">
        <v>1609</v>
      </c>
    </row>
    <row r="801" spans="1:8">
      <c r="A801" s="62">
        <v>8325091</v>
      </c>
      <c r="B801" s="55" t="s">
        <v>1610</v>
      </c>
      <c r="C801" s="58">
        <v>37751851006669</v>
      </c>
      <c r="D801" s="55" t="s">
        <v>9</v>
      </c>
      <c r="E801" s="55">
        <v>26</v>
      </c>
      <c r="F801" s="55">
        <v>4</v>
      </c>
      <c r="G801" s="55">
        <v>104</v>
      </c>
      <c r="H801" s="131" t="s">
        <v>1611</v>
      </c>
    </row>
    <row r="802" spans="1:8">
      <c r="A802" s="61">
        <v>8325092</v>
      </c>
      <c r="B802" s="54" t="s">
        <v>1612</v>
      </c>
      <c r="C802" s="57">
        <v>37751851010284</v>
      </c>
      <c r="D802" s="54" t="s">
        <v>9</v>
      </c>
      <c r="E802" s="54">
        <v>26</v>
      </c>
      <c r="F802" s="54">
        <v>4</v>
      </c>
      <c r="G802" s="54">
        <v>104</v>
      </c>
      <c r="H802" s="131" t="s">
        <v>1613</v>
      </c>
    </row>
    <row r="803" spans="1:8">
      <c r="A803" s="62">
        <v>8325093</v>
      </c>
      <c r="B803" s="55" t="s">
        <v>1614</v>
      </c>
      <c r="C803" s="58">
        <v>27751851020156</v>
      </c>
      <c r="D803" s="55" t="s">
        <v>9</v>
      </c>
      <c r="E803" s="55">
        <v>26</v>
      </c>
      <c r="F803" s="55">
        <v>4</v>
      </c>
      <c r="G803" s="55">
        <v>104</v>
      </c>
      <c r="H803" s="131" t="s">
        <v>1615</v>
      </c>
    </row>
    <row r="804" spans="1:8">
      <c r="A804" s="61">
        <v>8325094</v>
      </c>
      <c r="B804" s="54" t="s">
        <v>1616</v>
      </c>
      <c r="C804" s="57">
        <v>27751851005467</v>
      </c>
      <c r="D804" s="54" t="s">
        <v>9</v>
      </c>
      <c r="E804" s="54">
        <v>26</v>
      </c>
      <c r="F804" s="54">
        <v>4</v>
      </c>
      <c r="G804" s="54">
        <v>104</v>
      </c>
      <c r="H804" s="131" t="s">
        <v>1617</v>
      </c>
    </row>
    <row r="805" spans="1:8">
      <c r="A805" s="62">
        <v>8325095</v>
      </c>
      <c r="B805" s="55" t="s">
        <v>1618</v>
      </c>
      <c r="C805" s="58">
        <v>37751851006638</v>
      </c>
      <c r="D805" s="55" t="s">
        <v>9</v>
      </c>
      <c r="E805" s="55">
        <v>26</v>
      </c>
      <c r="F805" s="55">
        <v>4</v>
      </c>
      <c r="G805" s="55">
        <v>104</v>
      </c>
      <c r="H805" s="131" t="s">
        <v>1619</v>
      </c>
    </row>
    <row r="806" spans="1:8">
      <c r="A806" s="61">
        <v>8325096</v>
      </c>
      <c r="B806" s="54" t="s">
        <v>1620</v>
      </c>
      <c r="C806" s="57">
        <v>37751851006652</v>
      </c>
      <c r="D806" s="54" t="s">
        <v>9</v>
      </c>
      <c r="E806" s="54">
        <v>26</v>
      </c>
      <c r="F806" s="54">
        <v>4</v>
      </c>
      <c r="G806" s="54">
        <v>104</v>
      </c>
      <c r="H806" s="131" t="s">
        <v>1621</v>
      </c>
    </row>
    <row r="807" spans="1:8">
      <c r="A807" s="62">
        <v>8325101</v>
      </c>
      <c r="B807" s="55" t="s">
        <v>1622</v>
      </c>
      <c r="C807" s="58">
        <v>7750243082884</v>
      </c>
      <c r="D807" s="55" t="s">
        <v>1590</v>
      </c>
      <c r="E807" s="55">
        <v>54</v>
      </c>
      <c r="F807" s="55">
        <v>5</v>
      </c>
      <c r="G807" s="55">
        <v>270</v>
      </c>
      <c r="H807" s="131" t="s">
        <v>1623</v>
      </c>
    </row>
    <row r="808" spans="1:8">
      <c r="A808" s="61">
        <v>8325102</v>
      </c>
      <c r="B808" s="54" t="s">
        <v>1624</v>
      </c>
      <c r="C808" s="57">
        <v>47751851010281</v>
      </c>
      <c r="D808" s="54" t="s">
        <v>9</v>
      </c>
      <c r="E808" s="54">
        <v>26</v>
      </c>
      <c r="F808" s="54">
        <v>4</v>
      </c>
      <c r="G808" s="54">
        <v>104</v>
      </c>
      <c r="H808" s="131" t="s">
        <v>1625</v>
      </c>
    </row>
    <row r="809" spans="1:8">
      <c r="A809" s="62">
        <v>8325103</v>
      </c>
      <c r="B809" s="55" t="s">
        <v>1626</v>
      </c>
      <c r="C809" s="58">
        <v>37751851006348</v>
      </c>
      <c r="D809" s="55" t="s">
        <v>288</v>
      </c>
      <c r="E809" s="55">
        <v>20</v>
      </c>
      <c r="F809" s="55">
        <v>14</v>
      </c>
      <c r="G809" s="55">
        <v>280</v>
      </c>
      <c r="H809" s="131" t="s">
        <v>1627</v>
      </c>
    </row>
    <row r="810" spans="1:8">
      <c r="A810" s="61">
        <v>8325104</v>
      </c>
      <c r="B810" s="54" t="s">
        <v>1628</v>
      </c>
      <c r="C810" s="57">
        <v>37751851018594</v>
      </c>
      <c r="D810" s="54" t="s">
        <v>288</v>
      </c>
      <c r="E810" s="54">
        <v>25</v>
      </c>
      <c r="F810" s="54">
        <v>12</v>
      </c>
      <c r="G810" s="54">
        <v>300</v>
      </c>
      <c r="H810" s="131" t="s">
        <v>1629</v>
      </c>
    </row>
    <row r="811" spans="1:8">
      <c r="A811" s="62">
        <v>8325105</v>
      </c>
      <c r="B811" s="55" t="s">
        <v>1630</v>
      </c>
      <c r="C811" s="58">
        <v>37751851006362</v>
      </c>
      <c r="D811" s="55" t="s">
        <v>288</v>
      </c>
      <c r="E811" s="55">
        <v>27</v>
      </c>
      <c r="F811" s="55">
        <v>13</v>
      </c>
      <c r="G811" s="55">
        <v>351</v>
      </c>
      <c r="H811" s="131" t="s">
        <v>1631</v>
      </c>
    </row>
    <row r="812" spans="1:8">
      <c r="A812" s="61">
        <v>8325106</v>
      </c>
      <c r="B812" s="54" t="s">
        <v>1632</v>
      </c>
      <c r="C812" s="57">
        <v>37751851006355</v>
      </c>
      <c r="D812" s="54" t="s">
        <v>288</v>
      </c>
      <c r="E812" s="54">
        <v>45</v>
      </c>
      <c r="F812" s="54">
        <v>12</v>
      </c>
      <c r="G812" s="54">
        <v>540</v>
      </c>
      <c r="H812" s="131" t="s">
        <v>1633</v>
      </c>
    </row>
    <row r="813" spans="1:8">
      <c r="A813" s="62">
        <v>8325107</v>
      </c>
      <c r="B813" s="55" t="s">
        <v>1634</v>
      </c>
      <c r="C813" s="58">
        <v>17750243084687</v>
      </c>
      <c r="D813" s="55" t="s">
        <v>9</v>
      </c>
      <c r="E813" s="55">
        <v>26</v>
      </c>
      <c r="F813" s="55">
        <v>4</v>
      </c>
      <c r="G813" s="55">
        <v>104</v>
      </c>
      <c r="H813" s="131" t="s">
        <v>1635</v>
      </c>
    </row>
    <row r="814" spans="1:8">
      <c r="A814" s="61">
        <v>8325108</v>
      </c>
      <c r="B814" s="54" t="s">
        <v>1636</v>
      </c>
      <c r="C814" s="57">
        <v>17750243084694</v>
      </c>
      <c r="D814" s="54" t="s">
        <v>9</v>
      </c>
      <c r="E814" s="54">
        <v>26</v>
      </c>
      <c r="F814" s="54">
        <v>4</v>
      </c>
      <c r="G814" s="54">
        <v>104</v>
      </c>
      <c r="H814" s="131" t="s">
        <v>1637</v>
      </c>
    </row>
    <row r="815" spans="1:8">
      <c r="A815" s="62">
        <v>8325109</v>
      </c>
      <c r="B815" s="55" t="s">
        <v>1638</v>
      </c>
      <c r="C815" s="58">
        <v>17750243084656</v>
      </c>
      <c r="D815" s="55" t="s">
        <v>9</v>
      </c>
      <c r="E815" s="55">
        <v>26</v>
      </c>
      <c r="F815" s="55">
        <v>4</v>
      </c>
      <c r="G815" s="55">
        <v>104</v>
      </c>
      <c r="H815" s="131" t="s">
        <v>1639</v>
      </c>
    </row>
    <row r="816" spans="1:8">
      <c r="A816" s="61">
        <v>8325110</v>
      </c>
      <c r="B816" s="54" t="s">
        <v>1640</v>
      </c>
      <c r="C816" s="57">
        <v>17750243084663</v>
      </c>
      <c r="D816" s="54" t="s">
        <v>9</v>
      </c>
      <c r="E816" s="54">
        <v>26</v>
      </c>
      <c r="F816" s="54">
        <v>4</v>
      </c>
      <c r="G816" s="54">
        <v>104</v>
      </c>
      <c r="H816" s="131" t="s">
        <v>1641</v>
      </c>
    </row>
    <row r="817" spans="1:8">
      <c r="A817" s="62">
        <v>8325111</v>
      </c>
      <c r="B817" s="55" t="s">
        <v>1642</v>
      </c>
      <c r="C817" s="58">
        <v>17750243084670</v>
      </c>
      <c r="D817" s="55" t="s">
        <v>9</v>
      </c>
      <c r="E817" s="55">
        <v>26</v>
      </c>
      <c r="F817" s="55">
        <v>4</v>
      </c>
      <c r="G817" s="55">
        <v>104</v>
      </c>
      <c r="H817" s="131" t="s">
        <v>1643</v>
      </c>
    </row>
    <row r="818" spans="1:8">
      <c r="A818" s="61">
        <v>8325112</v>
      </c>
      <c r="B818" s="54" t="s">
        <v>1644</v>
      </c>
      <c r="C818" s="57">
        <v>7750243084956</v>
      </c>
      <c r="D818" s="54" t="s">
        <v>100</v>
      </c>
      <c r="E818" s="54">
        <v>276</v>
      </c>
      <c r="F818" s="54">
        <v>5</v>
      </c>
      <c r="G818" s="54">
        <v>1380</v>
      </c>
      <c r="H818" s="131" t="s">
        <v>1645</v>
      </c>
    </row>
    <row r="819" spans="1:8">
      <c r="A819" s="62">
        <v>8325113</v>
      </c>
      <c r="B819" s="55" t="s">
        <v>1646</v>
      </c>
      <c r="C819" s="58">
        <v>7750243084963</v>
      </c>
      <c r="D819" s="55" t="s">
        <v>100</v>
      </c>
      <c r="E819" s="55">
        <v>276</v>
      </c>
      <c r="F819" s="55">
        <v>5</v>
      </c>
      <c r="G819" s="55">
        <v>1380</v>
      </c>
      <c r="H819" s="131" t="s">
        <v>1647</v>
      </c>
    </row>
    <row r="820" spans="1:8">
      <c r="A820" s="61">
        <v>8325114</v>
      </c>
      <c r="B820" s="54" t="s">
        <v>1648</v>
      </c>
      <c r="C820" s="57">
        <v>77751851006612</v>
      </c>
      <c r="D820" s="54" t="s">
        <v>9</v>
      </c>
      <c r="E820" s="54">
        <v>26</v>
      </c>
      <c r="F820" s="54">
        <v>4</v>
      </c>
      <c r="G820" s="54">
        <v>104</v>
      </c>
      <c r="H820" s="131" t="s">
        <v>1649</v>
      </c>
    </row>
    <row r="821" spans="1:8">
      <c r="A821" s="62">
        <v>8325115</v>
      </c>
      <c r="B821" s="55" t="s">
        <v>1650</v>
      </c>
      <c r="C821" s="58">
        <v>37751851005464</v>
      </c>
      <c r="D821" s="55" t="s">
        <v>9</v>
      </c>
      <c r="E821" s="55">
        <v>26</v>
      </c>
      <c r="F821" s="55">
        <v>4</v>
      </c>
      <c r="G821" s="55">
        <v>104</v>
      </c>
      <c r="H821" s="131" t="s">
        <v>1651</v>
      </c>
    </row>
    <row r="822" spans="1:8">
      <c r="A822" s="61">
        <v>8325116</v>
      </c>
      <c r="B822" s="54" t="s">
        <v>1652</v>
      </c>
      <c r="C822" s="57">
        <v>47751851011196</v>
      </c>
      <c r="D822" s="54" t="s">
        <v>9</v>
      </c>
      <c r="E822" s="54">
        <v>26</v>
      </c>
      <c r="F822" s="54">
        <v>4</v>
      </c>
      <c r="G822" s="54">
        <v>104</v>
      </c>
      <c r="H822" s="131" t="s">
        <v>1653</v>
      </c>
    </row>
    <row r="823" spans="1:8">
      <c r="A823" s="62">
        <v>8325117</v>
      </c>
      <c r="B823" s="55" t="s">
        <v>1654</v>
      </c>
      <c r="C823" s="58">
        <v>47751851006659</v>
      </c>
      <c r="D823" s="55" t="s">
        <v>9</v>
      </c>
      <c r="E823" s="55">
        <v>26</v>
      </c>
      <c r="F823" s="55">
        <v>4</v>
      </c>
      <c r="G823" s="55">
        <v>104</v>
      </c>
      <c r="H823" s="131" t="s">
        <v>1655</v>
      </c>
    </row>
    <row r="824" spans="1:8">
      <c r="A824" s="61">
        <v>8325118</v>
      </c>
      <c r="B824" s="54" t="s">
        <v>1656</v>
      </c>
      <c r="C824" s="57">
        <v>47751851006666</v>
      </c>
      <c r="D824" s="54" t="s">
        <v>9</v>
      </c>
      <c r="E824" s="54">
        <v>26</v>
      </c>
      <c r="F824" s="54">
        <v>4</v>
      </c>
      <c r="G824" s="54">
        <v>104</v>
      </c>
      <c r="H824" s="131" t="s">
        <v>1657</v>
      </c>
    </row>
    <row r="825" spans="1:8">
      <c r="A825" s="62">
        <v>8325119</v>
      </c>
      <c r="B825" s="55" t="s">
        <v>1658</v>
      </c>
      <c r="C825" s="58">
        <v>17750243087572</v>
      </c>
      <c r="D825" s="55" t="s">
        <v>9</v>
      </c>
      <c r="E825" s="55">
        <v>26</v>
      </c>
      <c r="F825" s="55">
        <v>4</v>
      </c>
      <c r="G825" s="55">
        <v>104</v>
      </c>
      <c r="H825" s="131" t="s">
        <v>1659</v>
      </c>
    </row>
    <row r="826" spans="1:8">
      <c r="A826" s="61">
        <v>8325120</v>
      </c>
      <c r="B826" s="54" t="s">
        <v>1660</v>
      </c>
      <c r="C826" s="57">
        <v>17750243087589</v>
      </c>
      <c r="D826" s="54" t="s">
        <v>9</v>
      </c>
      <c r="E826" s="54">
        <v>26</v>
      </c>
      <c r="F826" s="54">
        <v>4</v>
      </c>
      <c r="G826" s="54">
        <v>104</v>
      </c>
      <c r="H826" s="131" t="s">
        <v>1661</v>
      </c>
    </row>
    <row r="827" spans="1:8">
      <c r="A827" s="62">
        <v>8325121</v>
      </c>
      <c r="B827" s="55" t="s">
        <v>1662</v>
      </c>
      <c r="C827" s="58">
        <v>17750243087596</v>
      </c>
      <c r="D827" s="55" t="s">
        <v>9</v>
      </c>
      <c r="E827" s="55">
        <v>26</v>
      </c>
      <c r="F827" s="55">
        <v>4</v>
      </c>
      <c r="G827" s="55">
        <v>104</v>
      </c>
      <c r="H827" s="131" t="s">
        <v>1663</v>
      </c>
    </row>
    <row r="828" spans="1:8">
      <c r="A828" s="61">
        <v>8325122</v>
      </c>
      <c r="B828" s="54" t="s">
        <v>1664</v>
      </c>
      <c r="C828" s="57">
        <v>27750243087913</v>
      </c>
      <c r="D828" s="54" t="s">
        <v>9</v>
      </c>
      <c r="E828" s="54">
        <v>26</v>
      </c>
      <c r="F828" s="54">
        <v>4</v>
      </c>
      <c r="G828" s="54">
        <v>104</v>
      </c>
      <c r="H828" s="131" t="s">
        <v>1665</v>
      </c>
    </row>
    <row r="829" spans="1:8">
      <c r="A829" s="62">
        <v>8326082</v>
      </c>
      <c r="B829" s="55" t="s">
        <v>1666</v>
      </c>
      <c r="C829" s="58">
        <v>17861048603130</v>
      </c>
      <c r="D829" s="55" t="s">
        <v>9</v>
      </c>
      <c r="E829" s="55">
        <v>30</v>
      </c>
      <c r="F829" s="55">
        <v>6</v>
      </c>
      <c r="G829" s="55">
        <v>180</v>
      </c>
      <c r="H829" s="131" t="s">
        <v>1667</v>
      </c>
    </row>
    <row r="830" spans="1:8">
      <c r="A830" s="61">
        <v>8326097</v>
      </c>
      <c r="B830" s="54" t="s">
        <v>1668</v>
      </c>
      <c r="C830" s="57">
        <v>17751851032435</v>
      </c>
      <c r="D830" s="54" t="s">
        <v>9</v>
      </c>
      <c r="E830" s="54">
        <v>11</v>
      </c>
      <c r="F830" s="54">
        <v>3</v>
      </c>
      <c r="G830" s="54">
        <v>33</v>
      </c>
      <c r="H830" s="131" t="s">
        <v>1669</v>
      </c>
    </row>
    <row r="831" spans="1:8">
      <c r="A831" s="62">
        <v>8326102</v>
      </c>
      <c r="B831" s="55" t="s">
        <v>1670</v>
      </c>
      <c r="C831" s="58">
        <v>27751851016807</v>
      </c>
      <c r="D831" s="55" t="s">
        <v>9</v>
      </c>
      <c r="E831" s="55">
        <v>10</v>
      </c>
      <c r="F831" s="55">
        <v>4</v>
      </c>
      <c r="G831" s="55">
        <v>40</v>
      </c>
      <c r="H831" s="131" t="s">
        <v>1671</v>
      </c>
    </row>
    <row r="832" spans="1:8">
      <c r="A832" s="61">
        <v>8326105</v>
      </c>
      <c r="B832" s="54" t="s">
        <v>1672</v>
      </c>
      <c r="C832" s="57">
        <v>27751851014827</v>
      </c>
      <c r="D832" s="54" t="s">
        <v>9</v>
      </c>
      <c r="E832" s="54">
        <v>10</v>
      </c>
      <c r="F832" s="54">
        <v>4</v>
      </c>
      <c r="G832" s="54">
        <v>40</v>
      </c>
      <c r="H832" s="131" t="s">
        <v>1673</v>
      </c>
    </row>
    <row r="833" spans="1:8">
      <c r="A833" s="62">
        <v>8326107</v>
      </c>
      <c r="B833" s="55" t="s">
        <v>1674</v>
      </c>
      <c r="C833" s="58">
        <v>17861048645741</v>
      </c>
      <c r="D833" s="55" t="s">
        <v>9</v>
      </c>
      <c r="E833" s="55">
        <v>12</v>
      </c>
      <c r="F833" s="55">
        <v>5</v>
      </c>
      <c r="G833" s="55">
        <v>60</v>
      </c>
      <c r="H833" s="131" t="s">
        <v>1675</v>
      </c>
    </row>
    <row r="834" spans="1:8">
      <c r="A834" s="61">
        <v>8326111</v>
      </c>
      <c r="B834" s="54" t="s">
        <v>1676</v>
      </c>
      <c r="C834" s="57">
        <v>27751851009069</v>
      </c>
      <c r="D834" s="54" t="s">
        <v>9</v>
      </c>
      <c r="E834" s="54">
        <v>10</v>
      </c>
      <c r="F834" s="54">
        <v>4</v>
      </c>
      <c r="G834" s="54">
        <v>40</v>
      </c>
      <c r="H834" s="131" t="s">
        <v>1677</v>
      </c>
    </row>
    <row r="835" spans="1:8">
      <c r="A835" s="62">
        <v>8326123</v>
      </c>
      <c r="B835" s="55" t="s">
        <v>1678</v>
      </c>
      <c r="C835" s="58">
        <v>27750243067236</v>
      </c>
      <c r="D835" s="55" t="s">
        <v>9</v>
      </c>
      <c r="E835" s="55">
        <v>18</v>
      </c>
      <c r="F835" s="55">
        <v>6</v>
      </c>
      <c r="G835" s="55">
        <v>108</v>
      </c>
      <c r="H835" s="131" t="s">
        <v>1679</v>
      </c>
    </row>
    <row r="836" spans="1:8">
      <c r="A836" s="61">
        <v>8326124</v>
      </c>
      <c r="B836" s="54" t="s">
        <v>1680</v>
      </c>
      <c r="C836" s="57">
        <v>27750243067243</v>
      </c>
      <c r="D836" s="54" t="s">
        <v>9</v>
      </c>
      <c r="E836" s="54">
        <v>18</v>
      </c>
      <c r="F836" s="54">
        <v>6</v>
      </c>
      <c r="G836" s="54">
        <v>108</v>
      </c>
      <c r="H836" s="131" t="s">
        <v>1681</v>
      </c>
    </row>
    <row r="837" spans="1:8">
      <c r="A837" s="62">
        <v>8326125</v>
      </c>
      <c r="B837" s="55" t="s">
        <v>1682</v>
      </c>
      <c r="C837" s="58">
        <v>17750243067253</v>
      </c>
      <c r="D837" s="55" t="s">
        <v>9</v>
      </c>
      <c r="E837" s="55">
        <v>12</v>
      </c>
      <c r="F837" s="55">
        <v>3</v>
      </c>
      <c r="G837" s="55">
        <v>36</v>
      </c>
      <c r="H837" s="131" t="s">
        <v>1683</v>
      </c>
    </row>
    <row r="838" spans="1:8">
      <c r="A838" s="61">
        <v>8326126</v>
      </c>
      <c r="B838" s="54" t="s">
        <v>1684</v>
      </c>
      <c r="C838" s="57">
        <v>17750243067260</v>
      </c>
      <c r="D838" s="54" t="s">
        <v>9</v>
      </c>
      <c r="E838" s="54">
        <v>12</v>
      </c>
      <c r="F838" s="54">
        <v>6</v>
      </c>
      <c r="G838" s="54">
        <v>72</v>
      </c>
      <c r="H838" s="131" t="s">
        <v>1685</v>
      </c>
    </row>
    <row r="839" spans="1:8">
      <c r="A839" s="62">
        <v>8326127</v>
      </c>
      <c r="B839" s="55" t="s">
        <v>1686</v>
      </c>
      <c r="C839" s="58">
        <v>17750243067277</v>
      </c>
      <c r="D839" s="55" t="s">
        <v>9</v>
      </c>
      <c r="E839" s="55">
        <v>12</v>
      </c>
      <c r="F839" s="55">
        <v>6</v>
      </c>
      <c r="G839" s="55">
        <v>72</v>
      </c>
      <c r="H839" s="131" t="s">
        <v>1687</v>
      </c>
    </row>
    <row r="840" spans="1:8">
      <c r="A840" s="61">
        <v>8326129</v>
      </c>
      <c r="B840" s="54" t="s">
        <v>1688</v>
      </c>
      <c r="C840" s="57">
        <v>27750243068738</v>
      </c>
      <c r="D840" s="54" t="s">
        <v>9</v>
      </c>
      <c r="E840" s="54">
        <v>22</v>
      </c>
      <c r="F840" s="54">
        <v>9</v>
      </c>
      <c r="G840" s="54">
        <v>198</v>
      </c>
      <c r="H840" s="131" t="s">
        <v>1689</v>
      </c>
    </row>
    <row r="841" spans="1:8">
      <c r="A841" s="62">
        <v>8326132</v>
      </c>
      <c r="B841" s="55" t="s">
        <v>1690</v>
      </c>
      <c r="C841" s="58">
        <v>27750243068721</v>
      </c>
      <c r="D841" s="55" t="s">
        <v>9</v>
      </c>
      <c r="E841" s="55">
        <v>22</v>
      </c>
      <c r="F841" s="55">
        <v>9</v>
      </c>
      <c r="G841" s="55">
        <v>198</v>
      </c>
      <c r="H841" s="131" t="s">
        <v>1691</v>
      </c>
    </row>
    <row r="842" spans="1:8">
      <c r="A842" s="61">
        <v>8326133</v>
      </c>
      <c r="B842" s="54" t="s">
        <v>1692</v>
      </c>
      <c r="C842" s="57">
        <v>17750243070161</v>
      </c>
      <c r="D842" s="54" t="s">
        <v>9</v>
      </c>
      <c r="E842" s="54">
        <v>12</v>
      </c>
      <c r="F842" s="54">
        <v>5</v>
      </c>
      <c r="G842" s="54">
        <v>60</v>
      </c>
      <c r="H842" s="131" t="s">
        <v>1693</v>
      </c>
    </row>
    <row r="843" spans="1:8">
      <c r="A843" s="62">
        <v>8326134</v>
      </c>
      <c r="B843" s="55" t="s">
        <v>1694</v>
      </c>
      <c r="C843" s="58">
        <v>17750243070178</v>
      </c>
      <c r="D843" s="55" t="s">
        <v>9</v>
      </c>
      <c r="E843" s="55">
        <v>12</v>
      </c>
      <c r="F843" s="55">
        <v>5</v>
      </c>
      <c r="G843" s="55">
        <v>60</v>
      </c>
      <c r="H843" s="131" t="s">
        <v>1695</v>
      </c>
    </row>
    <row r="844" spans="1:8">
      <c r="A844" s="61">
        <v>8326135</v>
      </c>
      <c r="B844" s="54" t="s">
        <v>1696</v>
      </c>
      <c r="C844" s="57">
        <v>17750243070123</v>
      </c>
      <c r="D844" s="54" t="s">
        <v>9</v>
      </c>
      <c r="E844" s="54">
        <v>10</v>
      </c>
      <c r="F844" s="54">
        <v>3</v>
      </c>
      <c r="G844" s="54">
        <v>30</v>
      </c>
      <c r="H844" s="131" t="s">
        <v>1697</v>
      </c>
    </row>
    <row r="845" spans="1:8">
      <c r="A845" s="62">
        <v>8326137</v>
      </c>
      <c r="B845" s="55" t="s">
        <v>1698</v>
      </c>
      <c r="C845" s="58">
        <v>17750243070208</v>
      </c>
      <c r="D845" s="55" t="s">
        <v>9</v>
      </c>
      <c r="E845" s="55">
        <v>12</v>
      </c>
      <c r="F845" s="55">
        <v>5</v>
      </c>
      <c r="G845" s="55">
        <v>60</v>
      </c>
      <c r="H845" s="131" t="s">
        <v>1699</v>
      </c>
    </row>
    <row r="846" spans="1:8">
      <c r="A846" s="61">
        <v>8326139</v>
      </c>
      <c r="B846" s="54" t="s">
        <v>1700</v>
      </c>
      <c r="C846" s="57">
        <v>17750243070147</v>
      </c>
      <c r="D846" s="54" t="s">
        <v>9</v>
      </c>
      <c r="E846" s="54">
        <v>10</v>
      </c>
      <c r="F846" s="54">
        <v>3</v>
      </c>
      <c r="G846" s="54">
        <v>30</v>
      </c>
      <c r="H846" s="131" t="s">
        <v>1701</v>
      </c>
    </row>
    <row r="847" spans="1:8">
      <c r="A847" s="62">
        <v>8326140</v>
      </c>
      <c r="B847" s="55" t="s">
        <v>1702</v>
      </c>
      <c r="C847" s="58">
        <v>57751851544196</v>
      </c>
      <c r="D847" s="55" t="s">
        <v>9</v>
      </c>
      <c r="E847" s="55">
        <v>12</v>
      </c>
      <c r="F847" s="55">
        <v>3</v>
      </c>
      <c r="G847" s="55">
        <v>36</v>
      </c>
      <c r="H847" s="131" t="s">
        <v>1703</v>
      </c>
    </row>
    <row r="848" spans="1:8">
      <c r="A848" s="61">
        <v>8326143</v>
      </c>
      <c r="B848" s="54" t="s">
        <v>1704</v>
      </c>
      <c r="C848" s="57">
        <v>17861048606186</v>
      </c>
      <c r="D848" s="54" t="s">
        <v>9</v>
      </c>
      <c r="E848" s="54">
        <v>10</v>
      </c>
      <c r="F848" s="54">
        <v>6</v>
      </c>
      <c r="G848" s="54">
        <v>60</v>
      </c>
      <c r="H848" s="131" t="s">
        <v>1705</v>
      </c>
    </row>
    <row r="849" spans="1:8">
      <c r="A849" s="62">
        <v>8326146</v>
      </c>
      <c r="B849" s="55" t="s">
        <v>1706</v>
      </c>
      <c r="C849" s="58">
        <v>27751851032425</v>
      </c>
      <c r="D849" s="55" t="s">
        <v>9</v>
      </c>
      <c r="E849" s="55">
        <v>11</v>
      </c>
      <c r="F849" s="55">
        <v>3</v>
      </c>
      <c r="G849" s="55">
        <v>33</v>
      </c>
      <c r="H849" s="131" t="s">
        <v>1707</v>
      </c>
    </row>
    <row r="850" spans="1:8">
      <c r="A850" s="61">
        <v>8326147</v>
      </c>
      <c r="B850" s="54" t="s">
        <v>1708</v>
      </c>
      <c r="C850" s="57">
        <v>27751851032432</v>
      </c>
      <c r="D850" s="54" t="s">
        <v>9</v>
      </c>
      <c r="E850" s="54">
        <v>11</v>
      </c>
      <c r="F850" s="54">
        <v>3</v>
      </c>
      <c r="G850" s="54">
        <v>33</v>
      </c>
      <c r="H850" s="131" t="s">
        <v>1709</v>
      </c>
    </row>
    <row r="851" spans="1:8">
      <c r="A851" s="62">
        <v>8326150</v>
      </c>
      <c r="B851" s="55" t="s">
        <v>1710</v>
      </c>
      <c r="C851" s="58">
        <v>17750243075586</v>
      </c>
      <c r="D851" s="55" t="s">
        <v>9</v>
      </c>
      <c r="E851" s="55">
        <v>10</v>
      </c>
      <c r="F851" s="55">
        <v>6</v>
      </c>
      <c r="G851" s="55">
        <v>60</v>
      </c>
      <c r="H851" s="131" t="s">
        <v>1711</v>
      </c>
    </row>
    <row r="852" spans="1:8">
      <c r="A852" s="61">
        <v>8326151</v>
      </c>
      <c r="B852" s="54" t="s">
        <v>1712</v>
      </c>
      <c r="C852" s="57">
        <v>17750243075593</v>
      </c>
      <c r="D852" s="54" t="s">
        <v>9</v>
      </c>
      <c r="E852" s="54">
        <v>10</v>
      </c>
      <c r="F852" s="54">
        <v>6</v>
      </c>
      <c r="G852" s="54">
        <v>60</v>
      </c>
      <c r="H852" s="131" t="s">
        <v>1713</v>
      </c>
    </row>
    <row r="853" spans="1:8">
      <c r="A853" s="62">
        <v>8326152</v>
      </c>
      <c r="B853" s="55" t="s">
        <v>1714</v>
      </c>
      <c r="C853" s="58">
        <v>57751851001729</v>
      </c>
      <c r="D853" s="55" t="s">
        <v>9</v>
      </c>
      <c r="E853" s="55">
        <v>10</v>
      </c>
      <c r="F853" s="55">
        <v>6</v>
      </c>
      <c r="G853" s="55">
        <v>60</v>
      </c>
      <c r="H853" s="131" t="s">
        <v>1715</v>
      </c>
    </row>
    <row r="854" spans="1:8">
      <c r="A854" s="61">
        <v>8326153</v>
      </c>
      <c r="B854" s="54" t="s">
        <v>1716</v>
      </c>
      <c r="C854" s="57">
        <v>17750243075845</v>
      </c>
      <c r="D854" s="54" t="s">
        <v>9</v>
      </c>
      <c r="E854" s="54">
        <v>14</v>
      </c>
      <c r="F854" s="54">
        <v>4</v>
      </c>
      <c r="G854" s="54">
        <v>56</v>
      </c>
      <c r="H854" s="131" t="s">
        <v>1717</v>
      </c>
    </row>
    <row r="855" spans="1:8">
      <c r="A855" s="62">
        <v>8326154</v>
      </c>
      <c r="B855" s="55" t="s">
        <v>1718</v>
      </c>
      <c r="C855" s="58">
        <v>17750243075852</v>
      </c>
      <c r="D855" s="55" t="s">
        <v>9</v>
      </c>
      <c r="E855" s="55">
        <v>14</v>
      </c>
      <c r="F855" s="55">
        <v>4</v>
      </c>
      <c r="G855" s="55">
        <v>56</v>
      </c>
      <c r="H855" s="131" t="s">
        <v>1719</v>
      </c>
    </row>
    <row r="856" spans="1:8">
      <c r="A856" s="61">
        <v>8326155</v>
      </c>
      <c r="B856" s="54" t="s">
        <v>1720</v>
      </c>
      <c r="C856" s="57">
        <v>17750243075869</v>
      </c>
      <c r="D856" s="54" t="s">
        <v>9</v>
      </c>
      <c r="E856" s="54">
        <v>10</v>
      </c>
      <c r="F856" s="54">
        <v>4</v>
      </c>
      <c r="G856" s="54">
        <v>40</v>
      </c>
      <c r="H856" s="131" t="s">
        <v>1721</v>
      </c>
    </row>
    <row r="857" spans="1:8">
      <c r="A857" s="62">
        <v>8326156</v>
      </c>
      <c r="B857" s="55" t="s">
        <v>1722</v>
      </c>
      <c r="C857" s="58">
        <v>17750243075876</v>
      </c>
      <c r="D857" s="55" t="s">
        <v>9</v>
      </c>
      <c r="E857" s="55">
        <v>10</v>
      </c>
      <c r="F857" s="55">
        <v>4</v>
      </c>
      <c r="G857" s="55">
        <v>40</v>
      </c>
      <c r="H857" s="131" t="s">
        <v>1723</v>
      </c>
    </row>
    <row r="858" spans="1:8">
      <c r="A858" s="61">
        <v>8326157</v>
      </c>
      <c r="B858" s="54" t="s">
        <v>1724</v>
      </c>
      <c r="C858" s="57">
        <v>17750243075883</v>
      </c>
      <c r="D858" s="54" t="s">
        <v>9</v>
      </c>
      <c r="E858" s="54">
        <v>10</v>
      </c>
      <c r="F858" s="54">
        <v>4</v>
      </c>
      <c r="G858" s="54">
        <v>40</v>
      </c>
      <c r="H858" s="131" t="s">
        <v>1725</v>
      </c>
    </row>
    <row r="859" spans="1:8">
      <c r="A859" s="62">
        <v>8326158</v>
      </c>
      <c r="B859" s="55" t="s">
        <v>1726</v>
      </c>
      <c r="C859" s="58">
        <v>17750243076309</v>
      </c>
      <c r="D859" s="55" t="s">
        <v>9</v>
      </c>
      <c r="E859" s="55">
        <v>12</v>
      </c>
      <c r="F859" s="55">
        <v>6</v>
      </c>
      <c r="G859" s="55">
        <v>72</v>
      </c>
      <c r="H859" s="131" t="s">
        <v>1727</v>
      </c>
    </row>
    <row r="860" spans="1:8">
      <c r="A860" s="61">
        <v>8326159</v>
      </c>
      <c r="B860" s="54" t="s">
        <v>1728</v>
      </c>
      <c r="C860" s="57">
        <v>17750243076316</v>
      </c>
      <c r="D860" s="54" t="s">
        <v>9</v>
      </c>
      <c r="E860" s="54">
        <v>12</v>
      </c>
      <c r="F860" s="54">
        <v>6</v>
      </c>
      <c r="G860" s="54">
        <v>72</v>
      </c>
      <c r="H860" s="131" t="s">
        <v>1729</v>
      </c>
    </row>
    <row r="861" spans="1:8">
      <c r="A861" s="62">
        <v>8326160</v>
      </c>
      <c r="B861" s="55" t="s">
        <v>1730</v>
      </c>
      <c r="C861" s="58">
        <v>2500000008146</v>
      </c>
      <c r="D861" s="55" t="s">
        <v>9</v>
      </c>
      <c r="E861" s="55">
        <v>20</v>
      </c>
      <c r="F861" s="55">
        <v>4</v>
      </c>
      <c r="G861" s="55">
        <v>80</v>
      </c>
      <c r="H861" s="131" t="s">
        <v>1731</v>
      </c>
    </row>
    <row r="862" spans="1:8">
      <c r="A862" s="61">
        <v>8326161</v>
      </c>
      <c r="B862" s="54" t="s">
        <v>1732</v>
      </c>
      <c r="C862" s="57">
        <v>17861003032074</v>
      </c>
      <c r="D862" s="54" t="s">
        <v>9</v>
      </c>
      <c r="E862" s="54">
        <v>22</v>
      </c>
      <c r="F862" s="54">
        <v>8</v>
      </c>
      <c r="G862" s="54">
        <v>176</v>
      </c>
      <c r="H862" s="131" t="s">
        <v>1733</v>
      </c>
    </row>
    <row r="863" spans="1:8">
      <c r="A863" s="62">
        <v>8326162</v>
      </c>
      <c r="B863" s="55" t="s">
        <v>1734</v>
      </c>
      <c r="C863" s="58">
        <v>17861003032081</v>
      </c>
      <c r="D863" s="55" t="s">
        <v>9</v>
      </c>
      <c r="E863" s="55">
        <v>18</v>
      </c>
      <c r="F863" s="55">
        <v>5</v>
      </c>
      <c r="G863" s="55">
        <v>90</v>
      </c>
      <c r="H863" s="131" t="s">
        <v>1735</v>
      </c>
    </row>
    <row r="864" spans="1:8">
      <c r="A864" s="61">
        <v>8326163</v>
      </c>
      <c r="B864" s="54" t="s">
        <v>1736</v>
      </c>
      <c r="C864" s="57">
        <v>17750243078105</v>
      </c>
      <c r="D864" s="54" t="s">
        <v>9</v>
      </c>
      <c r="E864" s="54">
        <v>12</v>
      </c>
      <c r="F864" s="54">
        <v>6</v>
      </c>
      <c r="G864" s="54">
        <v>72</v>
      </c>
      <c r="H864" s="131" t="s">
        <v>1737</v>
      </c>
    </row>
    <row r="865" spans="1:8">
      <c r="A865" s="62">
        <v>8326164</v>
      </c>
      <c r="B865" s="55" t="s">
        <v>1738</v>
      </c>
      <c r="C865" s="58">
        <v>17750243078167</v>
      </c>
      <c r="D865" s="55" t="s">
        <v>9</v>
      </c>
      <c r="E865" s="55">
        <v>10</v>
      </c>
      <c r="F865" s="55">
        <v>6</v>
      </c>
      <c r="G865" s="55">
        <v>60</v>
      </c>
      <c r="H865" s="131" t="s">
        <v>1739</v>
      </c>
    </row>
    <row r="866" spans="1:8">
      <c r="A866" s="61">
        <v>8326165</v>
      </c>
      <c r="B866" s="54" t="s">
        <v>1740</v>
      </c>
      <c r="C866" s="57">
        <v>17750243078174</v>
      </c>
      <c r="D866" s="54" t="s">
        <v>9</v>
      </c>
      <c r="E866" s="54">
        <v>10</v>
      </c>
      <c r="F866" s="54">
        <v>6</v>
      </c>
      <c r="G866" s="54">
        <v>60</v>
      </c>
      <c r="H866" s="131" t="s">
        <v>1741</v>
      </c>
    </row>
    <row r="867" spans="1:8">
      <c r="A867" s="62">
        <v>8326166</v>
      </c>
      <c r="B867" s="55" t="s">
        <v>1742</v>
      </c>
      <c r="C867" s="58">
        <v>17750243078181</v>
      </c>
      <c r="D867" s="55" t="s">
        <v>9</v>
      </c>
      <c r="E867" s="55">
        <v>10</v>
      </c>
      <c r="F867" s="55">
        <v>6</v>
      </c>
      <c r="G867" s="55">
        <v>60</v>
      </c>
      <c r="H867" s="131" t="s">
        <v>1743</v>
      </c>
    </row>
    <row r="868" spans="1:8">
      <c r="A868" s="61">
        <v>8326167</v>
      </c>
      <c r="B868" s="54" t="s">
        <v>1744</v>
      </c>
      <c r="C868" s="57">
        <v>17750243078198</v>
      </c>
      <c r="D868" s="54" t="s">
        <v>9</v>
      </c>
      <c r="E868" s="54">
        <v>10</v>
      </c>
      <c r="F868" s="54">
        <v>6</v>
      </c>
      <c r="G868" s="54">
        <v>60</v>
      </c>
      <c r="H868" s="131" t="s">
        <v>1745</v>
      </c>
    </row>
    <row r="869" spans="1:8">
      <c r="A869" s="62">
        <v>8326168</v>
      </c>
      <c r="B869" s="55" t="s">
        <v>1746</v>
      </c>
      <c r="C869" s="58">
        <v>17750243078204</v>
      </c>
      <c r="D869" s="55" t="s">
        <v>9</v>
      </c>
      <c r="E869" s="55">
        <v>10</v>
      </c>
      <c r="F869" s="55">
        <v>6</v>
      </c>
      <c r="G869" s="55">
        <v>60</v>
      </c>
      <c r="H869" s="131" t="s">
        <v>1747</v>
      </c>
    </row>
    <row r="870" spans="1:8">
      <c r="A870" s="61">
        <v>8326169</v>
      </c>
      <c r="B870" s="54" t="s">
        <v>1748</v>
      </c>
      <c r="C870" s="57">
        <v>17750243078587</v>
      </c>
      <c r="D870" s="54" t="s">
        <v>9</v>
      </c>
      <c r="E870" s="54">
        <v>18</v>
      </c>
      <c r="F870" s="54">
        <v>4</v>
      </c>
      <c r="G870" s="54">
        <v>72</v>
      </c>
      <c r="H870" s="131" t="s">
        <v>1749</v>
      </c>
    </row>
    <row r="871" spans="1:8">
      <c r="A871" s="62">
        <v>8326170</v>
      </c>
      <c r="B871" s="55" t="s">
        <v>1750</v>
      </c>
      <c r="C871" s="58">
        <v>17750243080092</v>
      </c>
      <c r="D871" s="55" t="s">
        <v>9</v>
      </c>
      <c r="E871" s="55">
        <v>10</v>
      </c>
      <c r="F871" s="55">
        <v>6</v>
      </c>
      <c r="G871" s="55">
        <v>60</v>
      </c>
      <c r="H871" s="131" t="s">
        <v>1751</v>
      </c>
    </row>
    <row r="872" spans="1:8">
      <c r="A872" s="61">
        <v>8326171</v>
      </c>
      <c r="B872" s="54" t="s">
        <v>1752</v>
      </c>
      <c r="C872" s="57">
        <v>17750243080290</v>
      </c>
      <c r="D872" s="54" t="s">
        <v>9</v>
      </c>
      <c r="E872" s="54">
        <v>10</v>
      </c>
      <c r="F872" s="54">
        <v>6</v>
      </c>
      <c r="G872" s="54">
        <v>60</v>
      </c>
      <c r="H872" s="131" t="s">
        <v>1753</v>
      </c>
    </row>
    <row r="873" spans="1:8">
      <c r="A873" s="62">
        <v>8326172</v>
      </c>
      <c r="B873" s="55" t="s">
        <v>1754</v>
      </c>
      <c r="C873" s="58">
        <v>17750243080306</v>
      </c>
      <c r="D873" s="55" t="s">
        <v>9</v>
      </c>
      <c r="E873" s="55">
        <v>14</v>
      </c>
      <c r="F873" s="55">
        <v>4</v>
      </c>
      <c r="G873" s="55">
        <v>56</v>
      </c>
      <c r="H873" s="131" t="s">
        <v>1755</v>
      </c>
    </row>
    <row r="874" spans="1:8">
      <c r="A874" s="61">
        <v>8326173</v>
      </c>
      <c r="B874" s="54" t="s">
        <v>1756</v>
      </c>
      <c r="C874" s="57">
        <v>17750243081105</v>
      </c>
      <c r="D874" s="54" t="s">
        <v>9</v>
      </c>
      <c r="E874" s="54">
        <v>10</v>
      </c>
      <c r="F874" s="54">
        <v>4</v>
      </c>
      <c r="G874" s="54">
        <v>40</v>
      </c>
      <c r="H874" s="133" t="s">
        <v>1757</v>
      </c>
    </row>
    <row r="875" spans="1:8">
      <c r="A875" s="62">
        <v>8326174</v>
      </c>
      <c r="B875" s="55" t="s">
        <v>1758</v>
      </c>
      <c r="C875" s="58">
        <v>17750243081136</v>
      </c>
      <c r="D875" s="55" t="s">
        <v>9</v>
      </c>
      <c r="E875" s="55">
        <v>10</v>
      </c>
      <c r="F875" s="55">
        <v>4</v>
      </c>
      <c r="G875" s="55">
        <v>40</v>
      </c>
      <c r="H875" s="131" t="s">
        <v>1759</v>
      </c>
    </row>
    <row r="876" spans="1:8">
      <c r="A876" s="61">
        <v>8326177</v>
      </c>
      <c r="B876" s="54" t="s">
        <v>1760</v>
      </c>
      <c r="C876" s="57">
        <v>17750243081327</v>
      </c>
      <c r="D876" s="54" t="s">
        <v>9</v>
      </c>
      <c r="E876" s="54">
        <v>10</v>
      </c>
      <c r="F876" s="54">
        <v>4</v>
      </c>
      <c r="G876" s="54">
        <v>40</v>
      </c>
      <c r="H876" s="131" t="s">
        <v>1761</v>
      </c>
    </row>
    <row r="877" spans="1:8">
      <c r="A877" s="62">
        <v>8326179</v>
      </c>
      <c r="B877" s="55" t="s">
        <v>1762</v>
      </c>
      <c r="C877" s="58">
        <v>67751851001726</v>
      </c>
      <c r="D877" s="55" t="s">
        <v>9</v>
      </c>
      <c r="E877" s="55">
        <v>10</v>
      </c>
      <c r="F877" s="55">
        <v>6</v>
      </c>
      <c r="G877" s="55">
        <v>60</v>
      </c>
      <c r="H877" s="131" t="s">
        <v>1763</v>
      </c>
    </row>
    <row r="878" spans="1:8">
      <c r="A878" s="61">
        <v>8326180</v>
      </c>
      <c r="B878" s="54" t="s">
        <v>1764</v>
      </c>
      <c r="C878" s="57">
        <v>17750243081457</v>
      </c>
      <c r="D878" s="54" t="s">
        <v>9</v>
      </c>
      <c r="E878" s="54">
        <v>10</v>
      </c>
      <c r="F878" s="54">
        <v>6</v>
      </c>
      <c r="G878" s="54">
        <v>60</v>
      </c>
      <c r="H878" s="131" t="s">
        <v>1765</v>
      </c>
    </row>
    <row r="879" spans="1:8">
      <c r="A879" s="62">
        <v>8326181</v>
      </c>
      <c r="B879" s="55" t="s">
        <v>1766</v>
      </c>
      <c r="C879" s="58">
        <v>17750243081549</v>
      </c>
      <c r="D879" s="55" t="s">
        <v>9</v>
      </c>
      <c r="E879" s="55">
        <v>10</v>
      </c>
      <c r="F879" s="55">
        <v>6</v>
      </c>
      <c r="G879" s="55">
        <v>60</v>
      </c>
      <c r="H879" s="131" t="s">
        <v>1767</v>
      </c>
    </row>
    <row r="880" spans="1:8">
      <c r="A880" s="61">
        <v>8326182</v>
      </c>
      <c r="B880" s="54" t="s">
        <v>1768</v>
      </c>
      <c r="C880" s="57">
        <v>17751851032473</v>
      </c>
      <c r="D880" s="54" t="s">
        <v>9</v>
      </c>
      <c r="E880" s="54">
        <v>11</v>
      </c>
      <c r="F880" s="54">
        <v>3</v>
      </c>
      <c r="G880" s="54">
        <v>33</v>
      </c>
      <c r="H880" s="131" t="s">
        <v>1769</v>
      </c>
    </row>
    <row r="881" spans="1:8">
      <c r="A881" s="62">
        <v>8326184</v>
      </c>
      <c r="B881" s="55" t="s">
        <v>1770</v>
      </c>
      <c r="C881" s="58">
        <v>27750243075873</v>
      </c>
      <c r="D881" s="55" t="s">
        <v>9</v>
      </c>
      <c r="E881" s="55">
        <v>10</v>
      </c>
      <c r="F881" s="55">
        <v>4</v>
      </c>
      <c r="G881" s="55">
        <v>40</v>
      </c>
      <c r="H881" s="131" t="s">
        <v>1771</v>
      </c>
    </row>
    <row r="882" spans="1:8">
      <c r="A882" s="61">
        <v>8326185</v>
      </c>
      <c r="B882" s="54" t="s">
        <v>1772</v>
      </c>
      <c r="C882" s="57">
        <v>27750243078102</v>
      </c>
      <c r="D882" s="54" t="s">
        <v>9</v>
      </c>
      <c r="E882" s="54">
        <v>12</v>
      </c>
      <c r="F882" s="54">
        <v>6</v>
      </c>
      <c r="G882" s="54">
        <v>72</v>
      </c>
      <c r="H882" s="133" t="s">
        <v>1773</v>
      </c>
    </row>
    <row r="883" spans="1:8">
      <c r="A883" s="62">
        <v>8326186</v>
      </c>
      <c r="B883" s="55" t="s">
        <v>1774</v>
      </c>
      <c r="C883" s="58">
        <v>27750243080099</v>
      </c>
      <c r="D883" s="55" t="s">
        <v>9</v>
      </c>
      <c r="E883" s="55">
        <v>10</v>
      </c>
      <c r="F883" s="55">
        <v>6</v>
      </c>
      <c r="G883" s="55">
        <v>60</v>
      </c>
      <c r="H883" s="131" t="s">
        <v>1775</v>
      </c>
    </row>
    <row r="884" spans="1:8">
      <c r="A884" s="61">
        <v>8326190</v>
      </c>
      <c r="B884" s="54" t="s">
        <v>1776</v>
      </c>
      <c r="C884" s="57">
        <v>7750243083621</v>
      </c>
      <c r="D884" s="54" t="s">
        <v>100</v>
      </c>
      <c r="E884" s="54">
        <v>480</v>
      </c>
      <c r="F884" s="54">
        <v>4</v>
      </c>
      <c r="G884" s="54">
        <v>1920</v>
      </c>
      <c r="H884" s="131" t="s">
        <v>1777</v>
      </c>
    </row>
    <row r="885" spans="1:8">
      <c r="A885" s="62">
        <v>8326192</v>
      </c>
      <c r="B885" s="55" t="s">
        <v>1778</v>
      </c>
      <c r="C885" s="58">
        <v>7750243083645</v>
      </c>
      <c r="D885" s="55" t="s">
        <v>100</v>
      </c>
      <c r="E885" s="55">
        <v>480</v>
      </c>
      <c r="F885" s="55">
        <v>4</v>
      </c>
      <c r="G885" s="55">
        <v>1920</v>
      </c>
      <c r="H885" s="131" t="s">
        <v>1779</v>
      </c>
    </row>
    <row r="886" spans="1:8">
      <c r="A886" s="61">
        <v>8326211</v>
      </c>
      <c r="B886" s="54" t="s">
        <v>1780</v>
      </c>
      <c r="C886" s="57">
        <v>17750243085974</v>
      </c>
      <c r="D886" s="54" t="s">
        <v>9</v>
      </c>
      <c r="E886" s="54">
        <v>18</v>
      </c>
      <c r="F886" s="54">
        <v>5</v>
      </c>
      <c r="G886" s="54">
        <v>90</v>
      </c>
      <c r="H886" s="131" t="s">
        <v>1781</v>
      </c>
    </row>
    <row r="887" spans="1:8">
      <c r="A887" s="62">
        <v>8326212</v>
      </c>
      <c r="B887" s="55" t="s">
        <v>1782</v>
      </c>
      <c r="C887" s="58">
        <v>17750243085967</v>
      </c>
      <c r="D887" s="55" t="s">
        <v>9</v>
      </c>
      <c r="E887" s="55">
        <v>22</v>
      </c>
      <c r="F887" s="55">
        <v>8</v>
      </c>
      <c r="G887" s="55">
        <v>176</v>
      </c>
      <c r="H887" s="131" t="s">
        <v>1783</v>
      </c>
    </row>
    <row r="888" spans="1:8">
      <c r="A888" s="61">
        <v>8326213</v>
      </c>
      <c r="B888" s="54" t="s">
        <v>1784</v>
      </c>
      <c r="C888" s="57">
        <v>17750243087183</v>
      </c>
      <c r="D888" s="54" t="s">
        <v>9</v>
      </c>
      <c r="E888" s="54">
        <v>10</v>
      </c>
      <c r="F888" s="54">
        <v>4</v>
      </c>
      <c r="G888" s="54">
        <v>40</v>
      </c>
      <c r="H888" s="131" t="s">
        <v>1785</v>
      </c>
    </row>
    <row r="889" spans="1:8">
      <c r="A889" s="62">
        <v>8326214</v>
      </c>
      <c r="B889" s="55" t="s">
        <v>1786</v>
      </c>
      <c r="C889" s="58">
        <v>17750243087206</v>
      </c>
      <c r="D889" s="55" t="s">
        <v>9</v>
      </c>
      <c r="E889" s="55">
        <v>10</v>
      </c>
      <c r="F889" s="55">
        <v>4</v>
      </c>
      <c r="G889" s="55">
        <v>40</v>
      </c>
      <c r="H889" s="131" t="s">
        <v>1787</v>
      </c>
    </row>
    <row r="890" spans="1:8">
      <c r="A890" s="61">
        <v>8326215</v>
      </c>
      <c r="B890" s="54" t="s">
        <v>1788</v>
      </c>
      <c r="C890" s="57">
        <v>17750243087220</v>
      </c>
      <c r="D890" s="54" t="s">
        <v>9</v>
      </c>
      <c r="E890" s="54">
        <v>14</v>
      </c>
      <c r="F890" s="54">
        <v>6</v>
      </c>
      <c r="G890" s="54">
        <v>84</v>
      </c>
      <c r="H890" s="131" t="s">
        <v>1789</v>
      </c>
    </row>
    <row r="891" spans="1:8">
      <c r="A891" s="62">
        <v>8326217</v>
      </c>
      <c r="B891" s="55" t="s">
        <v>1790</v>
      </c>
      <c r="C891" s="58">
        <v>17750243088470</v>
      </c>
      <c r="D891" s="55" t="s">
        <v>9</v>
      </c>
      <c r="E891" s="55">
        <v>10</v>
      </c>
      <c r="F891" s="55">
        <v>4</v>
      </c>
      <c r="G891" s="55">
        <v>40</v>
      </c>
      <c r="H891" s="131" t="s">
        <v>1791</v>
      </c>
    </row>
    <row r="892" spans="1:8">
      <c r="A892" s="61">
        <v>8326218</v>
      </c>
      <c r="B892" s="54" t="s">
        <v>1792</v>
      </c>
      <c r="C892" s="57">
        <v>17750243088487</v>
      </c>
      <c r="D892" s="54" t="s">
        <v>9</v>
      </c>
      <c r="E892" s="54">
        <v>13</v>
      </c>
      <c r="F892" s="54">
        <v>3</v>
      </c>
      <c r="G892" s="54">
        <v>39</v>
      </c>
      <c r="H892" s="131" t="s">
        <v>1793</v>
      </c>
    </row>
    <row r="893" spans="1:8">
      <c r="A893" s="62">
        <v>8326219</v>
      </c>
      <c r="B893" s="55" t="s">
        <v>1794</v>
      </c>
      <c r="C893" s="58">
        <v>17750243088494</v>
      </c>
      <c r="D893" s="55" t="s">
        <v>9</v>
      </c>
      <c r="E893" s="55">
        <v>10</v>
      </c>
      <c r="F893" s="55">
        <v>4</v>
      </c>
      <c r="G893" s="55">
        <v>40</v>
      </c>
      <c r="H893" s="131" t="s">
        <v>1795</v>
      </c>
    </row>
    <row r="894" spans="1:8">
      <c r="A894" s="61">
        <v>8400072</v>
      </c>
      <c r="B894" s="54" t="s">
        <v>1796</v>
      </c>
      <c r="C894" s="59"/>
      <c r="D894" s="54" t="s">
        <v>288</v>
      </c>
      <c r="E894" s="54">
        <v>5</v>
      </c>
      <c r="F894" s="54">
        <v>6</v>
      </c>
      <c r="G894" s="54">
        <v>30</v>
      </c>
      <c r="H894" s="131" t="s">
        <v>1797</v>
      </c>
    </row>
    <row r="895" spans="1:8">
      <c r="A895" s="62">
        <v>8400370</v>
      </c>
      <c r="B895" s="55" t="s">
        <v>1798</v>
      </c>
      <c r="C895" s="58">
        <v>17750243053904</v>
      </c>
      <c r="D895" s="55" t="s">
        <v>288</v>
      </c>
      <c r="E895" s="55">
        <v>5</v>
      </c>
      <c r="F895" s="55">
        <v>10</v>
      </c>
      <c r="G895" s="55">
        <v>50</v>
      </c>
      <c r="H895" s="131" t="s">
        <v>1799</v>
      </c>
    </row>
    <row r="896" spans="1:8">
      <c r="A896" s="61">
        <v>8400374</v>
      </c>
      <c r="B896" s="54" t="s">
        <v>1800</v>
      </c>
      <c r="C896" s="57">
        <v>17750243053942</v>
      </c>
      <c r="D896" s="54" t="s">
        <v>288</v>
      </c>
      <c r="E896" s="54">
        <v>5</v>
      </c>
      <c r="F896" s="54">
        <v>8</v>
      </c>
      <c r="G896" s="54">
        <v>40</v>
      </c>
      <c r="H896" s="131" t="s">
        <v>1801</v>
      </c>
    </row>
    <row r="897" spans="1:8">
      <c r="A897" s="62">
        <v>8400375</v>
      </c>
      <c r="B897" s="55" t="s">
        <v>1802</v>
      </c>
      <c r="C897" s="58">
        <v>17750243053959</v>
      </c>
      <c r="D897" s="55" t="s">
        <v>288</v>
      </c>
      <c r="E897" s="55">
        <v>5</v>
      </c>
      <c r="F897" s="55">
        <v>6</v>
      </c>
      <c r="G897" s="55">
        <v>30</v>
      </c>
      <c r="H897" s="131" t="s">
        <v>1803</v>
      </c>
    </row>
    <row r="898" spans="1:8">
      <c r="A898" s="61">
        <v>8400377</v>
      </c>
      <c r="B898" s="54" t="s">
        <v>1804</v>
      </c>
      <c r="C898" s="57">
        <v>17750243053973</v>
      </c>
      <c r="D898" s="54" t="s">
        <v>288</v>
      </c>
      <c r="E898" s="54">
        <v>5</v>
      </c>
      <c r="F898" s="54">
        <v>5</v>
      </c>
      <c r="G898" s="54">
        <v>25</v>
      </c>
      <c r="H898" s="131" t="s">
        <v>1805</v>
      </c>
    </row>
    <row r="899" spans="1:8">
      <c r="A899" s="62">
        <v>8400382</v>
      </c>
      <c r="B899" s="55" t="s">
        <v>1806</v>
      </c>
      <c r="C899" s="58">
        <v>17750243054024</v>
      </c>
      <c r="D899" s="55" t="s">
        <v>288</v>
      </c>
      <c r="E899" s="55">
        <v>5</v>
      </c>
      <c r="F899" s="55">
        <v>6</v>
      </c>
      <c r="G899" s="55">
        <v>30</v>
      </c>
      <c r="H899" s="131" t="s">
        <v>1807</v>
      </c>
    </row>
    <row r="900" spans="1:8">
      <c r="A900" s="61">
        <v>8400383</v>
      </c>
      <c r="B900" s="54" t="s">
        <v>1808</v>
      </c>
      <c r="C900" s="57">
        <v>17750243054031</v>
      </c>
      <c r="D900" s="54" t="s">
        <v>288</v>
      </c>
      <c r="E900" s="54">
        <v>5</v>
      </c>
      <c r="F900" s="54">
        <v>6</v>
      </c>
      <c r="G900" s="54">
        <v>30</v>
      </c>
      <c r="H900" s="131" t="s">
        <v>1809</v>
      </c>
    </row>
    <row r="901" spans="1:8">
      <c r="A901" s="62">
        <v>8400389</v>
      </c>
      <c r="B901" s="55" t="s">
        <v>1810</v>
      </c>
      <c r="C901" s="58">
        <v>17750243054093</v>
      </c>
      <c r="D901" s="55" t="s">
        <v>288</v>
      </c>
      <c r="E901" s="55">
        <v>5</v>
      </c>
      <c r="F901" s="55">
        <v>9</v>
      </c>
      <c r="G901" s="55">
        <v>45</v>
      </c>
      <c r="H901" s="131" t="s">
        <v>1811</v>
      </c>
    </row>
    <row r="902" spans="1:8">
      <c r="A902" s="61">
        <v>8400392</v>
      </c>
      <c r="B902" s="54" t="s">
        <v>1812</v>
      </c>
      <c r="C902" s="57">
        <v>17750243054123</v>
      </c>
      <c r="D902" s="54" t="s">
        <v>288</v>
      </c>
      <c r="E902" s="54">
        <v>5</v>
      </c>
      <c r="F902" s="54">
        <v>6</v>
      </c>
      <c r="G902" s="54">
        <v>30</v>
      </c>
      <c r="H902" s="131" t="s">
        <v>1813</v>
      </c>
    </row>
    <row r="903" spans="1:8">
      <c r="A903" s="62">
        <v>8400399</v>
      </c>
      <c r="B903" s="55" t="s">
        <v>1814</v>
      </c>
      <c r="C903" s="58">
        <v>7750243055260</v>
      </c>
      <c r="D903" s="55" t="s">
        <v>100</v>
      </c>
      <c r="E903" s="55">
        <v>7</v>
      </c>
      <c r="F903" s="55">
        <v>8</v>
      </c>
      <c r="G903" s="55">
        <v>56</v>
      </c>
      <c r="H903" s="131" t="s">
        <v>1815</v>
      </c>
    </row>
    <row r="904" spans="1:8">
      <c r="A904" s="61">
        <v>8400404</v>
      </c>
      <c r="B904" s="54" t="s">
        <v>1816</v>
      </c>
      <c r="C904" s="57">
        <v>17750243055441</v>
      </c>
      <c r="D904" s="54" t="s">
        <v>288</v>
      </c>
      <c r="E904" s="54">
        <v>5</v>
      </c>
      <c r="F904" s="54">
        <v>7</v>
      </c>
      <c r="G904" s="54">
        <v>35</v>
      </c>
      <c r="H904" s="131" t="s">
        <v>1817</v>
      </c>
    </row>
    <row r="905" spans="1:8">
      <c r="A905" s="62">
        <v>8400408</v>
      </c>
      <c r="B905" s="55" t="s">
        <v>1818</v>
      </c>
      <c r="C905" s="58">
        <v>17750243055489</v>
      </c>
      <c r="D905" s="55" t="s">
        <v>288</v>
      </c>
      <c r="E905" s="55">
        <v>5</v>
      </c>
      <c r="F905" s="55">
        <v>7</v>
      </c>
      <c r="G905" s="55">
        <v>35</v>
      </c>
      <c r="H905" s="131" t="s">
        <v>1819</v>
      </c>
    </row>
    <row r="906" spans="1:8">
      <c r="A906" s="61">
        <v>8400414</v>
      </c>
      <c r="B906" s="54" t="s">
        <v>1820</v>
      </c>
      <c r="C906" s="57">
        <v>17750243055793</v>
      </c>
      <c r="D906" s="54" t="s">
        <v>288</v>
      </c>
      <c r="E906" s="54">
        <v>5</v>
      </c>
      <c r="F906" s="54">
        <v>8</v>
      </c>
      <c r="G906" s="54">
        <v>40</v>
      </c>
      <c r="H906" s="131" t="s">
        <v>1821</v>
      </c>
    </row>
    <row r="907" spans="1:8">
      <c r="A907" s="62">
        <v>8400415</v>
      </c>
      <c r="B907" s="55" t="s">
        <v>1822</v>
      </c>
      <c r="C907" s="58">
        <v>17750243080924</v>
      </c>
      <c r="D907" s="55" t="s">
        <v>288</v>
      </c>
      <c r="E907" s="55">
        <v>5</v>
      </c>
      <c r="F907" s="55">
        <v>8</v>
      </c>
      <c r="G907" s="55">
        <v>40</v>
      </c>
      <c r="H907" s="131" t="s">
        <v>1823</v>
      </c>
    </row>
    <row r="908" spans="1:8">
      <c r="A908" s="61">
        <v>8400417</v>
      </c>
      <c r="B908" s="54" t="s">
        <v>1824</v>
      </c>
      <c r="C908" s="57">
        <v>17750243080931</v>
      </c>
      <c r="D908" s="54" t="s">
        <v>288</v>
      </c>
      <c r="E908" s="54">
        <v>5</v>
      </c>
      <c r="F908" s="54">
        <v>8</v>
      </c>
      <c r="G908" s="54">
        <v>40</v>
      </c>
      <c r="H908" s="131" t="s">
        <v>1825</v>
      </c>
    </row>
    <row r="909" spans="1:8">
      <c r="A909" s="62">
        <v>8400418</v>
      </c>
      <c r="B909" s="55" t="s">
        <v>1826</v>
      </c>
      <c r="C909" s="58">
        <v>17750243080948</v>
      </c>
      <c r="D909" s="55" t="s">
        <v>288</v>
      </c>
      <c r="E909" s="55">
        <v>5</v>
      </c>
      <c r="F909" s="55">
        <v>8</v>
      </c>
      <c r="G909" s="55">
        <v>40</v>
      </c>
      <c r="H909" s="131" t="s">
        <v>1827</v>
      </c>
    </row>
    <row r="910" spans="1:8">
      <c r="A910" s="61">
        <v>8400419</v>
      </c>
      <c r="B910" s="54" t="s">
        <v>1828</v>
      </c>
      <c r="C910" s="57">
        <v>17750243080955</v>
      </c>
      <c r="D910" s="54" t="s">
        <v>288</v>
      </c>
      <c r="E910" s="54">
        <v>5</v>
      </c>
      <c r="F910" s="54">
        <v>8</v>
      </c>
      <c r="G910" s="54">
        <v>40</v>
      </c>
      <c r="H910" s="131" t="s">
        <v>1829</v>
      </c>
    </row>
    <row r="911" spans="1:8">
      <c r="A911" s="62">
        <v>8400420</v>
      </c>
      <c r="B911" s="55" t="s">
        <v>1830</v>
      </c>
      <c r="C911" s="58">
        <v>17750243080962</v>
      </c>
      <c r="D911" s="55" t="s">
        <v>288</v>
      </c>
      <c r="E911" s="55">
        <v>5</v>
      </c>
      <c r="F911" s="55">
        <v>7</v>
      </c>
      <c r="G911" s="55">
        <v>35</v>
      </c>
      <c r="H911" s="131" t="s">
        <v>1831</v>
      </c>
    </row>
    <row r="912" spans="1:8">
      <c r="A912" s="61">
        <v>8400421</v>
      </c>
      <c r="B912" s="54" t="s">
        <v>1832</v>
      </c>
      <c r="C912" s="57">
        <v>17750243080979</v>
      </c>
      <c r="D912" s="54" t="s">
        <v>288</v>
      </c>
      <c r="E912" s="54">
        <v>5</v>
      </c>
      <c r="F912" s="54">
        <v>7</v>
      </c>
      <c r="G912" s="54">
        <v>35</v>
      </c>
      <c r="H912" s="131" t="s">
        <v>1833</v>
      </c>
    </row>
    <row r="913" spans="1:8">
      <c r="A913" s="62">
        <v>8400423</v>
      </c>
      <c r="B913" s="55" t="s">
        <v>1834</v>
      </c>
      <c r="C913" s="58">
        <v>17750243055885</v>
      </c>
      <c r="D913" s="55" t="s">
        <v>288</v>
      </c>
      <c r="E913" s="55">
        <v>5</v>
      </c>
      <c r="F913" s="55">
        <v>8</v>
      </c>
      <c r="G913" s="55">
        <v>40</v>
      </c>
      <c r="H913" s="131" t="s">
        <v>1835</v>
      </c>
    </row>
    <row r="914" spans="1:8">
      <c r="A914" s="61">
        <v>8400424</v>
      </c>
      <c r="B914" s="54" t="s">
        <v>1836</v>
      </c>
      <c r="C914" s="57">
        <v>17750243080986</v>
      </c>
      <c r="D914" s="54" t="s">
        <v>288</v>
      </c>
      <c r="E914" s="54">
        <v>5</v>
      </c>
      <c r="F914" s="54">
        <v>7</v>
      </c>
      <c r="G914" s="54">
        <v>35</v>
      </c>
      <c r="H914" s="131" t="s">
        <v>1837</v>
      </c>
    </row>
    <row r="915" spans="1:8">
      <c r="A915" s="62">
        <v>8400425</v>
      </c>
      <c r="B915" s="55" t="s">
        <v>1838</v>
      </c>
      <c r="C915" s="58">
        <v>17750243080993</v>
      </c>
      <c r="D915" s="55" t="s">
        <v>288</v>
      </c>
      <c r="E915" s="55">
        <v>5</v>
      </c>
      <c r="F915" s="55">
        <v>7</v>
      </c>
      <c r="G915" s="55">
        <v>35</v>
      </c>
      <c r="H915" s="131" t="s">
        <v>1839</v>
      </c>
    </row>
    <row r="916" spans="1:8">
      <c r="A916" s="61">
        <v>8400426</v>
      </c>
      <c r="B916" s="54" t="s">
        <v>1840</v>
      </c>
      <c r="C916" s="57">
        <v>17750243081006</v>
      </c>
      <c r="D916" s="54" t="s">
        <v>288</v>
      </c>
      <c r="E916" s="54">
        <v>5</v>
      </c>
      <c r="F916" s="54">
        <v>10</v>
      </c>
      <c r="G916" s="54">
        <v>50</v>
      </c>
      <c r="H916" s="131" t="s">
        <v>1841</v>
      </c>
    </row>
    <row r="917" spans="1:8">
      <c r="A917" s="62">
        <v>8400427</v>
      </c>
      <c r="B917" s="55" t="s">
        <v>1842</v>
      </c>
      <c r="C917" s="58">
        <v>17750243081013</v>
      </c>
      <c r="D917" s="55" t="s">
        <v>288</v>
      </c>
      <c r="E917" s="55">
        <v>5</v>
      </c>
      <c r="F917" s="55">
        <v>10</v>
      </c>
      <c r="G917" s="55">
        <v>50</v>
      </c>
      <c r="H917" s="131" t="s">
        <v>1843</v>
      </c>
    </row>
    <row r="918" spans="1:8">
      <c r="A918" s="61">
        <v>8400428</v>
      </c>
      <c r="B918" s="54" t="s">
        <v>1844</v>
      </c>
      <c r="C918" s="57">
        <v>17750243081020</v>
      </c>
      <c r="D918" s="54" t="s">
        <v>288</v>
      </c>
      <c r="E918" s="54">
        <v>5</v>
      </c>
      <c r="F918" s="54">
        <v>10</v>
      </c>
      <c r="G918" s="54">
        <v>50</v>
      </c>
      <c r="H918" s="131" t="s">
        <v>1845</v>
      </c>
    </row>
    <row r="919" spans="1:8">
      <c r="A919" s="62">
        <v>8400430</v>
      </c>
      <c r="B919" s="55" t="s">
        <v>1846</v>
      </c>
      <c r="C919" s="58">
        <v>17750243081037</v>
      </c>
      <c r="D919" s="55" t="s">
        <v>288</v>
      </c>
      <c r="E919" s="55">
        <v>5</v>
      </c>
      <c r="F919" s="55">
        <v>10</v>
      </c>
      <c r="G919" s="55">
        <v>50</v>
      </c>
      <c r="H919" s="131" t="s">
        <v>1847</v>
      </c>
    </row>
    <row r="920" spans="1:8">
      <c r="A920" s="61">
        <v>8400433</v>
      </c>
      <c r="B920" s="54" t="s">
        <v>1848</v>
      </c>
      <c r="C920" s="57">
        <v>17750243055984</v>
      </c>
      <c r="D920" s="54" t="s">
        <v>288</v>
      </c>
      <c r="E920" s="54">
        <v>5</v>
      </c>
      <c r="F920" s="54">
        <v>9</v>
      </c>
      <c r="G920" s="54">
        <v>45</v>
      </c>
      <c r="H920" s="131" t="s">
        <v>1849</v>
      </c>
    </row>
    <row r="921" spans="1:8">
      <c r="A921" s="62">
        <v>8400434</v>
      </c>
      <c r="B921" s="55" t="s">
        <v>1850</v>
      </c>
      <c r="C921" s="58">
        <v>17750243055991</v>
      </c>
      <c r="D921" s="55" t="s">
        <v>288</v>
      </c>
      <c r="E921" s="55">
        <v>5</v>
      </c>
      <c r="F921" s="55">
        <v>8</v>
      </c>
      <c r="G921" s="55">
        <v>40</v>
      </c>
      <c r="H921" s="131" t="s">
        <v>1851</v>
      </c>
    </row>
    <row r="922" spans="1:8">
      <c r="A922" s="61">
        <v>8400436</v>
      </c>
      <c r="B922" s="54" t="s">
        <v>1852</v>
      </c>
      <c r="C922" s="57">
        <v>17750243056011</v>
      </c>
      <c r="D922" s="54" t="s">
        <v>288</v>
      </c>
      <c r="E922" s="54">
        <v>5</v>
      </c>
      <c r="F922" s="54">
        <v>6</v>
      </c>
      <c r="G922" s="54">
        <v>30</v>
      </c>
      <c r="H922" s="131" t="s">
        <v>1853</v>
      </c>
    </row>
    <row r="923" spans="1:8">
      <c r="A923" s="62">
        <v>8400437</v>
      </c>
      <c r="B923" s="55" t="s">
        <v>1854</v>
      </c>
      <c r="C923" s="58">
        <v>17750243056028</v>
      </c>
      <c r="D923" s="55" t="s">
        <v>288</v>
      </c>
      <c r="E923" s="55">
        <v>5</v>
      </c>
      <c r="F923" s="55">
        <v>6</v>
      </c>
      <c r="G923" s="55">
        <v>30</v>
      </c>
      <c r="H923" s="131" t="s">
        <v>1855</v>
      </c>
    </row>
    <row r="924" spans="1:8">
      <c r="A924" s="61">
        <v>8400445</v>
      </c>
      <c r="B924" s="54" t="s">
        <v>1856</v>
      </c>
      <c r="C924" s="57">
        <v>17750243056127</v>
      </c>
      <c r="D924" s="54" t="s">
        <v>288</v>
      </c>
      <c r="E924" s="54">
        <v>5</v>
      </c>
      <c r="F924" s="54">
        <v>9</v>
      </c>
      <c r="G924" s="54">
        <v>45</v>
      </c>
      <c r="H924" s="131" t="s">
        <v>1857</v>
      </c>
    </row>
    <row r="925" spans="1:8">
      <c r="A925" s="62">
        <v>8400446</v>
      </c>
      <c r="B925" s="55" t="s">
        <v>1858</v>
      </c>
      <c r="C925" s="58">
        <v>17750243056134</v>
      </c>
      <c r="D925" s="55" t="s">
        <v>288</v>
      </c>
      <c r="E925" s="55">
        <v>5</v>
      </c>
      <c r="F925" s="55">
        <v>8</v>
      </c>
      <c r="G925" s="55">
        <v>40</v>
      </c>
      <c r="H925" s="131" t="s">
        <v>1859</v>
      </c>
    </row>
    <row r="926" spans="1:8">
      <c r="A926" s="61">
        <v>8400454</v>
      </c>
      <c r="B926" s="54" t="s">
        <v>1860</v>
      </c>
      <c r="C926" s="57">
        <v>17750243056899</v>
      </c>
      <c r="D926" s="54" t="s">
        <v>9</v>
      </c>
      <c r="E926" s="54">
        <v>11</v>
      </c>
      <c r="F926" s="54">
        <v>3</v>
      </c>
      <c r="G926" s="54">
        <v>33</v>
      </c>
      <c r="H926" s="131" t="s">
        <v>1861</v>
      </c>
    </row>
    <row r="927" spans="1:8">
      <c r="A927" s="62">
        <v>8400458</v>
      </c>
      <c r="B927" s="55" t="s">
        <v>1862</v>
      </c>
      <c r="C927" s="58">
        <v>17750243057681</v>
      </c>
      <c r="D927" s="55" t="s">
        <v>9</v>
      </c>
      <c r="E927" s="55">
        <v>11</v>
      </c>
      <c r="F927" s="55">
        <v>3</v>
      </c>
      <c r="G927" s="55">
        <v>33</v>
      </c>
      <c r="H927" s="131" t="s">
        <v>1863</v>
      </c>
    </row>
    <row r="928" spans="1:8">
      <c r="A928" s="61">
        <v>8400459</v>
      </c>
      <c r="B928" s="54" t="s">
        <v>1864</v>
      </c>
      <c r="C928" s="57">
        <v>17750243057698</v>
      </c>
      <c r="D928" s="54" t="s">
        <v>9</v>
      </c>
      <c r="E928" s="54">
        <v>11</v>
      </c>
      <c r="F928" s="54">
        <v>3</v>
      </c>
      <c r="G928" s="54">
        <v>33</v>
      </c>
      <c r="H928" s="131" t="s">
        <v>1865</v>
      </c>
    </row>
    <row r="929" spans="1:8">
      <c r="A929" s="62">
        <v>8400460</v>
      </c>
      <c r="B929" s="55" t="s">
        <v>1866</v>
      </c>
      <c r="C929" s="58">
        <v>17750243079522</v>
      </c>
      <c r="D929" s="55" t="s">
        <v>9</v>
      </c>
      <c r="E929" s="55">
        <v>11</v>
      </c>
      <c r="F929" s="55">
        <v>3</v>
      </c>
      <c r="G929" s="55">
        <v>33</v>
      </c>
      <c r="H929" s="131" t="s">
        <v>1867</v>
      </c>
    </row>
    <row r="930" spans="1:8">
      <c r="A930" s="61">
        <v>8400461</v>
      </c>
      <c r="B930" s="54" t="s">
        <v>1868</v>
      </c>
      <c r="C930" s="57">
        <v>17750243079539</v>
      </c>
      <c r="D930" s="54" t="s">
        <v>9</v>
      </c>
      <c r="E930" s="54">
        <v>12</v>
      </c>
      <c r="F930" s="54">
        <v>4</v>
      </c>
      <c r="G930" s="54">
        <v>48</v>
      </c>
      <c r="H930" s="131" t="s">
        <v>1869</v>
      </c>
    </row>
    <row r="931" spans="1:8">
      <c r="A931" s="62">
        <v>8400471</v>
      </c>
      <c r="B931" s="55" t="s">
        <v>1870</v>
      </c>
      <c r="C931" s="58">
        <v>17750243059630</v>
      </c>
      <c r="D931" s="55" t="s">
        <v>288</v>
      </c>
      <c r="E931" s="55">
        <v>5</v>
      </c>
      <c r="F931" s="55">
        <v>7</v>
      </c>
      <c r="G931" s="55">
        <v>35</v>
      </c>
      <c r="H931" s="131" t="s">
        <v>1871</v>
      </c>
    </row>
    <row r="932" spans="1:8">
      <c r="A932" s="61">
        <v>8400472</v>
      </c>
      <c r="B932" s="54" t="s">
        <v>1872</v>
      </c>
      <c r="C932" s="57">
        <v>27750243059644</v>
      </c>
      <c r="D932" s="54" t="s">
        <v>288</v>
      </c>
      <c r="E932" s="54">
        <v>5</v>
      </c>
      <c r="F932" s="54">
        <v>8</v>
      </c>
      <c r="G932" s="54">
        <v>40</v>
      </c>
      <c r="H932" s="131" t="s">
        <v>1873</v>
      </c>
    </row>
    <row r="933" spans="1:8">
      <c r="A933" s="62">
        <v>8400473</v>
      </c>
      <c r="B933" s="55" t="s">
        <v>1874</v>
      </c>
      <c r="C933" s="58">
        <v>27750243059651</v>
      </c>
      <c r="D933" s="55" t="s">
        <v>288</v>
      </c>
      <c r="E933" s="55">
        <v>5</v>
      </c>
      <c r="F933" s="55">
        <v>8</v>
      </c>
      <c r="G933" s="55">
        <v>40</v>
      </c>
      <c r="H933" s="131" t="s">
        <v>1875</v>
      </c>
    </row>
    <row r="934" spans="1:8">
      <c r="A934" s="61">
        <v>8400474</v>
      </c>
      <c r="B934" s="54" t="s">
        <v>1876</v>
      </c>
      <c r="C934" s="57">
        <v>17750243059661</v>
      </c>
      <c r="D934" s="54" t="s">
        <v>288</v>
      </c>
      <c r="E934" s="54">
        <v>5</v>
      </c>
      <c r="F934" s="54">
        <v>7</v>
      </c>
      <c r="G934" s="54">
        <v>35</v>
      </c>
      <c r="H934" s="131" t="s">
        <v>1877</v>
      </c>
    </row>
    <row r="935" spans="1:8">
      <c r="A935" s="62">
        <v>8400485</v>
      </c>
      <c r="B935" s="55" t="s">
        <v>1878</v>
      </c>
      <c r="C935" s="58">
        <v>17750243060131</v>
      </c>
      <c r="D935" s="55" t="s">
        <v>288</v>
      </c>
      <c r="E935" s="55">
        <v>5</v>
      </c>
      <c r="F935" s="55">
        <v>7</v>
      </c>
      <c r="G935" s="55">
        <v>35</v>
      </c>
      <c r="H935" s="131" t="s">
        <v>1879</v>
      </c>
    </row>
    <row r="936" spans="1:8">
      <c r="A936" s="61">
        <v>8400486</v>
      </c>
      <c r="B936" s="54" t="s">
        <v>1880</v>
      </c>
      <c r="C936" s="57">
        <v>17750243060148</v>
      </c>
      <c r="D936" s="54" t="s">
        <v>288</v>
      </c>
      <c r="E936" s="54">
        <v>5</v>
      </c>
      <c r="F936" s="54">
        <v>7</v>
      </c>
      <c r="G936" s="54">
        <v>35</v>
      </c>
      <c r="H936" s="131" t="s">
        <v>1881</v>
      </c>
    </row>
    <row r="937" spans="1:8">
      <c r="A937" s="62">
        <v>8400489</v>
      </c>
      <c r="B937" s="55" t="s">
        <v>1882</v>
      </c>
      <c r="C937" s="58">
        <v>17750243060438</v>
      </c>
      <c r="D937" s="55" t="s">
        <v>9</v>
      </c>
      <c r="E937" s="55">
        <v>12</v>
      </c>
      <c r="F937" s="55">
        <v>4</v>
      </c>
      <c r="G937" s="55">
        <v>48</v>
      </c>
      <c r="H937" s="131" t="s">
        <v>1883</v>
      </c>
    </row>
    <row r="938" spans="1:8">
      <c r="A938" s="61">
        <v>8400490</v>
      </c>
      <c r="B938" s="54" t="s">
        <v>1884</v>
      </c>
      <c r="C938" s="57">
        <v>17750243060445</v>
      </c>
      <c r="D938" s="54" t="s">
        <v>9</v>
      </c>
      <c r="E938" s="54">
        <v>10</v>
      </c>
      <c r="F938" s="54">
        <v>3</v>
      </c>
      <c r="G938" s="54">
        <v>30</v>
      </c>
      <c r="H938" s="131" t="s">
        <v>1885</v>
      </c>
    </row>
    <row r="939" spans="1:8">
      <c r="A939" s="62">
        <v>8400491</v>
      </c>
      <c r="B939" s="55" t="s">
        <v>1886</v>
      </c>
      <c r="C939" s="58">
        <v>17750243060452</v>
      </c>
      <c r="D939" s="55" t="s">
        <v>9</v>
      </c>
      <c r="E939" s="55">
        <v>12</v>
      </c>
      <c r="F939" s="55">
        <v>4</v>
      </c>
      <c r="G939" s="55">
        <v>48</v>
      </c>
      <c r="H939" s="131" t="s">
        <v>1887</v>
      </c>
    </row>
    <row r="940" spans="1:8">
      <c r="A940" s="61">
        <v>8400492</v>
      </c>
      <c r="B940" s="54" t="s">
        <v>1888</v>
      </c>
      <c r="C940" s="57">
        <v>17750243060988</v>
      </c>
      <c r="D940" s="54" t="s">
        <v>288</v>
      </c>
      <c r="E940" s="54">
        <v>5</v>
      </c>
      <c r="F940" s="54">
        <v>10</v>
      </c>
      <c r="G940" s="54">
        <v>50</v>
      </c>
      <c r="H940" s="131" t="s">
        <v>1889</v>
      </c>
    </row>
    <row r="941" spans="1:8">
      <c r="A941" s="62">
        <v>8400493</v>
      </c>
      <c r="B941" s="55" t="s">
        <v>1890</v>
      </c>
      <c r="C941" s="58">
        <v>17750243060995</v>
      </c>
      <c r="D941" s="55" t="s">
        <v>288</v>
      </c>
      <c r="E941" s="55">
        <v>5</v>
      </c>
      <c r="F941" s="55">
        <v>8</v>
      </c>
      <c r="G941" s="55">
        <v>40</v>
      </c>
      <c r="H941" s="131" t="s">
        <v>1891</v>
      </c>
    </row>
    <row r="942" spans="1:8">
      <c r="A942" s="61">
        <v>8400494</v>
      </c>
      <c r="B942" s="54" t="s">
        <v>1892</v>
      </c>
      <c r="C942" s="57">
        <v>17750243061008</v>
      </c>
      <c r="D942" s="54" t="s">
        <v>288</v>
      </c>
      <c r="E942" s="54">
        <v>5</v>
      </c>
      <c r="F942" s="54">
        <v>10</v>
      </c>
      <c r="G942" s="54">
        <v>50</v>
      </c>
      <c r="H942" s="131" t="s">
        <v>1893</v>
      </c>
    </row>
    <row r="943" spans="1:8">
      <c r="A943" s="62">
        <v>8400495</v>
      </c>
      <c r="B943" s="55" t="s">
        <v>1894</v>
      </c>
      <c r="C943" s="58">
        <v>17750243061015</v>
      </c>
      <c r="D943" s="55" t="s">
        <v>288</v>
      </c>
      <c r="E943" s="55">
        <v>5</v>
      </c>
      <c r="F943" s="55">
        <v>8</v>
      </c>
      <c r="G943" s="55">
        <v>40</v>
      </c>
      <c r="H943" s="133" t="s">
        <v>1895</v>
      </c>
    </row>
    <row r="944" spans="1:8">
      <c r="A944" s="61">
        <v>8400496</v>
      </c>
      <c r="B944" s="54" t="s">
        <v>1896</v>
      </c>
      <c r="C944" s="57">
        <v>17750243062029</v>
      </c>
      <c r="D944" s="54" t="s">
        <v>288</v>
      </c>
      <c r="E944" s="54">
        <v>5</v>
      </c>
      <c r="F944" s="54">
        <v>10</v>
      </c>
      <c r="G944" s="54">
        <v>50</v>
      </c>
      <c r="H944" s="131" t="s">
        <v>1897</v>
      </c>
    </row>
    <row r="945" spans="1:8">
      <c r="A945" s="62">
        <v>8400501</v>
      </c>
      <c r="B945" s="55" t="s">
        <v>1898</v>
      </c>
      <c r="C945" s="58">
        <v>17750243062371</v>
      </c>
      <c r="D945" s="55" t="s">
        <v>288</v>
      </c>
      <c r="E945" s="55">
        <v>5</v>
      </c>
      <c r="F945" s="55">
        <v>10</v>
      </c>
      <c r="G945" s="55">
        <v>50</v>
      </c>
      <c r="H945" s="131" t="s">
        <v>1899</v>
      </c>
    </row>
    <row r="946" spans="1:8">
      <c r="A946" s="61">
        <v>8400514</v>
      </c>
      <c r="B946" s="54" t="s">
        <v>1900</v>
      </c>
      <c r="C946" s="57">
        <v>17750243063675</v>
      </c>
      <c r="D946" s="54" t="s">
        <v>288</v>
      </c>
      <c r="E946" s="54">
        <v>5</v>
      </c>
      <c r="F946" s="54">
        <v>10</v>
      </c>
      <c r="G946" s="54">
        <v>50</v>
      </c>
      <c r="H946" s="131" t="s">
        <v>1901</v>
      </c>
    </row>
    <row r="947" spans="1:8">
      <c r="A947" s="62">
        <v>8400515</v>
      </c>
      <c r="B947" s="55" t="s">
        <v>1902</v>
      </c>
      <c r="C947" s="58">
        <v>17750243063682</v>
      </c>
      <c r="D947" s="55" t="s">
        <v>288</v>
      </c>
      <c r="E947" s="55">
        <v>5</v>
      </c>
      <c r="F947" s="55">
        <v>10</v>
      </c>
      <c r="G947" s="55">
        <v>50</v>
      </c>
      <c r="H947" s="131" t="s">
        <v>1903</v>
      </c>
    </row>
    <row r="948" spans="1:8">
      <c r="A948" s="61">
        <v>8400516</v>
      </c>
      <c r="B948" s="54" t="s">
        <v>1904</v>
      </c>
      <c r="C948" s="57">
        <v>17750243063699</v>
      </c>
      <c r="D948" s="54" t="s">
        <v>288</v>
      </c>
      <c r="E948" s="54">
        <v>5</v>
      </c>
      <c r="F948" s="54">
        <v>7</v>
      </c>
      <c r="G948" s="54">
        <v>35</v>
      </c>
      <c r="H948" s="131" t="s">
        <v>1905</v>
      </c>
    </row>
    <row r="949" spans="1:8">
      <c r="A949" s="62">
        <v>8400517</v>
      </c>
      <c r="B949" s="55" t="s">
        <v>1906</v>
      </c>
      <c r="C949" s="58">
        <v>17750243063705</v>
      </c>
      <c r="D949" s="55" t="s">
        <v>288</v>
      </c>
      <c r="E949" s="55">
        <v>5</v>
      </c>
      <c r="F949" s="55">
        <v>7</v>
      </c>
      <c r="G949" s="55">
        <v>35</v>
      </c>
      <c r="H949" s="131" t="s">
        <v>1907</v>
      </c>
    </row>
    <row r="950" spans="1:8">
      <c r="A950" s="61">
        <v>8400535</v>
      </c>
      <c r="B950" s="54" t="s">
        <v>1908</v>
      </c>
      <c r="C950" s="57">
        <v>17750243067451</v>
      </c>
      <c r="D950" s="54" t="s">
        <v>288</v>
      </c>
      <c r="E950" s="54">
        <v>5</v>
      </c>
      <c r="F950" s="54">
        <v>9</v>
      </c>
      <c r="G950" s="54">
        <v>45</v>
      </c>
      <c r="H950" s="131" t="s">
        <v>1909</v>
      </c>
    </row>
    <row r="951" spans="1:8">
      <c r="A951" s="62">
        <v>8400536</v>
      </c>
      <c r="B951" s="55" t="s">
        <v>1910</v>
      </c>
      <c r="C951" s="58">
        <v>17750243067468</v>
      </c>
      <c r="D951" s="55" t="s">
        <v>288</v>
      </c>
      <c r="E951" s="55">
        <v>5</v>
      </c>
      <c r="F951" s="55">
        <v>9</v>
      </c>
      <c r="G951" s="55">
        <v>45</v>
      </c>
      <c r="H951" s="131" t="s">
        <v>1911</v>
      </c>
    </row>
    <row r="952" spans="1:8">
      <c r="A952" s="61">
        <v>8400537</v>
      </c>
      <c r="B952" s="54" t="s">
        <v>1912</v>
      </c>
      <c r="C952" s="57">
        <v>17750243067475</v>
      </c>
      <c r="D952" s="54" t="s">
        <v>288</v>
      </c>
      <c r="E952" s="54">
        <v>5</v>
      </c>
      <c r="F952" s="54">
        <v>7</v>
      </c>
      <c r="G952" s="54">
        <v>35</v>
      </c>
      <c r="H952" s="131" t="s">
        <v>1913</v>
      </c>
    </row>
    <row r="953" spans="1:8">
      <c r="A953" s="62">
        <v>8400538</v>
      </c>
      <c r="B953" s="55" t="s">
        <v>1914</v>
      </c>
      <c r="C953" s="58">
        <v>17750243067482</v>
      </c>
      <c r="D953" s="55" t="s">
        <v>288</v>
      </c>
      <c r="E953" s="55">
        <v>5</v>
      </c>
      <c r="F953" s="55">
        <v>6</v>
      </c>
      <c r="G953" s="55">
        <v>30</v>
      </c>
      <c r="H953" s="131" t="s">
        <v>1915</v>
      </c>
    </row>
    <row r="954" spans="1:8">
      <c r="A954" s="61">
        <v>8400546</v>
      </c>
      <c r="B954" s="54" t="s">
        <v>1916</v>
      </c>
      <c r="C954" s="57">
        <v>17750243067550</v>
      </c>
      <c r="D954" s="54" t="s">
        <v>288</v>
      </c>
      <c r="E954" s="54">
        <v>5</v>
      </c>
      <c r="F954" s="54">
        <v>6</v>
      </c>
      <c r="G954" s="54">
        <v>30</v>
      </c>
      <c r="H954" s="131" t="s">
        <v>1917</v>
      </c>
    </row>
    <row r="955" spans="1:8">
      <c r="A955" s="62">
        <v>8400547</v>
      </c>
      <c r="B955" s="55" t="s">
        <v>1918</v>
      </c>
      <c r="C955" s="58">
        <v>17750243067567</v>
      </c>
      <c r="D955" s="55" t="s">
        <v>288</v>
      </c>
      <c r="E955" s="55">
        <v>5</v>
      </c>
      <c r="F955" s="55">
        <v>9</v>
      </c>
      <c r="G955" s="55">
        <v>45</v>
      </c>
      <c r="H955" s="131" t="s">
        <v>1919</v>
      </c>
    </row>
    <row r="956" spans="1:8">
      <c r="A956" s="61">
        <v>8400548</v>
      </c>
      <c r="B956" s="54" t="s">
        <v>1920</v>
      </c>
      <c r="C956" s="57">
        <v>17750243067574</v>
      </c>
      <c r="D956" s="54" t="s">
        <v>288</v>
      </c>
      <c r="E956" s="54">
        <v>5</v>
      </c>
      <c r="F956" s="54">
        <v>9</v>
      </c>
      <c r="G956" s="54">
        <v>45</v>
      </c>
      <c r="H956" s="131" t="s">
        <v>1921</v>
      </c>
    </row>
    <row r="957" spans="1:8">
      <c r="A957" s="62">
        <v>8400549</v>
      </c>
      <c r="B957" s="55" t="s">
        <v>1922</v>
      </c>
      <c r="C957" s="58">
        <v>17750243067581</v>
      </c>
      <c r="D957" s="55" t="s">
        <v>288</v>
      </c>
      <c r="E957" s="55">
        <v>5</v>
      </c>
      <c r="F957" s="55">
        <v>9</v>
      </c>
      <c r="G957" s="55">
        <v>45</v>
      </c>
      <c r="H957" s="131" t="s">
        <v>1923</v>
      </c>
    </row>
    <row r="958" spans="1:8">
      <c r="A958" s="61">
        <v>8400550</v>
      </c>
      <c r="B958" s="54" t="s">
        <v>1924</v>
      </c>
      <c r="C958" s="57">
        <v>17750243067598</v>
      </c>
      <c r="D958" s="54" t="s">
        <v>288</v>
      </c>
      <c r="E958" s="54">
        <v>5</v>
      </c>
      <c r="F958" s="54">
        <v>9</v>
      </c>
      <c r="G958" s="54">
        <v>45</v>
      </c>
      <c r="H958" s="131" t="s">
        <v>1925</v>
      </c>
    </row>
    <row r="959" spans="1:8">
      <c r="A959" s="62">
        <v>8400552</v>
      </c>
      <c r="B959" s="55" t="s">
        <v>1926</v>
      </c>
      <c r="C959" s="58">
        <v>17750243067604</v>
      </c>
      <c r="D959" s="55" t="s">
        <v>288</v>
      </c>
      <c r="E959" s="55">
        <v>5</v>
      </c>
      <c r="F959" s="55">
        <v>10</v>
      </c>
      <c r="G959" s="55">
        <v>50</v>
      </c>
      <c r="H959" s="131" t="s">
        <v>1927</v>
      </c>
    </row>
    <row r="960" spans="1:8">
      <c r="A960" s="61">
        <v>8400553</v>
      </c>
      <c r="B960" s="54" t="s">
        <v>1928</v>
      </c>
      <c r="C960" s="57">
        <v>17750243067611</v>
      </c>
      <c r="D960" s="54" t="s">
        <v>288</v>
      </c>
      <c r="E960" s="54">
        <v>5</v>
      </c>
      <c r="F960" s="54">
        <v>6</v>
      </c>
      <c r="G960" s="54">
        <v>30</v>
      </c>
      <c r="H960" s="131" t="s">
        <v>1929</v>
      </c>
    </row>
    <row r="961" spans="1:8">
      <c r="A961" s="62">
        <v>8400554</v>
      </c>
      <c r="B961" s="55" t="s">
        <v>1930</v>
      </c>
      <c r="C961" s="58">
        <v>17750243067628</v>
      </c>
      <c r="D961" s="55" t="s">
        <v>288</v>
      </c>
      <c r="E961" s="55">
        <v>5</v>
      </c>
      <c r="F961" s="55">
        <v>9</v>
      </c>
      <c r="G961" s="55">
        <v>45</v>
      </c>
      <c r="H961" s="133" t="s">
        <v>1931</v>
      </c>
    </row>
    <row r="962" spans="1:8">
      <c r="A962" s="61">
        <v>8400555</v>
      </c>
      <c r="B962" s="54" t="s">
        <v>1932</v>
      </c>
      <c r="C962" s="57">
        <v>17750243067635</v>
      </c>
      <c r="D962" s="54" t="s">
        <v>288</v>
      </c>
      <c r="E962" s="54">
        <v>5</v>
      </c>
      <c r="F962" s="54">
        <v>9</v>
      </c>
      <c r="G962" s="54">
        <v>45</v>
      </c>
      <c r="H962" s="131" t="s">
        <v>1933</v>
      </c>
    </row>
    <row r="963" spans="1:8">
      <c r="A963" s="62">
        <v>8400556</v>
      </c>
      <c r="B963" s="55" t="s">
        <v>1934</v>
      </c>
      <c r="C963" s="58">
        <v>17750243067642</v>
      </c>
      <c r="D963" s="55" t="s">
        <v>288</v>
      </c>
      <c r="E963" s="55">
        <v>5</v>
      </c>
      <c r="F963" s="55">
        <v>7</v>
      </c>
      <c r="G963" s="55">
        <v>35</v>
      </c>
      <c r="H963" s="131" t="s">
        <v>1935</v>
      </c>
    </row>
    <row r="964" spans="1:8">
      <c r="A964" s="61">
        <v>8400557</v>
      </c>
      <c r="B964" s="54" t="s">
        <v>1936</v>
      </c>
      <c r="C964" s="57">
        <v>17750243067659</v>
      </c>
      <c r="D964" s="54" t="s">
        <v>288</v>
      </c>
      <c r="E964" s="54">
        <v>5</v>
      </c>
      <c r="F964" s="54">
        <v>9</v>
      </c>
      <c r="G964" s="54">
        <v>45</v>
      </c>
      <c r="H964" s="131" t="s">
        <v>1937</v>
      </c>
    </row>
    <row r="965" spans="1:8">
      <c r="A965" s="62">
        <v>8400558</v>
      </c>
      <c r="B965" s="55" t="s">
        <v>1938</v>
      </c>
      <c r="C965" s="58">
        <v>17750243067666</v>
      </c>
      <c r="D965" s="55" t="s">
        <v>288</v>
      </c>
      <c r="E965" s="55">
        <v>5</v>
      </c>
      <c r="F965" s="55">
        <v>9</v>
      </c>
      <c r="G965" s="55">
        <v>45</v>
      </c>
      <c r="H965" s="131" t="s">
        <v>1939</v>
      </c>
    </row>
    <row r="966" spans="1:8">
      <c r="A966" s="61">
        <v>8400559</v>
      </c>
      <c r="B966" s="54" t="s">
        <v>1940</v>
      </c>
      <c r="C966" s="57">
        <v>17750243067673</v>
      </c>
      <c r="D966" s="54" t="s">
        <v>288</v>
      </c>
      <c r="E966" s="54">
        <v>5</v>
      </c>
      <c r="F966" s="54">
        <v>7</v>
      </c>
      <c r="G966" s="54">
        <v>35</v>
      </c>
      <c r="H966" s="131" t="s">
        <v>1941</v>
      </c>
    </row>
    <row r="967" spans="1:8">
      <c r="A967" s="62">
        <v>8400560</v>
      </c>
      <c r="B967" s="55" t="s">
        <v>1942</v>
      </c>
      <c r="C967" s="58">
        <v>17750243067680</v>
      </c>
      <c r="D967" s="55" t="s">
        <v>288</v>
      </c>
      <c r="E967" s="55">
        <v>5</v>
      </c>
      <c r="F967" s="55">
        <v>6</v>
      </c>
      <c r="G967" s="55">
        <v>30</v>
      </c>
      <c r="H967" s="131" t="s">
        <v>1943</v>
      </c>
    </row>
    <row r="968" spans="1:8">
      <c r="A968" s="61">
        <v>8400561</v>
      </c>
      <c r="B968" s="54" t="s">
        <v>1944</v>
      </c>
      <c r="C968" s="57">
        <v>17750243068427</v>
      </c>
      <c r="D968" s="54" t="s">
        <v>288</v>
      </c>
      <c r="E968" s="54">
        <v>5</v>
      </c>
      <c r="F968" s="54">
        <v>10</v>
      </c>
      <c r="G968" s="54">
        <v>50</v>
      </c>
      <c r="H968" s="131" t="s">
        <v>1945</v>
      </c>
    </row>
    <row r="969" spans="1:8">
      <c r="A969" s="62">
        <v>8400562</v>
      </c>
      <c r="B969" s="55" t="s">
        <v>1946</v>
      </c>
      <c r="C969" s="58">
        <v>17750243068434</v>
      </c>
      <c r="D969" s="55" t="s">
        <v>288</v>
      </c>
      <c r="E969" s="55">
        <v>5</v>
      </c>
      <c r="F969" s="55">
        <v>10</v>
      </c>
      <c r="G969" s="55">
        <v>50</v>
      </c>
      <c r="H969" s="131" t="s">
        <v>1947</v>
      </c>
    </row>
    <row r="970" spans="1:8">
      <c r="A970" s="61">
        <v>8400563</v>
      </c>
      <c r="B970" s="54" t="s">
        <v>1948</v>
      </c>
      <c r="C970" s="57">
        <v>17750243068441</v>
      </c>
      <c r="D970" s="54" t="s">
        <v>288</v>
      </c>
      <c r="E970" s="54">
        <v>5</v>
      </c>
      <c r="F970" s="54">
        <v>9</v>
      </c>
      <c r="G970" s="54">
        <v>45</v>
      </c>
      <c r="H970" s="131" t="s">
        <v>1949</v>
      </c>
    </row>
    <row r="971" spans="1:8">
      <c r="A971" s="62">
        <v>8400564</v>
      </c>
      <c r="B971" s="55" t="s">
        <v>1950</v>
      </c>
      <c r="C971" s="58">
        <v>17750243068458</v>
      </c>
      <c r="D971" s="55" t="s">
        <v>288</v>
      </c>
      <c r="E971" s="55">
        <v>5</v>
      </c>
      <c r="F971" s="55">
        <v>9</v>
      </c>
      <c r="G971" s="55">
        <v>45</v>
      </c>
      <c r="H971" s="131" t="s">
        <v>1951</v>
      </c>
    </row>
    <row r="972" spans="1:8">
      <c r="A972" s="61">
        <v>8400565</v>
      </c>
      <c r="B972" s="54" t="s">
        <v>1952</v>
      </c>
      <c r="C972" s="57">
        <v>17750243068465</v>
      </c>
      <c r="D972" s="54" t="s">
        <v>288</v>
      </c>
      <c r="E972" s="54">
        <v>5</v>
      </c>
      <c r="F972" s="54">
        <v>9</v>
      </c>
      <c r="G972" s="54">
        <v>45</v>
      </c>
      <c r="H972" s="131" t="s">
        <v>1953</v>
      </c>
    </row>
    <row r="973" spans="1:8">
      <c r="A973" s="62">
        <v>8400566</v>
      </c>
      <c r="B973" s="55" t="s">
        <v>1954</v>
      </c>
      <c r="C973" s="58">
        <v>17750243068472</v>
      </c>
      <c r="D973" s="55" t="s">
        <v>288</v>
      </c>
      <c r="E973" s="55">
        <v>5</v>
      </c>
      <c r="F973" s="55">
        <v>7</v>
      </c>
      <c r="G973" s="55">
        <v>35</v>
      </c>
      <c r="H973" s="131" t="s">
        <v>1955</v>
      </c>
    </row>
    <row r="974" spans="1:8">
      <c r="A974" s="61">
        <v>8400567</v>
      </c>
      <c r="B974" s="54" t="s">
        <v>1956</v>
      </c>
      <c r="C974" s="57">
        <v>17750243068489</v>
      </c>
      <c r="D974" s="54" t="s">
        <v>288</v>
      </c>
      <c r="E974" s="54">
        <v>5</v>
      </c>
      <c r="F974" s="54">
        <v>7</v>
      </c>
      <c r="G974" s="54">
        <v>35</v>
      </c>
      <c r="H974" s="131" t="s">
        <v>1957</v>
      </c>
    </row>
    <row r="975" spans="1:8">
      <c r="A975" s="62">
        <v>8400568</v>
      </c>
      <c r="B975" s="55" t="s">
        <v>1958</v>
      </c>
      <c r="C975" s="58">
        <v>17750243068496</v>
      </c>
      <c r="D975" s="55" t="s">
        <v>288</v>
      </c>
      <c r="E975" s="55">
        <v>5</v>
      </c>
      <c r="F975" s="55">
        <v>7</v>
      </c>
      <c r="G975" s="55">
        <v>35</v>
      </c>
      <c r="H975" s="131" t="s">
        <v>1959</v>
      </c>
    </row>
    <row r="976" spans="1:8">
      <c r="A976" s="61">
        <v>8400570</v>
      </c>
      <c r="B976" s="54" t="s">
        <v>1960</v>
      </c>
      <c r="C976" s="57">
        <v>17750243068519</v>
      </c>
      <c r="D976" s="54" t="s">
        <v>288</v>
      </c>
      <c r="E976" s="54">
        <v>5</v>
      </c>
      <c r="F976" s="54">
        <v>6</v>
      </c>
      <c r="G976" s="54">
        <v>30</v>
      </c>
      <c r="H976" s="131" t="s">
        <v>1961</v>
      </c>
    </row>
    <row r="977" spans="1:8">
      <c r="A977" s="62">
        <v>8400571</v>
      </c>
      <c r="B977" s="55" t="s">
        <v>1962</v>
      </c>
      <c r="C977" s="58">
        <v>17750243068526</v>
      </c>
      <c r="D977" s="55" t="s">
        <v>288</v>
      </c>
      <c r="E977" s="55">
        <v>5</v>
      </c>
      <c r="F977" s="55">
        <v>6</v>
      </c>
      <c r="G977" s="55">
        <v>30</v>
      </c>
      <c r="H977" s="131" t="s">
        <v>1963</v>
      </c>
    </row>
    <row r="978" spans="1:8">
      <c r="A978" s="61">
        <v>8400572</v>
      </c>
      <c r="B978" s="54" t="s">
        <v>1964</v>
      </c>
      <c r="C978" s="57">
        <v>17750243068984</v>
      </c>
      <c r="D978" s="54" t="s">
        <v>288</v>
      </c>
      <c r="E978" s="54">
        <v>5</v>
      </c>
      <c r="F978" s="54">
        <v>7</v>
      </c>
      <c r="G978" s="54">
        <v>35</v>
      </c>
      <c r="H978" s="131" t="s">
        <v>1965</v>
      </c>
    </row>
    <row r="979" spans="1:8">
      <c r="A979" s="62">
        <v>8400576</v>
      </c>
      <c r="B979" s="55" t="s">
        <v>1966</v>
      </c>
      <c r="C979" s="58">
        <v>17750243069028</v>
      </c>
      <c r="D979" s="55" t="s">
        <v>288</v>
      </c>
      <c r="E979" s="55">
        <v>5</v>
      </c>
      <c r="F979" s="55">
        <v>9</v>
      </c>
      <c r="G979" s="55">
        <v>45</v>
      </c>
      <c r="H979" s="131" t="s">
        <v>1967</v>
      </c>
    </row>
    <row r="980" spans="1:8">
      <c r="A980" s="61">
        <v>8400577</v>
      </c>
      <c r="B980" s="54" t="s">
        <v>1968</v>
      </c>
      <c r="C980" s="57">
        <v>17750243069035</v>
      </c>
      <c r="D980" s="54" t="s">
        <v>288</v>
      </c>
      <c r="E980" s="54">
        <v>5</v>
      </c>
      <c r="F980" s="54">
        <v>9</v>
      </c>
      <c r="G980" s="54">
        <v>45</v>
      </c>
      <c r="H980" s="131" t="s">
        <v>1969</v>
      </c>
    </row>
    <row r="981" spans="1:8">
      <c r="A981" s="62">
        <v>8400579</v>
      </c>
      <c r="B981" s="55" t="s">
        <v>1970</v>
      </c>
      <c r="C981" s="58">
        <v>17750243069936</v>
      </c>
      <c r="D981" s="55" t="s">
        <v>288</v>
      </c>
      <c r="E981" s="55">
        <v>5</v>
      </c>
      <c r="F981" s="55">
        <v>9</v>
      </c>
      <c r="G981" s="55">
        <v>45</v>
      </c>
      <c r="H981" s="131" t="s">
        <v>1971</v>
      </c>
    </row>
    <row r="982" spans="1:8">
      <c r="A982" s="61">
        <v>8400580</v>
      </c>
      <c r="B982" s="54" t="s">
        <v>1972</v>
      </c>
      <c r="C982" s="57">
        <v>17750243069943</v>
      </c>
      <c r="D982" s="54" t="s">
        <v>288</v>
      </c>
      <c r="E982" s="54">
        <v>5</v>
      </c>
      <c r="F982" s="54">
        <v>9</v>
      </c>
      <c r="G982" s="54">
        <v>45</v>
      </c>
      <c r="H982" s="131" t="s">
        <v>1973</v>
      </c>
    </row>
    <row r="983" spans="1:8">
      <c r="A983" s="62">
        <v>8400581</v>
      </c>
      <c r="B983" s="55" t="s">
        <v>1974</v>
      </c>
      <c r="C983" s="58">
        <v>17750243069950</v>
      </c>
      <c r="D983" s="55" t="s">
        <v>288</v>
      </c>
      <c r="E983" s="55">
        <v>5</v>
      </c>
      <c r="F983" s="55">
        <v>7</v>
      </c>
      <c r="G983" s="55">
        <v>35</v>
      </c>
      <c r="H983" s="131" t="s">
        <v>1975</v>
      </c>
    </row>
    <row r="984" spans="1:8">
      <c r="A984" s="61">
        <v>8400584</v>
      </c>
      <c r="B984" s="54" t="s">
        <v>1976</v>
      </c>
      <c r="C984" s="57">
        <v>17750243072004</v>
      </c>
      <c r="D984" s="54" t="s">
        <v>288</v>
      </c>
      <c r="E984" s="54">
        <v>5</v>
      </c>
      <c r="F984" s="54">
        <v>8</v>
      </c>
      <c r="G984" s="54">
        <v>40</v>
      </c>
      <c r="H984" s="131" t="s">
        <v>1977</v>
      </c>
    </row>
    <row r="985" spans="1:8">
      <c r="A985" s="62">
        <v>8400587</v>
      </c>
      <c r="B985" s="55" t="s">
        <v>1978</v>
      </c>
      <c r="C985" s="58">
        <v>17750243072035</v>
      </c>
      <c r="D985" s="55" t="s">
        <v>288</v>
      </c>
      <c r="E985" s="55">
        <v>5</v>
      </c>
      <c r="F985" s="55">
        <v>10</v>
      </c>
      <c r="G985" s="55">
        <v>50</v>
      </c>
      <c r="H985" s="131" t="s">
        <v>1979</v>
      </c>
    </row>
    <row r="986" spans="1:8">
      <c r="A986" s="61">
        <v>8400592</v>
      </c>
      <c r="B986" s="54" t="s">
        <v>1980</v>
      </c>
      <c r="C986" s="57">
        <v>17750243076033</v>
      </c>
      <c r="D986" s="54" t="s">
        <v>288</v>
      </c>
      <c r="E986" s="54">
        <v>5</v>
      </c>
      <c r="F986" s="54">
        <v>10</v>
      </c>
      <c r="G986" s="54">
        <v>50</v>
      </c>
      <c r="H986" s="131" t="s">
        <v>1981</v>
      </c>
    </row>
    <row r="987" spans="1:8">
      <c r="A987" s="62">
        <v>8400600</v>
      </c>
      <c r="B987" s="55" t="s">
        <v>1982</v>
      </c>
      <c r="C987" s="58">
        <v>17750243075142</v>
      </c>
      <c r="D987" s="55" t="s">
        <v>288</v>
      </c>
      <c r="E987" s="55">
        <v>5</v>
      </c>
      <c r="F987" s="55">
        <v>8</v>
      </c>
      <c r="G987" s="55">
        <v>40</v>
      </c>
      <c r="H987" s="131" t="s">
        <v>1983</v>
      </c>
    </row>
    <row r="988" spans="1:8">
      <c r="A988" s="61">
        <v>8400601</v>
      </c>
      <c r="B988" s="54" t="s">
        <v>1984</v>
      </c>
      <c r="C988" s="57">
        <v>17750243075012</v>
      </c>
      <c r="D988" s="54" t="s">
        <v>288</v>
      </c>
      <c r="E988" s="54">
        <v>5</v>
      </c>
      <c r="F988" s="54">
        <v>7</v>
      </c>
      <c r="G988" s="54">
        <v>35</v>
      </c>
      <c r="H988" s="131" t="s">
        <v>1985</v>
      </c>
    </row>
    <row r="989" spans="1:8">
      <c r="A989" s="62">
        <v>8400602</v>
      </c>
      <c r="B989" s="55" t="s">
        <v>1986</v>
      </c>
      <c r="C989" s="58">
        <v>17750243075050</v>
      </c>
      <c r="D989" s="55" t="s">
        <v>288</v>
      </c>
      <c r="E989" s="55">
        <v>5</v>
      </c>
      <c r="F989" s="55">
        <v>7</v>
      </c>
      <c r="G989" s="55">
        <v>35</v>
      </c>
      <c r="H989" s="131" t="s">
        <v>1987</v>
      </c>
    </row>
    <row r="990" spans="1:8">
      <c r="A990" s="61">
        <v>8400603</v>
      </c>
      <c r="B990" s="54" t="s">
        <v>1988</v>
      </c>
      <c r="C990" s="57">
        <v>17750243075067</v>
      </c>
      <c r="D990" s="54" t="s">
        <v>288</v>
      </c>
      <c r="E990" s="54">
        <v>5</v>
      </c>
      <c r="F990" s="54">
        <v>7</v>
      </c>
      <c r="G990" s="54">
        <v>35</v>
      </c>
      <c r="H990" s="131" t="s">
        <v>1989</v>
      </c>
    </row>
    <row r="991" spans="1:8">
      <c r="A991" s="62">
        <v>8400607</v>
      </c>
      <c r="B991" s="55" t="s">
        <v>1990</v>
      </c>
      <c r="C991" s="58">
        <v>17750243076248</v>
      </c>
      <c r="D991" s="55" t="s">
        <v>288</v>
      </c>
      <c r="E991" s="55">
        <v>5</v>
      </c>
      <c r="F991" s="55">
        <v>10</v>
      </c>
      <c r="G991" s="55">
        <v>50</v>
      </c>
      <c r="H991" s="131" t="s">
        <v>1991</v>
      </c>
    </row>
    <row r="992" spans="1:8">
      <c r="A992" s="61">
        <v>8400608</v>
      </c>
      <c r="B992" s="54" t="s">
        <v>1992</v>
      </c>
      <c r="C992" s="57">
        <v>17750243076255</v>
      </c>
      <c r="D992" s="54" t="s">
        <v>288</v>
      </c>
      <c r="E992" s="54">
        <v>5</v>
      </c>
      <c r="F992" s="54">
        <v>9</v>
      </c>
      <c r="G992" s="54">
        <v>45</v>
      </c>
      <c r="H992" s="131" t="s">
        <v>1993</v>
      </c>
    </row>
    <row r="993" spans="1:8">
      <c r="A993" s="62">
        <v>8400609</v>
      </c>
      <c r="B993" s="55" t="s">
        <v>1994</v>
      </c>
      <c r="C993" s="58">
        <v>17750243076262</v>
      </c>
      <c r="D993" s="55" t="s">
        <v>288</v>
      </c>
      <c r="E993" s="55">
        <v>5</v>
      </c>
      <c r="F993" s="55">
        <v>7</v>
      </c>
      <c r="G993" s="55">
        <v>35</v>
      </c>
      <c r="H993" s="131" t="s">
        <v>1995</v>
      </c>
    </row>
    <row r="994" spans="1:8">
      <c r="A994" s="61">
        <v>8400610</v>
      </c>
      <c r="B994" s="54" t="s">
        <v>1996</v>
      </c>
      <c r="C994" s="57">
        <v>17750243076279</v>
      </c>
      <c r="D994" s="54" t="s">
        <v>288</v>
      </c>
      <c r="E994" s="54">
        <v>5</v>
      </c>
      <c r="F994" s="54">
        <v>6</v>
      </c>
      <c r="G994" s="54">
        <v>30</v>
      </c>
      <c r="H994" s="131" t="s">
        <v>1997</v>
      </c>
    </row>
    <row r="995" spans="1:8">
      <c r="A995" s="62">
        <v>8400616</v>
      </c>
      <c r="B995" s="55" t="s">
        <v>1998</v>
      </c>
      <c r="C995" s="58">
        <v>17750243075128</v>
      </c>
      <c r="D995" s="55" t="s">
        <v>288</v>
      </c>
      <c r="E995" s="55">
        <v>5</v>
      </c>
      <c r="F995" s="55">
        <v>8</v>
      </c>
      <c r="G995" s="55">
        <v>40</v>
      </c>
      <c r="H995" s="131" t="s">
        <v>1999</v>
      </c>
    </row>
    <row r="996" spans="1:8">
      <c r="A996" s="61">
        <v>8400621</v>
      </c>
      <c r="B996" s="54" t="s">
        <v>2000</v>
      </c>
      <c r="C996" s="57">
        <v>17750243075098</v>
      </c>
      <c r="D996" s="54" t="s">
        <v>288</v>
      </c>
      <c r="E996" s="54">
        <v>5</v>
      </c>
      <c r="F996" s="54">
        <v>8</v>
      </c>
      <c r="G996" s="54">
        <v>40</v>
      </c>
      <c r="H996" s="131" t="s">
        <v>2001</v>
      </c>
    </row>
    <row r="997" spans="1:8">
      <c r="A997" s="62">
        <v>8400622</v>
      </c>
      <c r="B997" s="55" t="s">
        <v>2002</v>
      </c>
      <c r="C997" s="58">
        <v>17750243075104</v>
      </c>
      <c r="D997" s="55" t="s">
        <v>288</v>
      </c>
      <c r="E997" s="55">
        <v>5</v>
      </c>
      <c r="F997" s="55">
        <v>8</v>
      </c>
      <c r="G997" s="55">
        <v>40</v>
      </c>
      <c r="H997" s="131" t="s">
        <v>2003</v>
      </c>
    </row>
    <row r="998" spans="1:8">
      <c r="A998" s="61">
        <v>8400623</v>
      </c>
      <c r="B998" s="54" t="s">
        <v>2004</v>
      </c>
      <c r="C998" s="57">
        <v>17750243075111</v>
      </c>
      <c r="D998" s="54" t="s">
        <v>288</v>
      </c>
      <c r="E998" s="54">
        <v>5</v>
      </c>
      <c r="F998" s="54">
        <v>8</v>
      </c>
      <c r="G998" s="54">
        <v>40</v>
      </c>
      <c r="H998" s="131" t="s">
        <v>2005</v>
      </c>
    </row>
    <row r="999" spans="1:8">
      <c r="A999" s="62">
        <v>8400624</v>
      </c>
      <c r="B999" s="55" t="s">
        <v>2006</v>
      </c>
      <c r="C999" s="58">
        <v>17750243075029</v>
      </c>
      <c r="D999" s="55" t="s">
        <v>288</v>
      </c>
      <c r="E999" s="55">
        <v>5</v>
      </c>
      <c r="F999" s="55">
        <v>7</v>
      </c>
      <c r="G999" s="55">
        <v>35</v>
      </c>
      <c r="H999" s="131" t="s">
        <v>2007</v>
      </c>
    </row>
    <row r="1000" spans="1:8">
      <c r="A1000" s="61">
        <v>8400626</v>
      </c>
      <c r="B1000" s="54" t="s">
        <v>2008</v>
      </c>
      <c r="C1000" s="57">
        <v>17750243075081</v>
      </c>
      <c r="D1000" s="54" t="s">
        <v>288</v>
      </c>
      <c r="E1000" s="54">
        <v>5</v>
      </c>
      <c r="F1000" s="54">
        <v>8</v>
      </c>
      <c r="G1000" s="54">
        <v>40</v>
      </c>
      <c r="H1000" s="131" t="s">
        <v>2009</v>
      </c>
    </row>
    <row r="1001" spans="1:8">
      <c r="A1001" s="62">
        <v>8400627</v>
      </c>
      <c r="B1001" s="55" t="s">
        <v>2010</v>
      </c>
      <c r="C1001" s="58">
        <v>17750243078884</v>
      </c>
      <c r="D1001" s="55" t="s">
        <v>288</v>
      </c>
      <c r="E1001" s="55">
        <v>5</v>
      </c>
      <c r="F1001" s="55">
        <v>10</v>
      </c>
      <c r="G1001" s="55">
        <v>50</v>
      </c>
      <c r="H1001" s="131" t="s">
        <v>2011</v>
      </c>
    </row>
    <row r="1002" spans="1:8">
      <c r="A1002" s="61">
        <v>8400628</v>
      </c>
      <c r="B1002" s="54" t="s">
        <v>2012</v>
      </c>
      <c r="C1002" s="57">
        <v>17750243079072</v>
      </c>
      <c r="D1002" s="54" t="s">
        <v>288</v>
      </c>
      <c r="E1002" s="54">
        <v>5</v>
      </c>
      <c r="F1002" s="54">
        <v>10</v>
      </c>
      <c r="G1002" s="54">
        <v>50</v>
      </c>
      <c r="H1002" s="131" t="s">
        <v>2013</v>
      </c>
    </row>
    <row r="1003" spans="1:8">
      <c r="A1003" s="62">
        <v>8400629</v>
      </c>
      <c r="B1003" s="55" t="s">
        <v>2014</v>
      </c>
      <c r="C1003" s="58">
        <v>17750243079065</v>
      </c>
      <c r="D1003" s="55" t="s">
        <v>288</v>
      </c>
      <c r="E1003" s="55">
        <v>5</v>
      </c>
      <c r="F1003" s="55">
        <v>9</v>
      </c>
      <c r="G1003" s="55">
        <v>45</v>
      </c>
      <c r="H1003" s="131" t="s">
        <v>2015</v>
      </c>
    </row>
    <row r="1004" spans="1:8">
      <c r="A1004" s="61">
        <v>8400630</v>
      </c>
      <c r="B1004" s="54" t="s">
        <v>2016</v>
      </c>
      <c r="C1004" s="57">
        <v>17750243079058</v>
      </c>
      <c r="D1004" s="54" t="s">
        <v>288</v>
      </c>
      <c r="E1004" s="54">
        <v>5</v>
      </c>
      <c r="F1004" s="54">
        <v>9</v>
      </c>
      <c r="G1004" s="54">
        <v>45</v>
      </c>
      <c r="H1004" s="131" t="s">
        <v>2017</v>
      </c>
    </row>
    <row r="1005" spans="1:8">
      <c r="A1005" s="62">
        <v>8400631</v>
      </c>
      <c r="B1005" s="55" t="s">
        <v>2018</v>
      </c>
      <c r="C1005" s="58">
        <v>17750243079041</v>
      </c>
      <c r="D1005" s="55" t="s">
        <v>288</v>
      </c>
      <c r="E1005" s="55">
        <v>5</v>
      </c>
      <c r="F1005" s="55">
        <v>10</v>
      </c>
      <c r="G1005" s="55">
        <v>50</v>
      </c>
      <c r="H1005" s="131" t="s">
        <v>2019</v>
      </c>
    </row>
    <row r="1006" spans="1:8">
      <c r="A1006" s="61">
        <v>8400632</v>
      </c>
      <c r="B1006" s="54" t="s">
        <v>2020</v>
      </c>
      <c r="C1006" s="57">
        <v>17750243079034</v>
      </c>
      <c r="D1006" s="54" t="s">
        <v>288</v>
      </c>
      <c r="E1006" s="54">
        <v>5</v>
      </c>
      <c r="F1006" s="54">
        <v>8</v>
      </c>
      <c r="G1006" s="54">
        <v>40</v>
      </c>
      <c r="H1006" s="131" t="s">
        <v>2021</v>
      </c>
    </row>
    <row r="1007" spans="1:8">
      <c r="A1007" s="62">
        <v>8400633</v>
      </c>
      <c r="B1007" s="55" t="s">
        <v>2022</v>
      </c>
      <c r="C1007" s="58">
        <v>17750243079027</v>
      </c>
      <c r="D1007" s="55" t="s">
        <v>288</v>
      </c>
      <c r="E1007" s="55">
        <v>5</v>
      </c>
      <c r="F1007" s="55">
        <v>7</v>
      </c>
      <c r="G1007" s="55">
        <v>35</v>
      </c>
      <c r="H1007" s="131" t="s">
        <v>2023</v>
      </c>
    </row>
    <row r="1008" spans="1:8">
      <c r="A1008" s="61">
        <v>8400634</v>
      </c>
      <c r="B1008" s="54" t="s">
        <v>2024</v>
      </c>
      <c r="C1008" s="57">
        <v>17750243079010</v>
      </c>
      <c r="D1008" s="54" t="s">
        <v>288</v>
      </c>
      <c r="E1008" s="54">
        <v>5</v>
      </c>
      <c r="F1008" s="54">
        <v>6</v>
      </c>
      <c r="G1008" s="54">
        <v>30</v>
      </c>
      <c r="H1008" s="131" t="s">
        <v>2025</v>
      </c>
    </row>
    <row r="1009" spans="1:8">
      <c r="A1009" s="62">
        <v>8400635</v>
      </c>
      <c r="B1009" s="55" t="s">
        <v>2026</v>
      </c>
      <c r="C1009" s="58">
        <v>17750243079003</v>
      </c>
      <c r="D1009" s="55" t="s">
        <v>288</v>
      </c>
      <c r="E1009" s="55">
        <v>5</v>
      </c>
      <c r="F1009" s="55">
        <v>7</v>
      </c>
      <c r="G1009" s="55">
        <v>35</v>
      </c>
      <c r="H1009" s="131" t="s">
        <v>2027</v>
      </c>
    </row>
    <row r="1010" spans="1:8">
      <c r="A1010" s="61">
        <v>8400636</v>
      </c>
      <c r="B1010" s="54" t="s">
        <v>2028</v>
      </c>
      <c r="C1010" s="57">
        <v>17750243078990</v>
      </c>
      <c r="D1010" s="54" t="s">
        <v>288</v>
      </c>
      <c r="E1010" s="54">
        <v>5</v>
      </c>
      <c r="F1010" s="54">
        <v>6</v>
      </c>
      <c r="G1010" s="54">
        <v>30</v>
      </c>
      <c r="H1010" s="131" t="s">
        <v>2029</v>
      </c>
    </row>
    <row r="1011" spans="1:8">
      <c r="A1011" s="62">
        <v>8400637</v>
      </c>
      <c r="B1011" s="55" t="s">
        <v>2030</v>
      </c>
      <c r="C1011" s="58">
        <v>7750243078986</v>
      </c>
      <c r="D1011" s="55" t="s">
        <v>100</v>
      </c>
      <c r="E1011" s="55">
        <v>7</v>
      </c>
      <c r="F1011" s="55">
        <v>8</v>
      </c>
      <c r="G1011" s="55">
        <v>56</v>
      </c>
      <c r="H1011" s="131" t="s">
        <v>2031</v>
      </c>
    </row>
    <row r="1012" spans="1:8">
      <c r="A1012" s="61">
        <v>8400638</v>
      </c>
      <c r="B1012" s="54" t="s">
        <v>2032</v>
      </c>
      <c r="C1012" s="57">
        <v>17750243079089</v>
      </c>
      <c r="D1012" s="54" t="s">
        <v>288</v>
      </c>
      <c r="E1012" s="54">
        <v>5</v>
      </c>
      <c r="F1012" s="54">
        <v>9</v>
      </c>
      <c r="G1012" s="54">
        <v>45</v>
      </c>
      <c r="H1012" s="131" t="s">
        <v>2033</v>
      </c>
    </row>
    <row r="1013" spans="1:8">
      <c r="A1013" s="62">
        <v>8400639</v>
      </c>
      <c r="B1013" s="55" t="s">
        <v>2034</v>
      </c>
      <c r="C1013" s="58">
        <v>17750243079096</v>
      </c>
      <c r="D1013" s="55" t="s">
        <v>288</v>
      </c>
      <c r="E1013" s="55">
        <v>5</v>
      </c>
      <c r="F1013" s="55">
        <v>9</v>
      </c>
      <c r="G1013" s="55">
        <v>45</v>
      </c>
      <c r="H1013" s="131" t="s">
        <v>2035</v>
      </c>
    </row>
    <row r="1014" spans="1:8">
      <c r="A1014" s="61">
        <v>8400640</v>
      </c>
      <c r="B1014" s="54" t="s">
        <v>2036</v>
      </c>
      <c r="C1014" s="57">
        <v>17750243079102</v>
      </c>
      <c r="D1014" s="54" t="s">
        <v>288</v>
      </c>
      <c r="E1014" s="54">
        <v>5</v>
      </c>
      <c r="F1014" s="54">
        <v>9</v>
      </c>
      <c r="G1014" s="54">
        <v>45</v>
      </c>
      <c r="H1014" s="131" t="s">
        <v>2037</v>
      </c>
    </row>
    <row r="1015" spans="1:8">
      <c r="A1015" s="62">
        <v>8400641</v>
      </c>
      <c r="B1015" s="55" t="s">
        <v>2038</v>
      </c>
      <c r="C1015" s="58">
        <v>17750243079119</v>
      </c>
      <c r="D1015" s="55" t="s">
        <v>288</v>
      </c>
      <c r="E1015" s="55">
        <v>5</v>
      </c>
      <c r="F1015" s="55">
        <v>9</v>
      </c>
      <c r="G1015" s="55">
        <v>45</v>
      </c>
      <c r="H1015" s="131" t="s">
        <v>2039</v>
      </c>
    </row>
    <row r="1016" spans="1:8">
      <c r="A1016" s="61">
        <v>8400642</v>
      </c>
      <c r="B1016" s="54" t="s">
        <v>2040</v>
      </c>
      <c r="C1016" s="57">
        <v>17750243078976</v>
      </c>
      <c r="D1016" s="54" t="s">
        <v>288</v>
      </c>
      <c r="E1016" s="54">
        <v>5</v>
      </c>
      <c r="F1016" s="54">
        <v>5</v>
      </c>
      <c r="G1016" s="54">
        <v>25</v>
      </c>
      <c r="H1016" s="131" t="s">
        <v>2041</v>
      </c>
    </row>
    <row r="1017" spans="1:8">
      <c r="A1017" s="62">
        <v>8400643</v>
      </c>
      <c r="B1017" s="55" t="s">
        <v>2042</v>
      </c>
      <c r="C1017" s="58">
        <v>17750243078952</v>
      </c>
      <c r="D1017" s="55" t="s">
        <v>288</v>
      </c>
      <c r="E1017" s="55">
        <v>5</v>
      </c>
      <c r="F1017" s="55">
        <v>7</v>
      </c>
      <c r="G1017" s="55">
        <v>35</v>
      </c>
      <c r="H1017" s="131" t="s">
        <v>2043</v>
      </c>
    </row>
    <row r="1018" spans="1:8">
      <c r="A1018" s="61">
        <v>8400644</v>
      </c>
      <c r="B1018" s="54" t="s">
        <v>2044</v>
      </c>
      <c r="C1018" s="57">
        <v>17750243078969</v>
      </c>
      <c r="D1018" s="54" t="s">
        <v>288</v>
      </c>
      <c r="E1018" s="54">
        <v>5</v>
      </c>
      <c r="F1018" s="54">
        <v>6</v>
      </c>
      <c r="G1018" s="54">
        <v>30</v>
      </c>
      <c r="H1018" s="131" t="s">
        <v>2045</v>
      </c>
    </row>
    <row r="1019" spans="1:8">
      <c r="A1019" s="62">
        <v>8400657</v>
      </c>
      <c r="B1019" s="55" t="s">
        <v>2046</v>
      </c>
      <c r="C1019" s="58">
        <v>17750243083192</v>
      </c>
      <c r="D1019" s="55" t="s">
        <v>288</v>
      </c>
      <c r="E1019" s="55">
        <v>5</v>
      </c>
      <c r="F1019" s="55">
        <v>7</v>
      </c>
      <c r="G1019" s="55">
        <v>35</v>
      </c>
      <c r="H1019" s="131" t="s">
        <v>2047</v>
      </c>
    </row>
    <row r="1020" spans="1:8">
      <c r="A1020" s="61">
        <v>8400658</v>
      </c>
      <c r="B1020" s="54" t="s">
        <v>2048</v>
      </c>
      <c r="C1020" s="57">
        <v>17750243083208</v>
      </c>
      <c r="D1020" s="54" t="s">
        <v>288</v>
      </c>
      <c r="E1020" s="54">
        <v>5</v>
      </c>
      <c r="F1020" s="54">
        <v>7</v>
      </c>
      <c r="G1020" s="54">
        <v>35</v>
      </c>
      <c r="H1020" s="131" t="s">
        <v>2049</v>
      </c>
    </row>
    <row r="1021" spans="1:8">
      <c r="A1021" s="62">
        <v>8400659</v>
      </c>
      <c r="B1021" s="55" t="s">
        <v>2050</v>
      </c>
      <c r="C1021" s="58">
        <v>17750243083215</v>
      </c>
      <c r="D1021" s="55" t="s">
        <v>288</v>
      </c>
      <c r="E1021" s="55">
        <v>5</v>
      </c>
      <c r="F1021" s="55">
        <v>8</v>
      </c>
      <c r="G1021" s="55">
        <v>40</v>
      </c>
      <c r="H1021" s="131" t="s">
        <v>2051</v>
      </c>
    </row>
    <row r="1022" spans="1:8">
      <c r="A1022" s="61">
        <v>8400660</v>
      </c>
      <c r="B1022" s="54" t="s">
        <v>2052</v>
      </c>
      <c r="C1022" s="57">
        <v>17750243083222</v>
      </c>
      <c r="D1022" s="54" t="s">
        <v>288</v>
      </c>
      <c r="E1022" s="54">
        <v>5</v>
      </c>
      <c r="F1022" s="54">
        <v>7</v>
      </c>
      <c r="G1022" s="54">
        <v>35</v>
      </c>
      <c r="H1022" s="131" t="s">
        <v>2053</v>
      </c>
    </row>
    <row r="1023" spans="1:8">
      <c r="A1023" s="62">
        <v>8400661</v>
      </c>
      <c r="B1023" s="55" t="s">
        <v>2054</v>
      </c>
      <c r="C1023" s="58">
        <v>17750243083239</v>
      </c>
      <c r="D1023" s="55" t="s">
        <v>288</v>
      </c>
      <c r="E1023" s="55">
        <v>5</v>
      </c>
      <c r="F1023" s="55">
        <v>8</v>
      </c>
      <c r="G1023" s="55">
        <v>40</v>
      </c>
      <c r="H1023" s="131" t="s">
        <v>2055</v>
      </c>
    </row>
    <row r="1024" spans="1:8">
      <c r="A1024" s="61">
        <v>8400662</v>
      </c>
      <c r="B1024" s="54" t="s">
        <v>2056</v>
      </c>
      <c r="C1024" s="57">
        <v>17750243083253</v>
      </c>
      <c r="D1024" s="54" t="s">
        <v>288</v>
      </c>
      <c r="E1024" s="54">
        <v>5</v>
      </c>
      <c r="F1024" s="54">
        <v>7</v>
      </c>
      <c r="G1024" s="54">
        <v>35</v>
      </c>
      <c r="H1024" s="131" t="s">
        <v>2057</v>
      </c>
    </row>
    <row r="1025" spans="1:8">
      <c r="A1025" s="62">
        <v>8400664</v>
      </c>
      <c r="B1025" s="55" t="s">
        <v>2058</v>
      </c>
      <c r="C1025" s="58">
        <v>17750243083277</v>
      </c>
      <c r="D1025" s="55" t="s">
        <v>288</v>
      </c>
      <c r="E1025" s="55">
        <v>5</v>
      </c>
      <c r="F1025" s="55">
        <v>7</v>
      </c>
      <c r="G1025" s="55">
        <v>35</v>
      </c>
      <c r="H1025" s="131" t="s">
        <v>2059</v>
      </c>
    </row>
    <row r="1026" spans="1:8">
      <c r="A1026" s="61">
        <v>8400665</v>
      </c>
      <c r="B1026" s="54" t="s">
        <v>2060</v>
      </c>
      <c r="C1026" s="57">
        <v>17750243083406</v>
      </c>
      <c r="D1026" s="54" t="s">
        <v>288</v>
      </c>
      <c r="E1026" s="54">
        <v>5</v>
      </c>
      <c r="F1026" s="54">
        <v>8</v>
      </c>
      <c r="G1026" s="54">
        <v>40</v>
      </c>
      <c r="H1026" s="131" t="s">
        <v>2061</v>
      </c>
    </row>
    <row r="1027" spans="1:8">
      <c r="A1027" s="62">
        <v>8400666</v>
      </c>
      <c r="B1027" s="55" t="s">
        <v>2062</v>
      </c>
      <c r="C1027" s="58">
        <v>17750243083413</v>
      </c>
      <c r="D1027" s="55" t="s">
        <v>288</v>
      </c>
      <c r="E1027" s="55">
        <v>5</v>
      </c>
      <c r="F1027" s="55">
        <v>7</v>
      </c>
      <c r="G1027" s="55">
        <v>35</v>
      </c>
      <c r="H1027" s="131" t="s">
        <v>2063</v>
      </c>
    </row>
    <row r="1028" spans="1:8">
      <c r="A1028" s="61">
        <v>8400668</v>
      </c>
      <c r="B1028" s="54" t="s">
        <v>2064</v>
      </c>
      <c r="C1028" s="57">
        <v>17750243083437</v>
      </c>
      <c r="D1028" s="54" t="s">
        <v>288</v>
      </c>
      <c r="E1028" s="54">
        <v>5</v>
      </c>
      <c r="F1028" s="54">
        <v>7</v>
      </c>
      <c r="G1028" s="54">
        <v>35</v>
      </c>
      <c r="H1028" s="131" t="s">
        <v>2065</v>
      </c>
    </row>
    <row r="1029" spans="1:8">
      <c r="A1029" s="62">
        <v>8400670</v>
      </c>
      <c r="B1029" s="55" t="s">
        <v>2066</v>
      </c>
      <c r="C1029" s="58">
        <v>17750243083710</v>
      </c>
      <c r="D1029" s="55" t="s">
        <v>288</v>
      </c>
      <c r="E1029" s="55">
        <v>5</v>
      </c>
      <c r="F1029" s="55">
        <v>7</v>
      </c>
      <c r="G1029" s="55">
        <v>35</v>
      </c>
      <c r="H1029" s="131" t="s">
        <v>2067</v>
      </c>
    </row>
    <row r="1030" spans="1:8">
      <c r="A1030" s="61">
        <v>8400672</v>
      </c>
      <c r="B1030" s="54" t="s">
        <v>2068</v>
      </c>
      <c r="C1030" s="57">
        <v>17750243083994</v>
      </c>
      <c r="D1030" s="54" t="s">
        <v>288</v>
      </c>
      <c r="E1030" s="54">
        <v>5</v>
      </c>
      <c r="F1030" s="54">
        <v>10</v>
      </c>
      <c r="G1030" s="54">
        <v>50</v>
      </c>
      <c r="H1030" s="131" t="s">
        <v>2069</v>
      </c>
    </row>
    <row r="1031" spans="1:8">
      <c r="A1031" s="62">
        <v>8400673</v>
      </c>
      <c r="B1031" s="55" t="s">
        <v>2070</v>
      </c>
      <c r="C1031" s="58">
        <v>17750243084069</v>
      </c>
      <c r="D1031" s="55" t="s">
        <v>288</v>
      </c>
      <c r="E1031" s="55">
        <v>5</v>
      </c>
      <c r="F1031" s="55">
        <v>10</v>
      </c>
      <c r="G1031" s="55">
        <v>50</v>
      </c>
      <c r="H1031" s="131" t="s">
        <v>2071</v>
      </c>
    </row>
    <row r="1032" spans="1:8">
      <c r="A1032" s="61">
        <v>8400674</v>
      </c>
      <c r="B1032" s="54" t="s">
        <v>2072</v>
      </c>
      <c r="C1032" s="57">
        <v>17750243084175</v>
      </c>
      <c r="D1032" s="54" t="s">
        <v>288</v>
      </c>
      <c r="E1032" s="54">
        <v>5</v>
      </c>
      <c r="F1032" s="54">
        <v>10</v>
      </c>
      <c r="G1032" s="54">
        <v>50</v>
      </c>
      <c r="H1032" s="131" t="s">
        <v>2073</v>
      </c>
    </row>
    <row r="1033" spans="1:8">
      <c r="A1033" s="62">
        <v>8400675</v>
      </c>
      <c r="B1033" s="55" t="s">
        <v>2074</v>
      </c>
      <c r="C1033" s="58">
        <v>17750243084182</v>
      </c>
      <c r="D1033" s="55" t="s">
        <v>288</v>
      </c>
      <c r="E1033" s="55">
        <v>5</v>
      </c>
      <c r="F1033" s="55">
        <v>10</v>
      </c>
      <c r="G1033" s="55">
        <v>50</v>
      </c>
      <c r="H1033" s="131" t="s">
        <v>2075</v>
      </c>
    </row>
    <row r="1034" spans="1:8">
      <c r="A1034" s="61">
        <v>8400676</v>
      </c>
      <c r="B1034" s="54" t="s">
        <v>2076</v>
      </c>
      <c r="C1034" s="57">
        <v>17750243084199</v>
      </c>
      <c r="D1034" s="54" t="s">
        <v>288</v>
      </c>
      <c r="E1034" s="54">
        <v>5</v>
      </c>
      <c r="F1034" s="54">
        <v>10</v>
      </c>
      <c r="G1034" s="54">
        <v>50</v>
      </c>
      <c r="H1034" s="131" t="s">
        <v>2077</v>
      </c>
    </row>
    <row r="1035" spans="1:8">
      <c r="A1035" s="62">
        <v>8400677</v>
      </c>
      <c r="B1035" s="55" t="s">
        <v>2078</v>
      </c>
      <c r="C1035" s="58">
        <v>17750243084205</v>
      </c>
      <c r="D1035" s="55" t="s">
        <v>288</v>
      </c>
      <c r="E1035" s="55">
        <v>5</v>
      </c>
      <c r="F1035" s="55">
        <v>10</v>
      </c>
      <c r="G1035" s="55">
        <v>50</v>
      </c>
      <c r="H1035" s="131" t="s">
        <v>2079</v>
      </c>
    </row>
    <row r="1036" spans="1:8">
      <c r="A1036" s="61">
        <v>8400678</v>
      </c>
      <c r="B1036" s="54" t="s">
        <v>2080</v>
      </c>
      <c r="C1036" s="57">
        <v>17750243084212</v>
      </c>
      <c r="D1036" s="54" t="s">
        <v>288</v>
      </c>
      <c r="E1036" s="54">
        <v>5</v>
      </c>
      <c r="F1036" s="54">
        <v>9</v>
      </c>
      <c r="G1036" s="54">
        <v>45</v>
      </c>
      <c r="H1036" s="131" t="s">
        <v>2081</v>
      </c>
    </row>
    <row r="1037" spans="1:8">
      <c r="A1037" s="62">
        <v>8400679</v>
      </c>
      <c r="B1037" s="55" t="s">
        <v>2082</v>
      </c>
      <c r="C1037" s="58">
        <v>17750243084229</v>
      </c>
      <c r="D1037" s="55" t="s">
        <v>288</v>
      </c>
      <c r="E1037" s="55">
        <v>5</v>
      </c>
      <c r="F1037" s="55">
        <v>9</v>
      </c>
      <c r="G1037" s="55">
        <v>45</v>
      </c>
      <c r="H1037" s="131" t="s">
        <v>2083</v>
      </c>
    </row>
    <row r="1038" spans="1:8">
      <c r="A1038" s="61">
        <v>8400682</v>
      </c>
      <c r="B1038" s="54" t="s">
        <v>2084</v>
      </c>
      <c r="C1038" s="57">
        <v>17750243084250</v>
      </c>
      <c r="D1038" s="54" t="s">
        <v>288</v>
      </c>
      <c r="E1038" s="54">
        <v>5</v>
      </c>
      <c r="F1038" s="54">
        <v>10</v>
      </c>
      <c r="G1038" s="54">
        <v>50</v>
      </c>
      <c r="H1038" s="131" t="s">
        <v>2085</v>
      </c>
    </row>
    <row r="1039" spans="1:8">
      <c r="A1039" s="62">
        <v>8400683</v>
      </c>
      <c r="B1039" s="55" t="s">
        <v>2086</v>
      </c>
      <c r="C1039" s="58">
        <v>17750243084267</v>
      </c>
      <c r="D1039" s="55" t="s">
        <v>288</v>
      </c>
      <c r="E1039" s="55">
        <v>5</v>
      </c>
      <c r="F1039" s="55">
        <v>10</v>
      </c>
      <c r="G1039" s="55">
        <v>50</v>
      </c>
      <c r="H1039" s="131" t="s">
        <v>2087</v>
      </c>
    </row>
    <row r="1040" spans="1:8">
      <c r="A1040" s="61">
        <v>8400684</v>
      </c>
      <c r="B1040" s="54" t="s">
        <v>2088</v>
      </c>
      <c r="C1040" s="57">
        <v>17750243084274</v>
      </c>
      <c r="D1040" s="54" t="s">
        <v>288</v>
      </c>
      <c r="E1040" s="54">
        <v>5</v>
      </c>
      <c r="F1040" s="54">
        <v>10</v>
      </c>
      <c r="G1040" s="54">
        <v>50</v>
      </c>
      <c r="H1040" s="131" t="s">
        <v>2089</v>
      </c>
    </row>
    <row r="1041" spans="1:8">
      <c r="A1041" s="62">
        <v>8400685</v>
      </c>
      <c r="B1041" s="55" t="s">
        <v>2090</v>
      </c>
      <c r="C1041" s="58">
        <v>17750243084281</v>
      </c>
      <c r="D1041" s="55" t="s">
        <v>288</v>
      </c>
      <c r="E1041" s="55">
        <v>5</v>
      </c>
      <c r="F1041" s="55">
        <v>10</v>
      </c>
      <c r="G1041" s="55">
        <v>50</v>
      </c>
      <c r="H1041" s="131" t="s">
        <v>2091</v>
      </c>
    </row>
    <row r="1042" spans="1:8">
      <c r="A1042" s="61">
        <v>8400687</v>
      </c>
      <c r="B1042" s="54" t="s">
        <v>2092</v>
      </c>
      <c r="C1042" s="57">
        <v>37750243079069</v>
      </c>
      <c r="D1042" s="54" t="s">
        <v>288</v>
      </c>
      <c r="E1042" s="54">
        <v>5</v>
      </c>
      <c r="F1042" s="54">
        <v>9</v>
      </c>
      <c r="G1042" s="54">
        <v>45</v>
      </c>
      <c r="H1042" s="131" t="s">
        <v>2093</v>
      </c>
    </row>
    <row r="1043" spans="1:8">
      <c r="A1043" s="62">
        <v>8400688</v>
      </c>
      <c r="B1043" s="55" t="s">
        <v>2094</v>
      </c>
      <c r="C1043" s="58">
        <v>37750243079052</v>
      </c>
      <c r="D1043" s="55" t="s">
        <v>288</v>
      </c>
      <c r="E1043" s="55">
        <v>5</v>
      </c>
      <c r="F1043" s="55">
        <v>9</v>
      </c>
      <c r="G1043" s="55">
        <v>45</v>
      </c>
      <c r="H1043" s="131" t="s">
        <v>2095</v>
      </c>
    </row>
    <row r="1044" spans="1:8">
      <c r="A1044" s="61">
        <v>8400689</v>
      </c>
      <c r="B1044" s="54" t="s">
        <v>2096</v>
      </c>
      <c r="C1044" s="57">
        <v>37750243079076</v>
      </c>
      <c r="D1044" s="54" t="s">
        <v>288</v>
      </c>
      <c r="E1044" s="54">
        <v>5</v>
      </c>
      <c r="F1044" s="54">
        <v>10</v>
      </c>
      <c r="G1044" s="54">
        <v>50</v>
      </c>
      <c r="H1044" s="131" t="s">
        <v>2097</v>
      </c>
    </row>
    <row r="1045" spans="1:8">
      <c r="A1045" s="62">
        <v>8400690</v>
      </c>
      <c r="B1045" s="55" t="s">
        <v>2098</v>
      </c>
      <c r="C1045" s="58">
        <v>37750243078963</v>
      </c>
      <c r="D1045" s="55" t="s">
        <v>288</v>
      </c>
      <c r="E1045" s="55">
        <v>5</v>
      </c>
      <c r="F1045" s="55">
        <v>6</v>
      </c>
      <c r="G1045" s="55">
        <v>30</v>
      </c>
      <c r="H1045" s="131" t="s">
        <v>2099</v>
      </c>
    </row>
    <row r="1046" spans="1:8">
      <c r="A1046" s="61">
        <v>8400691</v>
      </c>
      <c r="B1046" s="54" t="s">
        <v>2100</v>
      </c>
      <c r="C1046" s="57">
        <v>37750243079038</v>
      </c>
      <c r="D1046" s="54" t="s">
        <v>288</v>
      </c>
      <c r="E1046" s="54">
        <v>5</v>
      </c>
      <c r="F1046" s="54">
        <v>8</v>
      </c>
      <c r="G1046" s="54">
        <v>40</v>
      </c>
      <c r="H1046" s="131" t="s">
        <v>2101</v>
      </c>
    </row>
    <row r="1047" spans="1:8">
      <c r="A1047" s="62">
        <v>8400692</v>
      </c>
      <c r="B1047" s="55" t="s">
        <v>2102</v>
      </c>
      <c r="C1047" s="58">
        <v>37750243079113</v>
      </c>
      <c r="D1047" s="55" t="s">
        <v>288</v>
      </c>
      <c r="E1047" s="55">
        <v>5</v>
      </c>
      <c r="F1047" s="55">
        <v>9</v>
      </c>
      <c r="G1047" s="55">
        <v>45</v>
      </c>
      <c r="H1047" s="131" t="s">
        <v>2103</v>
      </c>
    </row>
    <row r="1048" spans="1:8">
      <c r="A1048" s="61">
        <v>8400700</v>
      </c>
      <c r="B1048" s="54" t="s">
        <v>2104</v>
      </c>
      <c r="C1048" s="57">
        <v>7750243084581</v>
      </c>
      <c r="D1048" s="54" t="s">
        <v>100</v>
      </c>
      <c r="E1048" s="54">
        <v>6</v>
      </c>
      <c r="F1048" s="54">
        <v>11</v>
      </c>
      <c r="G1048" s="54">
        <v>66</v>
      </c>
      <c r="H1048" s="131" t="s">
        <v>2105</v>
      </c>
    </row>
    <row r="1049" spans="1:8">
      <c r="A1049" s="62">
        <v>8400701</v>
      </c>
      <c r="B1049" s="55" t="s">
        <v>2106</v>
      </c>
      <c r="C1049" s="58">
        <v>27750243085018</v>
      </c>
      <c r="D1049" s="55" t="s">
        <v>9</v>
      </c>
      <c r="E1049" s="55">
        <v>10</v>
      </c>
      <c r="F1049" s="55">
        <v>4</v>
      </c>
      <c r="G1049" s="55">
        <v>40</v>
      </c>
      <c r="H1049" s="131" t="s">
        <v>2107</v>
      </c>
    </row>
    <row r="1050" spans="1:8">
      <c r="A1050" s="61">
        <v>8400702</v>
      </c>
      <c r="B1050" s="54" t="s">
        <v>2108</v>
      </c>
      <c r="C1050" s="57">
        <v>27750243085025</v>
      </c>
      <c r="D1050" s="54" t="s">
        <v>9</v>
      </c>
      <c r="E1050" s="54">
        <v>9</v>
      </c>
      <c r="F1050" s="54">
        <v>3</v>
      </c>
      <c r="G1050" s="54">
        <v>27</v>
      </c>
      <c r="H1050" s="131" t="s">
        <v>2109</v>
      </c>
    </row>
    <row r="1051" spans="1:8">
      <c r="A1051" s="62">
        <v>8400703</v>
      </c>
      <c r="B1051" s="55" t="s">
        <v>2110</v>
      </c>
      <c r="C1051" s="58">
        <v>17750243086391</v>
      </c>
      <c r="D1051" s="55" t="s">
        <v>288</v>
      </c>
      <c r="E1051" s="55">
        <v>5</v>
      </c>
      <c r="F1051" s="55">
        <v>10</v>
      </c>
      <c r="G1051" s="55">
        <v>50</v>
      </c>
      <c r="H1051" s="131" t="s">
        <v>2111</v>
      </c>
    </row>
    <row r="1052" spans="1:8">
      <c r="A1052" s="61">
        <v>8400704</v>
      </c>
      <c r="B1052" s="54" t="s">
        <v>2112</v>
      </c>
      <c r="C1052" s="57">
        <v>17750243086414</v>
      </c>
      <c r="D1052" s="54" t="s">
        <v>288</v>
      </c>
      <c r="E1052" s="54">
        <v>5</v>
      </c>
      <c r="F1052" s="54">
        <v>10</v>
      </c>
      <c r="G1052" s="54">
        <v>50</v>
      </c>
      <c r="H1052" s="131" t="s">
        <v>2113</v>
      </c>
    </row>
    <row r="1053" spans="1:8">
      <c r="A1053" s="62">
        <v>8400705</v>
      </c>
      <c r="B1053" s="55" t="s">
        <v>2114</v>
      </c>
      <c r="C1053" s="58">
        <v>17753938008999</v>
      </c>
      <c r="D1053" s="55" t="s">
        <v>288</v>
      </c>
      <c r="E1053" s="55">
        <v>4</v>
      </c>
      <c r="F1053" s="55">
        <v>8</v>
      </c>
      <c r="G1053" s="55">
        <v>32</v>
      </c>
      <c r="H1053" s="131" t="s">
        <v>2115</v>
      </c>
    </row>
    <row r="1054" spans="1:8">
      <c r="A1054" s="61">
        <v>8400706</v>
      </c>
      <c r="B1054" s="54" t="s">
        <v>2116</v>
      </c>
      <c r="C1054" s="57">
        <v>17753938009019</v>
      </c>
      <c r="D1054" s="54" t="s">
        <v>288</v>
      </c>
      <c r="E1054" s="54">
        <v>4</v>
      </c>
      <c r="F1054" s="54">
        <v>8</v>
      </c>
      <c r="G1054" s="54">
        <v>32</v>
      </c>
      <c r="H1054" s="131" t="s">
        <v>2117</v>
      </c>
    </row>
    <row r="1055" spans="1:8">
      <c r="A1055" s="62">
        <v>8400707</v>
      </c>
      <c r="B1055" s="55" t="s">
        <v>2118</v>
      </c>
      <c r="C1055" s="58">
        <v>17753938009002</v>
      </c>
      <c r="D1055" s="55" t="s">
        <v>288</v>
      </c>
      <c r="E1055" s="55">
        <v>4</v>
      </c>
      <c r="F1055" s="55">
        <v>8</v>
      </c>
      <c r="G1055" s="55">
        <v>32</v>
      </c>
      <c r="H1055" s="131" t="s">
        <v>2119</v>
      </c>
    </row>
    <row r="1056" spans="1:8">
      <c r="A1056" s="61">
        <v>8400708</v>
      </c>
      <c r="B1056" s="54" t="s">
        <v>2120</v>
      </c>
      <c r="C1056" s="57">
        <v>17753938009026</v>
      </c>
      <c r="D1056" s="54" t="s">
        <v>288</v>
      </c>
      <c r="E1056" s="54">
        <v>4</v>
      </c>
      <c r="F1056" s="54">
        <v>8</v>
      </c>
      <c r="G1056" s="54">
        <v>32</v>
      </c>
      <c r="H1056" s="131" t="s">
        <v>2121</v>
      </c>
    </row>
    <row r="1057" spans="1:8">
      <c r="A1057" s="62">
        <v>8400709</v>
      </c>
      <c r="B1057" s="55" t="s">
        <v>2122</v>
      </c>
      <c r="C1057" s="58">
        <v>37750243087026</v>
      </c>
      <c r="D1057" s="55" t="s">
        <v>9</v>
      </c>
      <c r="E1057" s="55">
        <v>9</v>
      </c>
      <c r="F1057" s="55">
        <v>3</v>
      </c>
      <c r="G1057" s="55">
        <v>27</v>
      </c>
      <c r="H1057" s="131" t="s">
        <v>2123</v>
      </c>
    </row>
    <row r="1058" spans="1:8">
      <c r="A1058" s="61">
        <v>8400710</v>
      </c>
      <c r="B1058" s="54" t="s">
        <v>2124</v>
      </c>
      <c r="C1058" s="57">
        <v>27750243086794</v>
      </c>
      <c r="D1058" s="54" t="s">
        <v>9</v>
      </c>
      <c r="E1058" s="54">
        <v>10</v>
      </c>
      <c r="F1058" s="54">
        <v>4</v>
      </c>
      <c r="G1058" s="54">
        <v>40</v>
      </c>
      <c r="H1058" s="131" t="s">
        <v>2125</v>
      </c>
    </row>
    <row r="1059" spans="1:8">
      <c r="A1059" s="62">
        <v>8400711</v>
      </c>
      <c r="B1059" s="55" t="s">
        <v>2126</v>
      </c>
      <c r="C1059" s="58">
        <v>17750243087862</v>
      </c>
      <c r="D1059" s="55" t="s">
        <v>288</v>
      </c>
      <c r="E1059" s="55">
        <v>5</v>
      </c>
      <c r="F1059" s="55">
        <v>10</v>
      </c>
      <c r="G1059" s="55">
        <v>50</v>
      </c>
      <c r="H1059" s="131" t="s">
        <v>2127</v>
      </c>
    </row>
    <row r="1060" spans="1:8">
      <c r="A1060" s="61">
        <v>8400712</v>
      </c>
      <c r="B1060" s="54" t="s">
        <v>2128</v>
      </c>
      <c r="C1060" s="57">
        <v>17750243087879</v>
      </c>
      <c r="D1060" s="54" t="s">
        <v>288</v>
      </c>
      <c r="E1060" s="54">
        <v>5</v>
      </c>
      <c r="F1060" s="54">
        <v>10</v>
      </c>
      <c r="G1060" s="54">
        <v>50</v>
      </c>
      <c r="H1060" s="131" t="s">
        <v>2129</v>
      </c>
    </row>
    <row r="1061" spans="1:8">
      <c r="A1061" s="62">
        <v>8400713</v>
      </c>
      <c r="B1061" s="55" t="s">
        <v>2130</v>
      </c>
      <c r="C1061" s="58">
        <v>17750243087886</v>
      </c>
      <c r="D1061" s="55" t="s">
        <v>288</v>
      </c>
      <c r="E1061" s="55">
        <v>5</v>
      </c>
      <c r="F1061" s="55">
        <v>10</v>
      </c>
      <c r="G1061" s="55">
        <v>50</v>
      </c>
      <c r="H1061" s="131" t="s">
        <v>2131</v>
      </c>
    </row>
    <row r="1062" spans="1:8">
      <c r="A1062" s="61">
        <v>8400714</v>
      </c>
      <c r="B1062" s="54" t="s">
        <v>2132</v>
      </c>
      <c r="C1062" s="57">
        <v>17750243087893</v>
      </c>
      <c r="D1062" s="54" t="s">
        <v>288</v>
      </c>
      <c r="E1062" s="54">
        <v>5</v>
      </c>
      <c r="F1062" s="54">
        <v>10</v>
      </c>
      <c r="G1062" s="54">
        <v>50</v>
      </c>
      <c r="H1062" s="131" t="s">
        <v>2133</v>
      </c>
    </row>
    <row r="1063" spans="1:8">
      <c r="A1063" s="62">
        <v>8400715</v>
      </c>
      <c r="B1063" s="55" t="s">
        <v>2134</v>
      </c>
      <c r="C1063" s="58">
        <v>17750243088418</v>
      </c>
      <c r="D1063" s="55" t="s">
        <v>9</v>
      </c>
      <c r="E1063" s="55">
        <v>20</v>
      </c>
      <c r="F1063" s="55">
        <v>5</v>
      </c>
      <c r="G1063" s="55">
        <v>100</v>
      </c>
      <c r="H1063" s="131" t="s">
        <v>2135</v>
      </c>
    </row>
    <row r="1064" spans="1:8">
      <c r="A1064" s="61">
        <v>8400716</v>
      </c>
      <c r="B1064" s="54" t="s">
        <v>2136</v>
      </c>
      <c r="C1064" s="57">
        <v>17750243088791</v>
      </c>
      <c r="D1064" s="54" t="s">
        <v>288</v>
      </c>
      <c r="E1064" s="54">
        <v>5</v>
      </c>
      <c r="F1064" s="54">
        <v>10</v>
      </c>
      <c r="G1064" s="54">
        <v>50</v>
      </c>
      <c r="H1064" s="131" t="s">
        <v>2137</v>
      </c>
    </row>
    <row r="1065" spans="1:8">
      <c r="A1065" s="62">
        <v>8400908</v>
      </c>
      <c r="B1065" s="55" t="s">
        <v>2138</v>
      </c>
      <c r="C1065" s="58">
        <v>17750243062319</v>
      </c>
      <c r="D1065" s="55" t="s">
        <v>9</v>
      </c>
      <c r="E1065" s="55">
        <v>10</v>
      </c>
      <c r="F1065" s="55">
        <v>3</v>
      </c>
      <c r="G1065" s="55">
        <v>30</v>
      </c>
      <c r="H1065" s="131" t="s">
        <v>2139</v>
      </c>
    </row>
    <row r="1066" spans="1:8">
      <c r="A1066" s="61">
        <v>8404066</v>
      </c>
      <c r="B1066" s="54" t="s">
        <v>2140</v>
      </c>
      <c r="C1066" s="57">
        <v>17750243056141</v>
      </c>
      <c r="D1066" s="54" t="s">
        <v>288</v>
      </c>
      <c r="E1066" s="54">
        <v>5</v>
      </c>
      <c r="F1066" s="54">
        <v>10</v>
      </c>
      <c r="G1066" s="54">
        <v>50</v>
      </c>
      <c r="H1066" s="131" t="s">
        <v>2141</v>
      </c>
    </row>
    <row r="1067" spans="1:8">
      <c r="A1067" s="62">
        <v>8404069</v>
      </c>
      <c r="B1067" s="55" t="s">
        <v>2142</v>
      </c>
      <c r="C1067" s="58">
        <v>17750243056172</v>
      </c>
      <c r="D1067" s="55" t="s">
        <v>288</v>
      </c>
      <c r="E1067" s="55">
        <v>5</v>
      </c>
      <c r="F1067" s="55">
        <v>8</v>
      </c>
      <c r="G1067" s="55">
        <v>40</v>
      </c>
      <c r="H1067" s="131" t="s">
        <v>2143</v>
      </c>
    </row>
    <row r="1068" spans="1:8">
      <c r="A1068" s="61">
        <v>8404070</v>
      </c>
      <c r="B1068" s="54" t="s">
        <v>2144</v>
      </c>
      <c r="C1068" s="57">
        <v>17750243056189</v>
      </c>
      <c r="D1068" s="54" t="s">
        <v>288</v>
      </c>
      <c r="E1068" s="54">
        <v>5</v>
      </c>
      <c r="F1068" s="54">
        <v>7</v>
      </c>
      <c r="G1068" s="54">
        <v>35</v>
      </c>
      <c r="H1068" s="131" t="s">
        <v>2145</v>
      </c>
    </row>
    <row r="1069" spans="1:8">
      <c r="A1069" s="62">
        <v>8404071</v>
      </c>
      <c r="B1069" s="55" t="s">
        <v>2146</v>
      </c>
      <c r="C1069" s="58">
        <v>17750243056196</v>
      </c>
      <c r="D1069" s="55" t="s">
        <v>288</v>
      </c>
      <c r="E1069" s="55">
        <v>5</v>
      </c>
      <c r="F1069" s="55">
        <v>6</v>
      </c>
      <c r="G1069" s="55">
        <v>30</v>
      </c>
      <c r="H1069" s="131" t="s">
        <v>2147</v>
      </c>
    </row>
    <row r="1070" spans="1:8">
      <c r="A1070" s="61">
        <v>8404072</v>
      </c>
      <c r="B1070" s="54" t="s">
        <v>2148</v>
      </c>
      <c r="C1070" s="57">
        <v>7750243056205</v>
      </c>
      <c r="D1070" s="54" t="s">
        <v>100</v>
      </c>
      <c r="E1070" s="54">
        <v>7</v>
      </c>
      <c r="F1070" s="54">
        <v>10</v>
      </c>
      <c r="G1070" s="54">
        <v>70</v>
      </c>
      <c r="H1070" s="131" t="s">
        <v>2149</v>
      </c>
    </row>
    <row r="1071" spans="1:8">
      <c r="A1071" s="62">
        <v>8404079</v>
      </c>
      <c r="B1071" s="55" t="s">
        <v>2150</v>
      </c>
      <c r="C1071" s="58">
        <v>17750243059814</v>
      </c>
      <c r="D1071" s="55" t="s">
        <v>288</v>
      </c>
      <c r="E1071" s="55">
        <v>5</v>
      </c>
      <c r="F1071" s="55">
        <v>9</v>
      </c>
      <c r="G1071" s="55">
        <v>45</v>
      </c>
      <c r="H1071" s="131" t="s">
        <v>2151</v>
      </c>
    </row>
    <row r="1072" spans="1:8">
      <c r="A1072" s="61">
        <v>8404080</v>
      </c>
      <c r="B1072" s="54" t="s">
        <v>2152</v>
      </c>
      <c r="C1072" s="57">
        <v>17750243060582</v>
      </c>
      <c r="D1072" s="54" t="s">
        <v>288</v>
      </c>
      <c r="E1072" s="54">
        <v>5</v>
      </c>
      <c r="F1072" s="54">
        <v>10</v>
      </c>
      <c r="G1072" s="54">
        <v>50</v>
      </c>
      <c r="H1072" s="131" t="s">
        <v>2153</v>
      </c>
    </row>
    <row r="1073" spans="1:8">
      <c r="A1073" s="62">
        <v>8404084</v>
      </c>
      <c r="B1073" s="55" t="s">
        <v>2154</v>
      </c>
      <c r="C1073" s="58">
        <v>17750243060629</v>
      </c>
      <c r="D1073" s="55" t="s">
        <v>288</v>
      </c>
      <c r="E1073" s="55">
        <v>5</v>
      </c>
      <c r="F1073" s="55">
        <v>7</v>
      </c>
      <c r="G1073" s="55">
        <v>35</v>
      </c>
      <c r="H1073" s="131" t="s">
        <v>2155</v>
      </c>
    </row>
    <row r="1074" spans="1:8">
      <c r="A1074" s="61">
        <v>8404085</v>
      </c>
      <c r="B1074" s="54" t="s">
        <v>2156</v>
      </c>
      <c r="C1074" s="57">
        <v>17750243060940</v>
      </c>
      <c r="D1074" s="54" t="s">
        <v>288</v>
      </c>
      <c r="E1074" s="54">
        <v>5</v>
      </c>
      <c r="F1074" s="54">
        <v>10</v>
      </c>
      <c r="G1074" s="54">
        <v>50</v>
      </c>
      <c r="H1074" s="133" t="s">
        <v>2157</v>
      </c>
    </row>
    <row r="1075" spans="1:8">
      <c r="A1075" s="62">
        <v>8404086</v>
      </c>
      <c r="B1075" s="55" t="s">
        <v>2158</v>
      </c>
      <c r="C1075" s="58">
        <v>17750243060957</v>
      </c>
      <c r="D1075" s="55" t="s">
        <v>288</v>
      </c>
      <c r="E1075" s="55">
        <v>5</v>
      </c>
      <c r="F1075" s="55">
        <v>8</v>
      </c>
      <c r="G1075" s="55">
        <v>40</v>
      </c>
      <c r="H1075" s="131" t="s">
        <v>2159</v>
      </c>
    </row>
    <row r="1076" spans="1:8">
      <c r="A1076" s="61">
        <v>8404087</v>
      </c>
      <c r="B1076" s="54" t="s">
        <v>2160</v>
      </c>
      <c r="C1076" s="57">
        <v>17750243060964</v>
      </c>
      <c r="D1076" s="54" t="s">
        <v>288</v>
      </c>
      <c r="E1076" s="54">
        <v>5</v>
      </c>
      <c r="F1076" s="54">
        <v>10</v>
      </c>
      <c r="G1076" s="54">
        <v>50</v>
      </c>
      <c r="H1076" s="131" t="s">
        <v>2161</v>
      </c>
    </row>
    <row r="1077" spans="1:8">
      <c r="A1077" s="62">
        <v>8404089</v>
      </c>
      <c r="B1077" s="55" t="s">
        <v>2162</v>
      </c>
      <c r="C1077" s="58">
        <v>17750243068533</v>
      </c>
      <c r="D1077" s="55" t="s">
        <v>288</v>
      </c>
      <c r="E1077" s="55">
        <v>5</v>
      </c>
      <c r="F1077" s="55">
        <v>10</v>
      </c>
      <c r="G1077" s="55">
        <v>50</v>
      </c>
      <c r="H1077" s="131" t="s">
        <v>2163</v>
      </c>
    </row>
    <row r="1078" spans="1:8">
      <c r="A1078" s="61">
        <v>8404092</v>
      </c>
      <c r="B1078" s="54" t="s">
        <v>2164</v>
      </c>
      <c r="C1078" s="57">
        <v>17750243083581</v>
      </c>
      <c r="D1078" s="54" t="s">
        <v>288</v>
      </c>
      <c r="E1078" s="54">
        <v>5</v>
      </c>
      <c r="F1078" s="54">
        <v>6</v>
      </c>
      <c r="G1078" s="54">
        <v>30</v>
      </c>
      <c r="H1078" s="131" t="s">
        <v>2165</v>
      </c>
    </row>
    <row r="1079" spans="1:8">
      <c r="A1079" s="62">
        <v>8404093</v>
      </c>
      <c r="B1079" s="55" t="s">
        <v>2166</v>
      </c>
      <c r="C1079" s="58">
        <v>17750243083598</v>
      </c>
      <c r="D1079" s="55" t="s">
        <v>288</v>
      </c>
      <c r="E1079" s="55">
        <v>5</v>
      </c>
      <c r="F1079" s="55">
        <v>10</v>
      </c>
      <c r="G1079" s="55">
        <v>50</v>
      </c>
      <c r="H1079" s="131" t="s">
        <v>2167</v>
      </c>
    </row>
    <row r="1080" spans="1:8">
      <c r="A1080" s="61">
        <v>8404094</v>
      </c>
      <c r="B1080" s="54" t="s">
        <v>2168</v>
      </c>
      <c r="C1080" s="57">
        <v>17750243083604</v>
      </c>
      <c r="D1080" s="54" t="s">
        <v>288</v>
      </c>
      <c r="E1080" s="54">
        <v>5</v>
      </c>
      <c r="F1080" s="54">
        <v>7</v>
      </c>
      <c r="G1080" s="54">
        <v>35</v>
      </c>
      <c r="H1080" s="131" t="s">
        <v>2169</v>
      </c>
    </row>
    <row r="1081" spans="1:8">
      <c r="A1081" s="62">
        <v>8404095</v>
      </c>
      <c r="B1081" s="55" t="s">
        <v>2170</v>
      </c>
      <c r="C1081" s="58">
        <v>17750243083611</v>
      </c>
      <c r="D1081" s="55" t="s">
        <v>288</v>
      </c>
      <c r="E1081" s="55">
        <v>5</v>
      </c>
      <c r="F1081" s="55">
        <v>10</v>
      </c>
      <c r="G1081" s="55">
        <v>50</v>
      </c>
      <c r="H1081" s="131" t="s">
        <v>2171</v>
      </c>
    </row>
    <row r="1082" spans="1:8">
      <c r="A1082" s="61">
        <v>8404702</v>
      </c>
      <c r="B1082" s="54" t="s">
        <v>2172</v>
      </c>
      <c r="C1082" s="57">
        <v>7750243069052</v>
      </c>
      <c r="D1082" s="54" t="s">
        <v>100</v>
      </c>
      <c r="E1082" s="54">
        <v>4</v>
      </c>
      <c r="F1082" s="54">
        <v>9</v>
      </c>
      <c r="G1082" s="54">
        <v>36</v>
      </c>
      <c r="H1082" s="131" t="s">
        <v>2173</v>
      </c>
    </row>
    <row r="1083" spans="1:8">
      <c r="A1083" s="62">
        <v>8404703</v>
      </c>
      <c r="B1083" s="55" t="s">
        <v>2174</v>
      </c>
      <c r="C1083" s="58">
        <v>7750243069069</v>
      </c>
      <c r="D1083" s="55" t="s">
        <v>100</v>
      </c>
      <c r="E1083" s="55">
        <v>4</v>
      </c>
      <c r="F1083" s="55">
        <v>8</v>
      </c>
      <c r="G1083" s="55">
        <v>32</v>
      </c>
      <c r="H1083" s="133" t="s">
        <v>2175</v>
      </c>
    </row>
    <row r="1084" spans="1:8">
      <c r="A1084" s="61">
        <v>8404704</v>
      </c>
      <c r="B1084" s="54" t="s">
        <v>2176</v>
      </c>
      <c r="C1084" s="57">
        <v>17750243078891</v>
      </c>
      <c r="D1084" s="54" t="s">
        <v>288</v>
      </c>
      <c r="E1084" s="54">
        <v>5</v>
      </c>
      <c r="F1084" s="54">
        <v>10</v>
      </c>
      <c r="G1084" s="54">
        <v>50</v>
      </c>
      <c r="H1084" s="131" t="s">
        <v>2177</v>
      </c>
    </row>
    <row r="1085" spans="1:8">
      <c r="A1085" s="62">
        <v>8404705</v>
      </c>
      <c r="B1085" s="55" t="s">
        <v>2178</v>
      </c>
      <c r="C1085" s="58">
        <v>17750243078907</v>
      </c>
      <c r="D1085" s="55" t="s">
        <v>288</v>
      </c>
      <c r="E1085" s="55">
        <v>5</v>
      </c>
      <c r="F1085" s="55">
        <v>7</v>
      </c>
      <c r="G1085" s="55">
        <v>35</v>
      </c>
      <c r="H1085" s="131" t="s">
        <v>2179</v>
      </c>
    </row>
    <row r="1086" spans="1:8">
      <c r="A1086" s="61">
        <v>8404706</v>
      </c>
      <c r="B1086" s="54" t="s">
        <v>2180</v>
      </c>
      <c r="C1086" s="57">
        <v>17750243079126</v>
      </c>
      <c r="D1086" s="54" t="s">
        <v>288</v>
      </c>
      <c r="E1086" s="54">
        <v>5</v>
      </c>
      <c r="F1086" s="54">
        <v>10</v>
      </c>
      <c r="G1086" s="54">
        <v>50</v>
      </c>
      <c r="H1086" s="131" t="s">
        <v>2181</v>
      </c>
    </row>
    <row r="1087" spans="1:8">
      <c r="A1087" s="62">
        <v>8404707</v>
      </c>
      <c r="B1087" s="55" t="s">
        <v>2182</v>
      </c>
      <c r="C1087" s="58">
        <v>17750243079133</v>
      </c>
      <c r="D1087" s="55" t="s">
        <v>288</v>
      </c>
      <c r="E1087" s="55">
        <v>5</v>
      </c>
      <c r="F1087" s="55">
        <v>7</v>
      </c>
      <c r="G1087" s="55">
        <v>35</v>
      </c>
      <c r="H1087" s="131" t="s">
        <v>2183</v>
      </c>
    </row>
    <row r="1088" spans="1:8">
      <c r="A1088" s="61">
        <v>8404708</v>
      </c>
      <c r="B1088" s="54" t="s">
        <v>2184</v>
      </c>
      <c r="C1088" s="57">
        <v>17750243079140</v>
      </c>
      <c r="D1088" s="54" t="s">
        <v>288</v>
      </c>
      <c r="E1088" s="54">
        <v>5</v>
      </c>
      <c r="F1088" s="54">
        <v>9</v>
      </c>
      <c r="G1088" s="54">
        <v>45</v>
      </c>
      <c r="H1088" s="131" t="s">
        <v>2185</v>
      </c>
    </row>
    <row r="1089" spans="1:8">
      <c r="A1089" s="62">
        <v>8404709</v>
      </c>
      <c r="B1089" s="55" t="s">
        <v>2186</v>
      </c>
      <c r="C1089" s="58">
        <v>17750243079157</v>
      </c>
      <c r="D1089" s="55" t="s">
        <v>288</v>
      </c>
      <c r="E1089" s="55">
        <v>5</v>
      </c>
      <c r="F1089" s="55">
        <v>9</v>
      </c>
      <c r="G1089" s="55">
        <v>45</v>
      </c>
      <c r="H1089" s="131" t="s">
        <v>2187</v>
      </c>
    </row>
    <row r="1090" spans="1:8">
      <c r="A1090" s="61">
        <v>8404710</v>
      </c>
      <c r="B1090" s="54" t="s">
        <v>2188</v>
      </c>
      <c r="C1090" s="57">
        <v>17750243079164</v>
      </c>
      <c r="D1090" s="54" t="s">
        <v>288</v>
      </c>
      <c r="E1090" s="54">
        <v>5</v>
      </c>
      <c r="F1090" s="54">
        <v>9</v>
      </c>
      <c r="G1090" s="54">
        <v>45</v>
      </c>
      <c r="H1090" s="131" t="s">
        <v>2189</v>
      </c>
    </row>
    <row r="1091" spans="1:8">
      <c r="A1091" s="62">
        <v>8404711</v>
      </c>
      <c r="B1091" s="55" t="s">
        <v>2190</v>
      </c>
      <c r="C1091" s="58">
        <v>17750243079171</v>
      </c>
      <c r="D1091" s="55" t="s">
        <v>288</v>
      </c>
      <c r="E1091" s="55">
        <v>5</v>
      </c>
      <c r="F1091" s="55">
        <v>9</v>
      </c>
      <c r="G1091" s="55">
        <v>45</v>
      </c>
      <c r="H1091" s="131" t="s">
        <v>2191</v>
      </c>
    </row>
    <row r="1092" spans="1:8">
      <c r="A1092" s="61">
        <v>8404712</v>
      </c>
      <c r="B1092" s="54" t="s">
        <v>2192</v>
      </c>
      <c r="C1092" s="57">
        <v>17750243079430</v>
      </c>
      <c r="D1092" s="54" t="s">
        <v>288</v>
      </c>
      <c r="E1092" s="54">
        <v>5</v>
      </c>
      <c r="F1092" s="54">
        <v>10</v>
      </c>
      <c r="G1092" s="54">
        <v>50</v>
      </c>
      <c r="H1092" s="131" t="s">
        <v>2193</v>
      </c>
    </row>
    <row r="1093" spans="1:8">
      <c r="A1093" s="62">
        <v>8404713</v>
      </c>
      <c r="B1093" s="55" t="s">
        <v>2194</v>
      </c>
      <c r="C1093" s="58">
        <v>17750243079812</v>
      </c>
      <c r="D1093" s="55" t="s">
        <v>288</v>
      </c>
      <c r="E1093" s="55">
        <v>5</v>
      </c>
      <c r="F1093" s="55">
        <v>10</v>
      </c>
      <c r="G1093" s="55">
        <v>50</v>
      </c>
      <c r="H1093" s="131" t="s">
        <v>2195</v>
      </c>
    </row>
    <row r="1094" spans="1:8">
      <c r="A1094" s="61">
        <v>8404714</v>
      </c>
      <c r="B1094" s="54" t="s">
        <v>2196</v>
      </c>
      <c r="C1094" s="57">
        <v>17750243079829</v>
      </c>
      <c r="D1094" s="54" t="s">
        <v>288</v>
      </c>
      <c r="E1094" s="54">
        <v>5</v>
      </c>
      <c r="F1094" s="54">
        <v>10</v>
      </c>
      <c r="G1094" s="54">
        <v>50</v>
      </c>
      <c r="H1094" s="131" t="s">
        <v>2197</v>
      </c>
    </row>
    <row r="1095" spans="1:8">
      <c r="A1095" s="62">
        <v>8404715</v>
      </c>
      <c r="B1095" s="55" t="s">
        <v>2198</v>
      </c>
      <c r="C1095" s="58">
        <v>17750243079836</v>
      </c>
      <c r="D1095" s="55" t="s">
        <v>288</v>
      </c>
      <c r="E1095" s="55">
        <v>5</v>
      </c>
      <c r="F1095" s="55">
        <v>10</v>
      </c>
      <c r="G1095" s="55">
        <v>50</v>
      </c>
      <c r="H1095" s="131" t="s">
        <v>2199</v>
      </c>
    </row>
    <row r="1096" spans="1:8">
      <c r="A1096" s="61">
        <v>8404716</v>
      </c>
      <c r="B1096" s="54" t="s">
        <v>2200</v>
      </c>
      <c r="C1096" s="57">
        <v>17750243079843</v>
      </c>
      <c r="D1096" s="54" t="s">
        <v>288</v>
      </c>
      <c r="E1096" s="54">
        <v>5</v>
      </c>
      <c r="F1096" s="54">
        <v>7</v>
      </c>
      <c r="G1096" s="54">
        <v>35</v>
      </c>
      <c r="H1096" s="131" t="s">
        <v>2201</v>
      </c>
    </row>
    <row r="1097" spans="1:8">
      <c r="A1097" s="62">
        <v>8404717</v>
      </c>
      <c r="B1097" s="55" t="s">
        <v>2202</v>
      </c>
      <c r="C1097" s="58">
        <v>17750243079850</v>
      </c>
      <c r="D1097" s="55" t="s">
        <v>288</v>
      </c>
      <c r="E1097" s="55">
        <v>5</v>
      </c>
      <c r="F1097" s="55">
        <v>7</v>
      </c>
      <c r="G1097" s="55">
        <v>35</v>
      </c>
      <c r="H1097" s="131" t="s">
        <v>2203</v>
      </c>
    </row>
    <row r="1098" spans="1:8">
      <c r="A1098" s="61">
        <v>8404718</v>
      </c>
      <c r="B1098" s="54" t="s">
        <v>2204</v>
      </c>
      <c r="C1098" s="57">
        <v>7750243079860</v>
      </c>
      <c r="D1098" s="54" t="s">
        <v>100</v>
      </c>
      <c r="E1098" s="54">
        <v>7</v>
      </c>
      <c r="F1098" s="54">
        <v>10</v>
      </c>
      <c r="G1098" s="54">
        <v>70</v>
      </c>
      <c r="H1098" s="131" t="s">
        <v>2205</v>
      </c>
    </row>
    <row r="1099" spans="1:8">
      <c r="A1099" s="62">
        <v>8404719</v>
      </c>
      <c r="B1099" s="55" t="s">
        <v>2206</v>
      </c>
      <c r="C1099" s="58">
        <v>17750243079874</v>
      </c>
      <c r="D1099" s="55" t="s">
        <v>288</v>
      </c>
      <c r="E1099" s="55">
        <v>5</v>
      </c>
      <c r="F1099" s="55">
        <v>10</v>
      </c>
      <c r="G1099" s="55">
        <v>50</v>
      </c>
      <c r="H1099" s="133" t="s">
        <v>2207</v>
      </c>
    </row>
    <row r="1100" spans="1:8">
      <c r="A1100" s="61">
        <v>8404721</v>
      </c>
      <c r="B1100" s="54" t="s">
        <v>2208</v>
      </c>
      <c r="C1100" s="57">
        <v>17750243079898</v>
      </c>
      <c r="D1100" s="54" t="s">
        <v>288</v>
      </c>
      <c r="E1100" s="54">
        <v>5</v>
      </c>
      <c r="F1100" s="54">
        <v>10</v>
      </c>
      <c r="G1100" s="54">
        <v>50</v>
      </c>
      <c r="H1100" s="131" t="s">
        <v>2209</v>
      </c>
    </row>
    <row r="1101" spans="1:8">
      <c r="A1101" s="62">
        <v>8404722</v>
      </c>
      <c r="B1101" s="55" t="s">
        <v>2210</v>
      </c>
      <c r="C1101" s="58">
        <v>17750243079904</v>
      </c>
      <c r="D1101" s="55" t="s">
        <v>288</v>
      </c>
      <c r="E1101" s="55">
        <v>5</v>
      </c>
      <c r="F1101" s="55">
        <v>7</v>
      </c>
      <c r="G1101" s="55">
        <v>35</v>
      </c>
      <c r="H1101" s="131" t="s">
        <v>2211</v>
      </c>
    </row>
    <row r="1102" spans="1:8">
      <c r="A1102" s="61">
        <v>8404723</v>
      </c>
      <c r="B1102" s="54" t="s">
        <v>2212</v>
      </c>
      <c r="C1102" s="57">
        <v>17750243079911</v>
      </c>
      <c r="D1102" s="54" t="s">
        <v>288</v>
      </c>
      <c r="E1102" s="54">
        <v>5</v>
      </c>
      <c r="F1102" s="54">
        <v>10</v>
      </c>
      <c r="G1102" s="54">
        <v>50</v>
      </c>
      <c r="H1102" s="131" t="s">
        <v>2213</v>
      </c>
    </row>
    <row r="1103" spans="1:8">
      <c r="A1103" s="62">
        <v>8404724</v>
      </c>
      <c r="B1103" s="55" t="s">
        <v>2214</v>
      </c>
      <c r="C1103" s="58">
        <v>7750243081900</v>
      </c>
      <c r="D1103" s="55" t="s">
        <v>100</v>
      </c>
      <c r="E1103" s="55">
        <v>4</v>
      </c>
      <c r="F1103" s="55">
        <v>9</v>
      </c>
      <c r="G1103" s="55">
        <v>36</v>
      </c>
      <c r="H1103" s="131" t="s">
        <v>2215</v>
      </c>
    </row>
    <row r="1104" spans="1:8">
      <c r="A1104" s="61">
        <v>8404725</v>
      </c>
      <c r="B1104" s="54" t="s">
        <v>2216</v>
      </c>
      <c r="C1104" s="57">
        <v>37750243079120</v>
      </c>
      <c r="D1104" s="54" t="s">
        <v>288</v>
      </c>
      <c r="E1104" s="54">
        <v>5</v>
      </c>
      <c r="F1104" s="54">
        <v>10</v>
      </c>
      <c r="G1104" s="54">
        <v>50</v>
      </c>
      <c r="H1104" s="131" t="s">
        <v>2217</v>
      </c>
    </row>
    <row r="1105" spans="1:8">
      <c r="A1105" s="62">
        <v>8404726</v>
      </c>
      <c r="B1105" s="55" t="s">
        <v>2218</v>
      </c>
      <c r="C1105" s="58">
        <v>37750243079854</v>
      </c>
      <c r="D1105" s="55" t="s">
        <v>288</v>
      </c>
      <c r="E1105" s="55">
        <v>5</v>
      </c>
      <c r="F1105" s="55">
        <v>7</v>
      </c>
      <c r="G1105" s="55">
        <v>35</v>
      </c>
      <c r="H1105" s="131" t="s">
        <v>2219</v>
      </c>
    </row>
    <row r="1106" spans="1:8">
      <c r="A1106" s="61">
        <v>8404727</v>
      </c>
      <c r="B1106" s="54" t="s">
        <v>2220</v>
      </c>
      <c r="C1106" s="57">
        <v>37750243079816</v>
      </c>
      <c r="D1106" s="54" t="s">
        <v>288</v>
      </c>
      <c r="E1106" s="54">
        <v>5</v>
      </c>
      <c r="F1106" s="54">
        <v>10</v>
      </c>
      <c r="G1106" s="54">
        <v>50</v>
      </c>
      <c r="H1106" s="131" t="s">
        <v>2221</v>
      </c>
    </row>
    <row r="1107" spans="1:8">
      <c r="A1107" s="62">
        <v>8404728</v>
      </c>
      <c r="B1107" s="55" t="s">
        <v>2222</v>
      </c>
      <c r="C1107" s="58">
        <v>37750243079823</v>
      </c>
      <c r="D1107" s="55" t="s">
        <v>288</v>
      </c>
      <c r="E1107" s="55">
        <v>5</v>
      </c>
      <c r="F1107" s="55">
        <v>10</v>
      </c>
      <c r="G1107" s="55">
        <v>50</v>
      </c>
      <c r="H1107" s="131" t="s">
        <v>2223</v>
      </c>
    </row>
    <row r="1108" spans="1:8">
      <c r="A1108" s="61">
        <v>8404729</v>
      </c>
      <c r="B1108" s="54" t="s">
        <v>2224</v>
      </c>
      <c r="C1108" s="57">
        <v>37750243079830</v>
      </c>
      <c r="D1108" s="54" t="s">
        <v>288</v>
      </c>
      <c r="E1108" s="54">
        <v>5</v>
      </c>
      <c r="F1108" s="54">
        <v>10</v>
      </c>
      <c r="G1108" s="54">
        <v>50</v>
      </c>
      <c r="H1108" s="131" t="s">
        <v>2225</v>
      </c>
    </row>
    <row r="1109" spans="1:8">
      <c r="A1109" s="62">
        <v>8404730</v>
      </c>
      <c r="B1109" s="55" t="s">
        <v>2226</v>
      </c>
      <c r="C1109" s="58">
        <v>37750243079878</v>
      </c>
      <c r="D1109" s="55" t="s">
        <v>288</v>
      </c>
      <c r="E1109" s="55">
        <v>5</v>
      </c>
      <c r="F1109" s="55">
        <v>10</v>
      </c>
      <c r="G1109" s="55">
        <v>50</v>
      </c>
      <c r="H1109" s="131" t="s">
        <v>2227</v>
      </c>
    </row>
    <row r="1110" spans="1:8">
      <c r="A1110" s="61">
        <v>8404731</v>
      </c>
      <c r="B1110" s="54" t="s">
        <v>2228</v>
      </c>
      <c r="C1110" s="57">
        <v>17750243088463</v>
      </c>
      <c r="D1110" s="54" t="s">
        <v>288</v>
      </c>
      <c r="E1110" s="54">
        <v>5</v>
      </c>
      <c r="F1110" s="54">
        <v>10</v>
      </c>
      <c r="G1110" s="54">
        <v>50</v>
      </c>
      <c r="H1110" s="131" t="s">
        <v>2229</v>
      </c>
    </row>
    <row r="1111" spans="1:8">
      <c r="A1111" s="62">
        <v>8406054</v>
      </c>
      <c r="B1111" s="55" t="s">
        <v>2230</v>
      </c>
      <c r="C1111" s="58">
        <v>17750243035931</v>
      </c>
      <c r="D1111" s="55" t="s">
        <v>288</v>
      </c>
      <c r="E1111" s="55">
        <v>5</v>
      </c>
      <c r="F1111" s="55">
        <v>8</v>
      </c>
      <c r="G1111" s="55">
        <v>40</v>
      </c>
      <c r="H1111" s="131" t="s">
        <v>2231</v>
      </c>
    </row>
    <row r="1112" spans="1:8">
      <c r="A1112" s="61">
        <v>8406103</v>
      </c>
      <c r="B1112" s="54" t="s">
        <v>2232</v>
      </c>
      <c r="C1112" s="57">
        <v>17750243051689</v>
      </c>
      <c r="D1112" s="54" t="s">
        <v>288</v>
      </c>
      <c r="E1112" s="54">
        <v>5</v>
      </c>
      <c r="F1112" s="54">
        <v>8</v>
      </c>
      <c r="G1112" s="54">
        <v>40</v>
      </c>
      <c r="H1112" s="131" t="s">
        <v>2233</v>
      </c>
    </row>
    <row r="1113" spans="1:8">
      <c r="A1113" s="62">
        <v>8406104</v>
      </c>
      <c r="B1113" s="55" t="s">
        <v>2234</v>
      </c>
      <c r="C1113" s="58">
        <v>17750243051696</v>
      </c>
      <c r="D1113" s="55" t="s">
        <v>288</v>
      </c>
      <c r="E1113" s="55">
        <v>5</v>
      </c>
      <c r="F1113" s="55">
        <v>6</v>
      </c>
      <c r="G1113" s="55">
        <v>30</v>
      </c>
      <c r="H1113" s="131" t="s">
        <v>2235</v>
      </c>
    </row>
    <row r="1114" spans="1:8">
      <c r="A1114" s="61">
        <v>8406106</v>
      </c>
      <c r="B1114" s="54" t="s">
        <v>2236</v>
      </c>
      <c r="C1114" s="57">
        <v>17750243051719</v>
      </c>
      <c r="D1114" s="54" t="s">
        <v>288</v>
      </c>
      <c r="E1114" s="54">
        <v>5</v>
      </c>
      <c r="F1114" s="54">
        <v>5</v>
      </c>
      <c r="G1114" s="54">
        <v>25</v>
      </c>
      <c r="H1114" s="131" t="s">
        <v>2237</v>
      </c>
    </row>
    <row r="1115" spans="1:8">
      <c r="A1115" s="62">
        <v>8406112</v>
      </c>
      <c r="B1115" s="55" t="s">
        <v>2238</v>
      </c>
      <c r="C1115" s="58">
        <v>17750243052549</v>
      </c>
      <c r="D1115" s="55" t="s">
        <v>288</v>
      </c>
      <c r="E1115" s="55">
        <v>5</v>
      </c>
      <c r="F1115" s="55">
        <v>6</v>
      </c>
      <c r="G1115" s="55">
        <v>30</v>
      </c>
      <c r="H1115" s="131" t="s">
        <v>2239</v>
      </c>
    </row>
    <row r="1116" spans="1:8">
      <c r="A1116" s="61">
        <v>8406115</v>
      </c>
      <c r="B1116" s="54" t="s">
        <v>2240</v>
      </c>
      <c r="C1116" s="57">
        <v>17750243053522</v>
      </c>
      <c r="D1116" s="54" t="s">
        <v>288</v>
      </c>
      <c r="E1116" s="54">
        <v>5</v>
      </c>
      <c r="F1116" s="54">
        <v>10</v>
      </c>
      <c r="G1116" s="54">
        <v>50</v>
      </c>
      <c r="H1116" s="131" t="s">
        <v>2241</v>
      </c>
    </row>
    <row r="1117" spans="1:8">
      <c r="A1117" s="62">
        <v>8406118</v>
      </c>
      <c r="B1117" s="55" t="s">
        <v>2242</v>
      </c>
      <c r="C1117" s="58">
        <v>17750243053553</v>
      </c>
      <c r="D1117" s="55" t="s">
        <v>288</v>
      </c>
      <c r="E1117" s="55">
        <v>5</v>
      </c>
      <c r="F1117" s="55">
        <v>10</v>
      </c>
      <c r="G1117" s="55">
        <v>50</v>
      </c>
      <c r="H1117" s="131" t="s">
        <v>2243</v>
      </c>
    </row>
    <row r="1118" spans="1:8">
      <c r="A1118" s="61">
        <v>8406121</v>
      </c>
      <c r="B1118" s="54" t="s">
        <v>2244</v>
      </c>
      <c r="C1118" s="57">
        <v>17750243053584</v>
      </c>
      <c r="D1118" s="54" t="s">
        <v>288</v>
      </c>
      <c r="E1118" s="54">
        <v>5</v>
      </c>
      <c r="F1118" s="54">
        <v>9</v>
      </c>
      <c r="G1118" s="54">
        <v>45</v>
      </c>
      <c r="H1118" s="131" t="s">
        <v>2245</v>
      </c>
    </row>
    <row r="1119" spans="1:8">
      <c r="A1119" s="62">
        <v>8406132</v>
      </c>
      <c r="B1119" s="55" t="s">
        <v>2246</v>
      </c>
      <c r="C1119" s="58">
        <v>7750243055277</v>
      </c>
      <c r="D1119" s="55" t="s">
        <v>100</v>
      </c>
      <c r="E1119" s="55">
        <v>7</v>
      </c>
      <c r="F1119" s="55">
        <v>8</v>
      </c>
      <c r="G1119" s="55">
        <v>56</v>
      </c>
      <c r="H1119" s="131" t="s">
        <v>2247</v>
      </c>
    </row>
    <row r="1120" spans="1:8">
      <c r="A1120" s="61">
        <v>8406134</v>
      </c>
      <c r="B1120" s="54" t="s">
        <v>2246</v>
      </c>
      <c r="C1120" s="57">
        <v>7750243080576</v>
      </c>
      <c r="D1120" s="54" t="s">
        <v>100</v>
      </c>
      <c r="E1120" s="54">
        <v>7</v>
      </c>
      <c r="F1120" s="54">
        <v>8</v>
      </c>
      <c r="G1120" s="54">
        <v>56</v>
      </c>
      <c r="H1120" s="131" t="s">
        <v>2248</v>
      </c>
    </row>
    <row r="1121" spans="1:8">
      <c r="A1121" s="62">
        <v>8406140</v>
      </c>
      <c r="B1121" s="55" t="s">
        <v>2249</v>
      </c>
      <c r="C1121" s="58">
        <v>17750243080580</v>
      </c>
      <c r="D1121" s="55" t="s">
        <v>288</v>
      </c>
      <c r="E1121" s="55">
        <v>5</v>
      </c>
      <c r="F1121" s="55">
        <v>10</v>
      </c>
      <c r="G1121" s="55">
        <v>50</v>
      </c>
      <c r="H1121" s="131" t="s">
        <v>2250</v>
      </c>
    </row>
    <row r="1122" spans="1:8">
      <c r="A1122" s="61">
        <v>8406141</v>
      </c>
      <c r="B1122" s="54" t="s">
        <v>2251</v>
      </c>
      <c r="C1122" s="57">
        <v>17750243080597</v>
      </c>
      <c r="D1122" s="54" t="s">
        <v>288</v>
      </c>
      <c r="E1122" s="54">
        <v>5</v>
      </c>
      <c r="F1122" s="54">
        <v>7</v>
      </c>
      <c r="G1122" s="54">
        <v>35</v>
      </c>
      <c r="H1122" s="131" t="s">
        <v>2252</v>
      </c>
    </row>
    <row r="1123" spans="1:8">
      <c r="A1123" s="62">
        <v>8406143</v>
      </c>
      <c r="B1123" s="55" t="s">
        <v>2253</v>
      </c>
      <c r="C1123" s="58">
        <v>17750243080603</v>
      </c>
      <c r="D1123" s="55" t="s">
        <v>288</v>
      </c>
      <c r="E1123" s="55">
        <v>5</v>
      </c>
      <c r="F1123" s="55">
        <v>6</v>
      </c>
      <c r="G1123" s="55">
        <v>30</v>
      </c>
      <c r="H1123" s="131" t="s">
        <v>2254</v>
      </c>
    </row>
    <row r="1124" spans="1:8">
      <c r="A1124" s="61">
        <v>8406144</v>
      </c>
      <c r="B1124" s="54" t="s">
        <v>2255</v>
      </c>
      <c r="C1124" s="57">
        <v>17750243080610</v>
      </c>
      <c r="D1124" s="54" t="s">
        <v>288</v>
      </c>
      <c r="E1124" s="54">
        <v>5</v>
      </c>
      <c r="F1124" s="54">
        <v>5</v>
      </c>
      <c r="G1124" s="54">
        <v>25</v>
      </c>
      <c r="H1124" s="131" t="s">
        <v>2256</v>
      </c>
    </row>
    <row r="1125" spans="1:8">
      <c r="A1125" s="62">
        <v>8406145</v>
      </c>
      <c r="B1125" s="55" t="s">
        <v>2257</v>
      </c>
      <c r="C1125" s="58">
        <v>17750243080627</v>
      </c>
      <c r="D1125" s="55" t="s">
        <v>288</v>
      </c>
      <c r="E1125" s="55">
        <v>5</v>
      </c>
      <c r="F1125" s="55">
        <v>10</v>
      </c>
      <c r="G1125" s="55">
        <v>50</v>
      </c>
      <c r="H1125" s="133" t="s">
        <v>2258</v>
      </c>
    </row>
    <row r="1126" spans="1:8">
      <c r="A1126" s="61">
        <v>8406146</v>
      </c>
      <c r="B1126" s="54" t="s">
        <v>2259</v>
      </c>
      <c r="C1126" s="57">
        <v>17750243080634</v>
      </c>
      <c r="D1126" s="54" t="s">
        <v>288</v>
      </c>
      <c r="E1126" s="54">
        <v>5</v>
      </c>
      <c r="F1126" s="54">
        <v>10</v>
      </c>
      <c r="G1126" s="54">
        <v>50</v>
      </c>
      <c r="H1126" s="131" t="s">
        <v>2260</v>
      </c>
    </row>
    <row r="1127" spans="1:8">
      <c r="A1127" s="62">
        <v>8406147</v>
      </c>
      <c r="B1127" s="55" t="s">
        <v>2261</v>
      </c>
      <c r="C1127" s="58">
        <v>17750243080641</v>
      </c>
      <c r="D1127" s="55" t="s">
        <v>288</v>
      </c>
      <c r="E1127" s="55">
        <v>5</v>
      </c>
      <c r="F1127" s="55">
        <v>10</v>
      </c>
      <c r="G1127" s="55">
        <v>50</v>
      </c>
      <c r="H1127" s="131" t="s">
        <v>2262</v>
      </c>
    </row>
    <row r="1128" spans="1:8">
      <c r="A1128" s="61">
        <v>8406148</v>
      </c>
      <c r="B1128" s="54" t="s">
        <v>2263</v>
      </c>
      <c r="C1128" s="57">
        <v>17750243080658</v>
      </c>
      <c r="D1128" s="54" t="s">
        <v>288</v>
      </c>
      <c r="E1128" s="54">
        <v>5</v>
      </c>
      <c r="F1128" s="54">
        <v>7</v>
      </c>
      <c r="G1128" s="54">
        <v>35</v>
      </c>
      <c r="H1128" s="131" t="s">
        <v>2264</v>
      </c>
    </row>
    <row r="1129" spans="1:8">
      <c r="A1129" s="62">
        <v>8406149</v>
      </c>
      <c r="B1129" s="55" t="s">
        <v>2265</v>
      </c>
      <c r="C1129" s="58">
        <v>17750243056394</v>
      </c>
      <c r="D1129" s="55" t="s">
        <v>288</v>
      </c>
      <c r="E1129" s="55">
        <v>5</v>
      </c>
      <c r="F1129" s="55">
        <v>8</v>
      </c>
      <c r="G1129" s="55">
        <v>40</v>
      </c>
      <c r="H1129" s="131" t="s">
        <v>2266</v>
      </c>
    </row>
    <row r="1130" spans="1:8">
      <c r="A1130" s="61">
        <v>8406150</v>
      </c>
      <c r="B1130" s="54" t="s">
        <v>2267</v>
      </c>
      <c r="C1130" s="57">
        <v>17750243080665</v>
      </c>
      <c r="D1130" s="54" t="s">
        <v>288</v>
      </c>
      <c r="E1130" s="54">
        <v>5</v>
      </c>
      <c r="F1130" s="54">
        <v>6</v>
      </c>
      <c r="G1130" s="54">
        <v>30</v>
      </c>
      <c r="H1130" s="131" t="s">
        <v>2268</v>
      </c>
    </row>
    <row r="1131" spans="1:8">
      <c r="A1131" s="62">
        <v>8406151</v>
      </c>
      <c r="B1131" s="55" t="s">
        <v>2269</v>
      </c>
      <c r="C1131" s="58">
        <v>17750243080672</v>
      </c>
      <c r="D1131" s="55" t="s">
        <v>288</v>
      </c>
      <c r="E1131" s="55">
        <v>5</v>
      </c>
      <c r="F1131" s="55">
        <v>9</v>
      </c>
      <c r="G1131" s="55">
        <v>45</v>
      </c>
      <c r="H1131" s="131" t="s">
        <v>2270</v>
      </c>
    </row>
    <row r="1132" spans="1:8">
      <c r="A1132" s="61">
        <v>8406152</v>
      </c>
      <c r="B1132" s="54" t="s">
        <v>2271</v>
      </c>
      <c r="C1132" s="57">
        <v>17750243080689</v>
      </c>
      <c r="D1132" s="54" t="s">
        <v>288</v>
      </c>
      <c r="E1132" s="54">
        <v>5</v>
      </c>
      <c r="F1132" s="54">
        <v>9</v>
      </c>
      <c r="G1132" s="54">
        <v>45</v>
      </c>
      <c r="H1132" s="131" t="s">
        <v>2272</v>
      </c>
    </row>
    <row r="1133" spans="1:8">
      <c r="A1133" s="62">
        <v>8406153</v>
      </c>
      <c r="B1133" s="55" t="s">
        <v>2273</v>
      </c>
      <c r="C1133" s="58">
        <v>17750243080696</v>
      </c>
      <c r="D1133" s="55" t="s">
        <v>288</v>
      </c>
      <c r="E1133" s="55">
        <v>5</v>
      </c>
      <c r="F1133" s="55">
        <v>7</v>
      </c>
      <c r="G1133" s="55">
        <v>35</v>
      </c>
      <c r="H1133" s="131" t="s">
        <v>2274</v>
      </c>
    </row>
    <row r="1134" spans="1:8">
      <c r="A1134" s="61">
        <v>8406154</v>
      </c>
      <c r="B1134" s="54" t="s">
        <v>2275</v>
      </c>
      <c r="C1134" s="57">
        <v>17750243056448</v>
      </c>
      <c r="D1134" s="54" t="s">
        <v>288</v>
      </c>
      <c r="E1134" s="54">
        <v>5</v>
      </c>
      <c r="F1134" s="54">
        <v>8</v>
      </c>
      <c r="G1134" s="54">
        <v>40</v>
      </c>
      <c r="H1134" s="131" t="s">
        <v>2276</v>
      </c>
    </row>
    <row r="1135" spans="1:8">
      <c r="A1135" s="62">
        <v>8406155</v>
      </c>
      <c r="B1135" s="55" t="s">
        <v>2277</v>
      </c>
      <c r="C1135" s="58">
        <v>17750243080702</v>
      </c>
      <c r="D1135" s="55" t="s">
        <v>288</v>
      </c>
      <c r="E1135" s="55">
        <v>5</v>
      </c>
      <c r="F1135" s="55">
        <v>6</v>
      </c>
      <c r="G1135" s="55">
        <v>30</v>
      </c>
      <c r="H1135" s="133" t="s">
        <v>2278</v>
      </c>
    </row>
    <row r="1136" spans="1:8">
      <c r="A1136" s="61">
        <v>8406156</v>
      </c>
      <c r="B1136" s="54" t="s">
        <v>2279</v>
      </c>
      <c r="C1136" s="57">
        <v>17750243080719</v>
      </c>
      <c r="D1136" s="54" t="s">
        <v>288</v>
      </c>
      <c r="E1136" s="54">
        <v>5</v>
      </c>
      <c r="F1136" s="54">
        <v>9</v>
      </c>
      <c r="G1136" s="54">
        <v>45</v>
      </c>
      <c r="H1136" s="131" t="s">
        <v>2280</v>
      </c>
    </row>
    <row r="1137" spans="1:8">
      <c r="A1137" s="62">
        <v>8406158</v>
      </c>
      <c r="B1137" s="55" t="s">
        <v>2281</v>
      </c>
      <c r="C1137" s="58">
        <v>17750243056486</v>
      </c>
      <c r="D1137" s="55" t="s">
        <v>288</v>
      </c>
      <c r="E1137" s="55">
        <v>5</v>
      </c>
      <c r="F1137" s="55">
        <v>9</v>
      </c>
      <c r="G1137" s="55">
        <v>45</v>
      </c>
      <c r="H1137" s="131" t="s">
        <v>2282</v>
      </c>
    </row>
    <row r="1138" spans="1:8">
      <c r="A1138" s="61">
        <v>8406159</v>
      </c>
      <c r="B1138" s="54" t="s">
        <v>2283</v>
      </c>
      <c r="C1138" s="57">
        <v>17750243056493</v>
      </c>
      <c r="D1138" s="54" t="s">
        <v>288</v>
      </c>
      <c r="E1138" s="54">
        <v>5</v>
      </c>
      <c r="F1138" s="54">
        <v>8</v>
      </c>
      <c r="G1138" s="54">
        <v>40</v>
      </c>
      <c r="H1138" s="131" t="s">
        <v>2284</v>
      </c>
    </row>
    <row r="1139" spans="1:8">
      <c r="A1139" s="62">
        <v>8406160</v>
      </c>
      <c r="B1139" s="55" t="s">
        <v>2285</v>
      </c>
      <c r="C1139" s="58">
        <v>17750243056509</v>
      </c>
      <c r="D1139" s="55" t="s">
        <v>288</v>
      </c>
      <c r="E1139" s="55">
        <v>5</v>
      </c>
      <c r="F1139" s="55">
        <v>8</v>
      </c>
      <c r="G1139" s="55">
        <v>40</v>
      </c>
      <c r="H1139" s="131" t="s">
        <v>2286</v>
      </c>
    </row>
    <row r="1140" spans="1:8">
      <c r="A1140" s="61">
        <v>8406161</v>
      </c>
      <c r="B1140" s="54" t="s">
        <v>2287</v>
      </c>
      <c r="C1140" s="57">
        <v>17750243056516</v>
      </c>
      <c r="D1140" s="54" t="s">
        <v>288</v>
      </c>
      <c r="E1140" s="54">
        <v>5</v>
      </c>
      <c r="F1140" s="54">
        <v>6</v>
      </c>
      <c r="G1140" s="54">
        <v>30</v>
      </c>
      <c r="H1140" s="131" t="s">
        <v>2288</v>
      </c>
    </row>
    <row r="1141" spans="1:8">
      <c r="A1141" s="62">
        <v>8406162</v>
      </c>
      <c r="B1141" s="55" t="s">
        <v>2289</v>
      </c>
      <c r="C1141" s="58">
        <v>17750243056523</v>
      </c>
      <c r="D1141" s="55" t="s">
        <v>288</v>
      </c>
      <c r="E1141" s="55">
        <v>5</v>
      </c>
      <c r="F1141" s="55">
        <v>6</v>
      </c>
      <c r="G1141" s="55">
        <v>30</v>
      </c>
      <c r="H1141" s="131" t="s">
        <v>2290</v>
      </c>
    </row>
    <row r="1142" spans="1:8">
      <c r="A1142" s="61">
        <v>8406164</v>
      </c>
      <c r="B1142" s="54" t="s">
        <v>2291</v>
      </c>
      <c r="C1142" s="57">
        <v>17750243057490</v>
      </c>
      <c r="D1142" s="54" t="s">
        <v>9</v>
      </c>
      <c r="E1142" s="54">
        <v>11</v>
      </c>
      <c r="F1142" s="54">
        <v>3</v>
      </c>
      <c r="G1142" s="54">
        <v>33</v>
      </c>
      <c r="H1142" s="131" t="s">
        <v>2292</v>
      </c>
    </row>
    <row r="1143" spans="1:8">
      <c r="A1143" s="62">
        <v>8406166</v>
      </c>
      <c r="B1143" s="55" t="s">
        <v>2293</v>
      </c>
      <c r="C1143" s="58">
        <v>17750243062104</v>
      </c>
      <c r="D1143" s="55" t="s">
        <v>288</v>
      </c>
      <c r="E1143" s="55">
        <v>5</v>
      </c>
      <c r="F1143" s="55">
        <v>10</v>
      </c>
      <c r="G1143" s="55">
        <v>50</v>
      </c>
      <c r="H1143" s="133" t="s">
        <v>2294</v>
      </c>
    </row>
    <row r="1144" spans="1:8">
      <c r="A1144" s="61">
        <v>8406167</v>
      </c>
      <c r="B1144" s="54" t="s">
        <v>2295</v>
      </c>
      <c r="C1144" s="57">
        <v>17750243062111</v>
      </c>
      <c r="D1144" s="54" t="s">
        <v>288</v>
      </c>
      <c r="E1144" s="54">
        <v>5</v>
      </c>
      <c r="F1144" s="54">
        <v>9</v>
      </c>
      <c r="G1144" s="54">
        <v>45</v>
      </c>
      <c r="H1144" s="131" t="s">
        <v>2296</v>
      </c>
    </row>
    <row r="1145" spans="1:8">
      <c r="A1145" s="62">
        <v>8406168</v>
      </c>
      <c r="B1145" s="55" t="s">
        <v>2297</v>
      </c>
      <c r="C1145" s="58">
        <v>17750243062128</v>
      </c>
      <c r="D1145" s="55" t="s">
        <v>288</v>
      </c>
      <c r="E1145" s="55">
        <v>5</v>
      </c>
      <c r="F1145" s="55">
        <v>8</v>
      </c>
      <c r="G1145" s="55">
        <v>40</v>
      </c>
      <c r="H1145" s="131" t="s">
        <v>2298</v>
      </c>
    </row>
    <row r="1146" spans="1:8">
      <c r="A1146" s="61">
        <v>8406169</v>
      </c>
      <c r="B1146" s="54" t="s">
        <v>2299</v>
      </c>
      <c r="C1146" s="57">
        <v>17750243062135</v>
      </c>
      <c r="D1146" s="54" t="s">
        <v>288</v>
      </c>
      <c r="E1146" s="54">
        <v>5</v>
      </c>
      <c r="F1146" s="54">
        <v>8</v>
      </c>
      <c r="G1146" s="54">
        <v>40</v>
      </c>
      <c r="H1146" s="131" t="s">
        <v>2300</v>
      </c>
    </row>
    <row r="1147" spans="1:8">
      <c r="A1147" s="62">
        <v>8406170</v>
      </c>
      <c r="B1147" s="55" t="s">
        <v>2301</v>
      </c>
      <c r="C1147" s="58">
        <v>17750243062142</v>
      </c>
      <c r="D1147" s="55" t="s">
        <v>288</v>
      </c>
      <c r="E1147" s="55">
        <v>5</v>
      </c>
      <c r="F1147" s="55">
        <v>6</v>
      </c>
      <c r="G1147" s="55">
        <v>30</v>
      </c>
      <c r="H1147" s="131" t="s">
        <v>2302</v>
      </c>
    </row>
    <row r="1148" spans="1:8">
      <c r="A1148" s="61">
        <v>8406179</v>
      </c>
      <c r="B1148" s="54" t="s">
        <v>2303</v>
      </c>
      <c r="C1148" s="57">
        <v>17750243063736</v>
      </c>
      <c r="D1148" s="54" t="s">
        <v>288</v>
      </c>
      <c r="E1148" s="54">
        <v>5</v>
      </c>
      <c r="F1148" s="54">
        <v>9</v>
      </c>
      <c r="G1148" s="54">
        <v>45</v>
      </c>
      <c r="H1148" s="131" t="s">
        <v>2304</v>
      </c>
    </row>
    <row r="1149" spans="1:8">
      <c r="A1149" s="62">
        <v>8406181</v>
      </c>
      <c r="B1149" s="55" t="s">
        <v>2305</v>
      </c>
      <c r="C1149" s="58">
        <v>17750243064276</v>
      </c>
      <c r="D1149" s="55" t="s">
        <v>288</v>
      </c>
      <c r="E1149" s="55">
        <v>5</v>
      </c>
      <c r="F1149" s="55">
        <v>8</v>
      </c>
      <c r="G1149" s="55">
        <v>40</v>
      </c>
      <c r="H1149" s="131" t="s">
        <v>2306</v>
      </c>
    </row>
    <row r="1150" spans="1:8">
      <c r="A1150" s="61">
        <v>8406183</v>
      </c>
      <c r="B1150" s="54" t="s">
        <v>2307</v>
      </c>
      <c r="C1150" s="57">
        <v>17750243064290</v>
      </c>
      <c r="D1150" s="54" t="s">
        <v>288</v>
      </c>
      <c r="E1150" s="54">
        <v>5</v>
      </c>
      <c r="F1150" s="54">
        <v>7</v>
      </c>
      <c r="G1150" s="54">
        <v>35</v>
      </c>
      <c r="H1150" s="131" t="s">
        <v>2308</v>
      </c>
    </row>
    <row r="1151" spans="1:8">
      <c r="A1151" s="62">
        <v>8406187</v>
      </c>
      <c r="B1151" s="55" t="s">
        <v>2309</v>
      </c>
      <c r="C1151" s="58">
        <v>17750243068557</v>
      </c>
      <c r="D1151" s="55" t="s">
        <v>288</v>
      </c>
      <c r="E1151" s="55">
        <v>5</v>
      </c>
      <c r="F1151" s="55">
        <v>10</v>
      </c>
      <c r="G1151" s="55">
        <v>50</v>
      </c>
      <c r="H1151" s="131" t="s">
        <v>2310</v>
      </c>
    </row>
    <row r="1152" spans="1:8">
      <c r="A1152" s="61">
        <v>8406188</v>
      </c>
      <c r="B1152" s="54" t="s">
        <v>2311</v>
      </c>
      <c r="C1152" s="57">
        <v>17750243068564</v>
      </c>
      <c r="D1152" s="54" t="s">
        <v>288</v>
      </c>
      <c r="E1152" s="54">
        <v>5</v>
      </c>
      <c r="F1152" s="54">
        <v>9</v>
      </c>
      <c r="G1152" s="54">
        <v>45</v>
      </c>
      <c r="H1152" s="131" t="s">
        <v>2312</v>
      </c>
    </row>
    <row r="1153" spans="1:8">
      <c r="A1153" s="62">
        <v>8406189</v>
      </c>
      <c r="B1153" s="55" t="s">
        <v>2313</v>
      </c>
      <c r="C1153" s="58">
        <v>17750243068571</v>
      </c>
      <c r="D1153" s="55" t="s">
        <v>288</v>
      </c>
      <c r="E1153" s="55">
        <v>5</v>
      </c>
      <c r="F1153" s="55">
        <v>9</v>
      </c>
      <c r="G1153" s="55">
        <v>45</v>
      </c>
      <c r="H1153" s="131" t="s">
        <v>2314</v>
      </c>
    </row>
    <row r="1154" spans="1:8">
      <c r="A1154" s="61">
        <v>8406190</v>
      </c>
      <c r="B1154" s="54" t="s">
        <v>2315</v>
      </c>
      <c r="C1154" s="57">
        <v>17750243068588</v>
      </c>
      <c r="D1154" s="54" t="s">
        <v>288</v>
      </c>
      <c r="E1154" s="54">
        <v>5</v>
      </c>
      <c r="F1154" s="54">
        <v>7</v>
      </c>
      <c r="G1154" s="54">
        <v>35</v>
      </c>
      <c r="H1154" s="131" t="s">
        <v>2316</v>
      </c>
    </row>
    <row r="1155" spans="1:8">
      <c r="A1155" s="62">
        <v>8406191</v>
      </c>
      <c r="B1155" s="55" t="s">
        <v>2317</v>
      </c>
      <c r="C1155" s="58">
        <v>17750243068595</v>
      </c>
      <c r="D1155" s="55" t="s">
        <v>288</v>
      </c>
      <c r="E1155" s="55">
        <v>5</v>
      </c>
      <c r="F1155" s="55">
        <v>6</v>
      </c>
      <c r="G1155" s="55">
        <v>30</v>
      </c>
      <c r="H1155" s="131" t="s">
        <v>2318</v>
      </c>
    </row>
    <row r="1156" spans="1:8">
      <c r="A1156" s="61">
        <v>8406192</v>
      </c>
      <c r="B1156" s="54" t="s">
        <v>2319</v>
      </c>
      <c r="C1156" s="57">
        <v>17750243069073</v>
      </c>
      <c r="D1156" s="54" t="s">
        <v>288</v>
      </c>
      <c r="E1156" s="54">
        <v>5</v>
      </c>
      <c r="F1156" s="54">
        <v>7</v>
      </c>
      <c r="G1156" s="54">
        <v>35</v>
      </c>
      <c r="H1156" s="131" t="s">
        <v>2320</v>
      </c>
    </row>
    <row r="1157" spans="1:8">
      <c r="A1157" s="62">
        <v>8406193</v>
      </c>
      <c r="B1157" s="55" t="s">
        <v>2321</v>
      </c>
      <c r="C1157" s="58">
        <v>17750243069080</v>
      </c>
      <c r="D1157" s="55" t="s">
        <v>288</v>
      </c>
      <c r="E1157" s="55">
        <v>5</v>
      </c>
      <c r="F1157" s="55">
        <v>6</v>
      </c>
      <c r="G1157" s="55">
        <v>30</v>
      </c>
      <c r="H1157" s="131" t="s">
        <v>2322</v>
      </c>
    </row>
    <row r="1158" spans="1:8">
      <c r="A1158" s="61">
        <v>8406194</v>
      </c>
      <c r="B1158" s="54" t="s">
        <v>2323</v>
      </c>
      <c r="C1158" s="57">
        <v>17750243069967</v>
      </c>
      <c r="D1158" s="54" t="s">
        <v>288</v>
      </c>
      <c r="E1158" s="54">
        <v>5</v>
      </c>
      <c r="F1158" s="54">
        <v>9</v>
      </c>
      <c r="G1158" s="54">
        <v>45</v>
      </c>
      <c r="H1158" s="131" t="s">
        <v>2324</v>
      </c>
    </row>
    <row r="1159" spans="1:8">
      <c r="A1159" s="62">
        <v>8406195</v>
      </c>
      <c r="B1159" s="55" t="s">
        <v>2325</v>
      </c>
      <c r="C1159" s="58">
        <v>17750243076903</v>
      </c>
      <c r="D1159" s="55" t="s">
        <v>288</v>
      </c>
      <c r="E1159" s="55">
        <v>5</v>
      </c>
      <c r="F1159" s="55">
        <v>9</v>
      </c>
      <c r="G1159" s="55">
        <v>45</v>
      </c>
      <c r="H1159" s="131" t="s">
        <v>2326</v>
      </c>
    </row>
    <row r="1160" spans="1:8">
      <c r="A1160" s="61">
        <v>8406196</v>
      </c>
      <c r="B1160" s="54" t="s">
        <v>2327</v>
      </c>
      <c r="C1160" s="57">
        <v>17750243076910</v>
      </c>
      <c r="D1160" s="54" t="s">
        <v>288</v>
      </c>
      <c r="E1160" s="54">
        <v>5</v>
      </c>
      <c r="F1160" s="54">
        <v>9</v>
      </c>
      <c r="G1160" s="54">
        <v>45</v>
      </c>
      <c r="H1160" s="131" t="s">
        <v>2328</v>
      </c>
    </row>
    <row r="1161" spans="1:8">
      <c r="A1161" s="62">
        <v>8406197</v>
      </c>
      <c r="B1161" s="55" t="s">
        <v>2329</v>
      </c>
      <c r="C1161" s="58">
        <v>17750243076927</v>
      </c>
      <c r="D1161" s="55" t="s">
        <v>288</v>
      </c>
      <c r="E1161" s="55">
        <v>5</v>
      </c>
      <c r="F1161" s="55">
        <v>7</v>
      </c>
      <c r="G1161" s="55">
        <v>35</v>
      </c>
      <c r="H1161" s="131" t="s">
        <v>2330</v>
      </c>
    </row>
    <row r="1162" spans="1:8">
      <c r="A1162" s="61">
        <v>8406198</v>
      </c>
      <c r="B1162" s="54" t="s">
        <v>2331</v>
      </c>
      <c r="C1162" s="57">
        <v>17750243076934</v>
      </c>
      <c r="D1162" s="54" t="s">
        <v>288</v>
      </c>
      <c r="E1162" s="54">
        <v>5</v>
      </c>
      <c r="F1162" s="54">
        <v>10</v>
      </c>
      <c r="G1162" s="54">
        <v>50</v>
      </c>
      <c r="H1162" s="131" t="s">
        <v>2332</v>
      </c>
    </row>
    <row r="1163" spans="1:8">
      <c r="A1163" s="62">
        <v>8406200</v>
      </c>
      <c r="B1163" s="55" t="s">
        <v>2333</v>
      </c>
      <c r="C1163" s="58">
        <v>17750243077030</v>
      </c>
      <c r="D1163" s="55" t="s">
        <v>288</v>
      </c>
      <c r="E1163" s="55">
        <v>5</v>
      </c>
      <c r="F1163" s="55">
        <v>6</v>
      </c>
      <c r="G1163" s="55">
        <v>30</v>
      </c>
      <c r="H1163" s="131" t="s">
        <v>2334</v>
      </c>
    </row>
    <row r="1164" spans="1:8">
      <c r="A1164" s="61">
        <v>8406202</v>
      </c>
      <c r="B1164" s="54" t="s">
        <v>2335</v>
      </c>
      <c r="C1164" s="57">
        <v>17750243078662</v>
      </c>
      <c r="D1164" s="54" t="s">
        <v>288</v>
      </c>
      <c r="E1164" s="54">
        <v>5</v>
      </c>
      <c r="F1164" s="54">
        <v>6</v>
      </c>
      <c r="G1164" s="54">
        <v>30</v>
      </c>
      <c r="H1164" s="131" t="s">
        <v>2336</v>
      </c>
    </row>
    <row r="1165" spans="1:8">
      <c r="A1165" s="62">
        <v>8406203</v>
      </c>
      <c r="B1165" s="55" t="s">
        <v>2337</v>
      </c>
      <c r="C1165" s="58">
        <v>17750243078679</v>
      </c>
      <c r="D1165" s="55" t="s">
        <v>288</v>
      </c>
      <c r="E1165" s="55">
        <v>5</v>
      </c>
      <c r="F1165" s="55">
        <v>6</v>
      </c>
      <c r="G1165" s="55">
        <v>30</v>
      </c>
      <c r="H1165" s="131" t="s">
        <v>2338</v>
      </c>
    </row>
    <row r="1166" spans="1:8">
      <c r="A1166" s="61">
        <v>8406204</v>
      </c>
      <c r="B1166" s="54" t="s">
        <v>2339</v>
      </c>
      <c r="C1166" s="57">
        <v>17750243078686</v>
      </c>
      <c r="D1166" s="54" t="s">
        <v>288</v>
      </c>
      <c r="E1166" s="54">
        <v>5</v>
      </c>
      <c r="F1166" s="54">
        <v>6</v>
      </c>
      <c r="G1166" s="54">
        <v>30</v>
      </c>
      <c r="H1166" s="131" t="s">
        <v>2340</v>
      </c>
    </row>
    <row r="1167" spans="1:8">
      <c r="A1167" s="62">
        <v>8406206</v>
      </c>
      <c r="B1167" s="55" t="s">
        <v>2255</v>
      </c>
      <c r="C1167" s="58">
        <v>17750243078716</v>
      </c>
      <c r="D1167" s="55" t="s">
        <v>288</v>
      </c>
      <c r="E1167" s="55">
        <v>5</v>
      </c>
      <c r="F1167" s="55">
        <v>5</v>
      </c>
      <c r="G1167" s="55">
        <v>25</v>
      </c>
      <c r="H1167" s="131" t="s">
        <v>2341</v>
      </c>
    </row>
    <row r="1168" spans="1:8">
      <c r="A1168" s="61">
        <v>8406207</v>
      </c>
      <c r="B1168" s="54" t="s">
        <v>2342</v>
      </c>
      <c r="C1168" s="57">
        <v>17750243079188</v>
      </c>
      <c r="D1168" s="54" t="s">
        <v>288</v>
      </c>
      <c r="E1168" s="54">
        <v>5</v>
      </c>
      <c r="F1168" s="54">
        <v>9</v>
      </c>
      <c r="G1168" s="54">
        <v>45</v>
      </c>
      <c r="H1168" s="131" t="s">
        <v>2343</v>
      </c>
    </row>
    <row r="1169" spans="1:8">
      <c r="A1169" s="62">
        <v>8406208</v>
      </c>
      <c r="B1169" s="55" t="s">
        <v>2344</v>
      </c>
      <c r="C1169" s="58">
        <v>17750243079195</v>
      </c>
      <c r="D1169" s="55" t="s">
        <v>288</v>
      </c>
      <c r="E1169" s="55">
        <v>5</v>
      </c>
      <c r="F1169" s="55">
        <v>9</v>
      </c>
      <c r="G1169" s="55">
        <v>45</v>
      </c>
      <c r="H1169" s="131" t="s">
        <v>2345</v>
      </c>
    </row>
    <row r="1170" spans="1:8">
      <c r="A1170" s="61">
        <v>8406209</v>
      </c>
      <c r="B1170" s="54" t="s">
        <v>2346</v>
      </c>
      <c r="C1170" s="57">
        <v>17750243079201</v>
      </c>
      <c r="D1170" s="54" t="s">
        <v>288</v>
      </c>
      <c r="E1170" s="54">
        <v>5</v>
      </c>
      <c r="F1170" s="54">
        <v>9</v>
      </c>
      <c r="G1170" s="54">
        <v>45</v>
      </c>
      <c r="H1170" s="131" t="s">
        <v>2347</v>
      </c>
    </row>
    <row r="1171" spans="1:8">
      <c r="A1171" s="62">
        <v>8406210</v>
      </c>
      <c r="B1171" s="55" t="s">
        <v>2259</v>
      </c>
      <c r="C1171" s="58">
        <v>17750243079218</v>
      </c>
      <c r="D1171" s="55" t="s">
        <v>288</v>
      </c>
      <c r="E1171" s="55">
        <v>5</v>
      </c>
      <c r="F1171" s="55">
        <v>9</v>
      </c>
      <c r="G1171" s="55">
        <v>45</v>
      </c>
      <c r="H1171" s="131" t="s">
        <v>2348</v>
      </c>
    </row>
    <row r="1172" spans="1:8">
      <c r="A1172" s="61">
        <v>8406211</v>
      </c>
      <c r="B1172" s="54" t="s">
        <v>2349</v>
      </c>
      <c r="C1172" s="57">
        <v>17750243079225</v>
      </c>
      <c r="D1172" s="54" t="s">
        <v>288</v>
      </c>
      <c r="E1172" s="54">
        <v>5</v>
      </c>
      <c r="F1172" s="54">
        <v>9</v>
      </c>
      <c r="G1172" s="54">
        <v>45</v>
      </c>
      <c r="H1172" s="131" t="s">
        <v>2350</v>
      </c>
    </row>
    <row r="1173" spans="1:8">
      <c r="A1173" s="62">
        <v>8406212</v>
      </c>
      <c r="B1173" s="55" t="s">
        <v>2261</v>
      </c>
      <c r="C1173" s="58">
        <v>17750243079232</v>
      </c>
      <c r="D1173" s="55" t="s">
        <v>288</v>
      </c>
      <c r="E1173" s="55">
        <v>5</v>
      </c>
      <c r="F1173" s="55">
        <v>10</v>
      </c>
      <c r="G1173" s="55">
        <v>50</v>
      </c>
      <c r="H1173" s="131" t="s">
        <v>2351</v>
      </c>
    </row>
    <row r="1174" spans="1:8">
      <c r="A1174" s="61">
        <v>8406214</v>
      </c>
      <c r="B1174" s="54" t="s">
        <v>2352</v>
      </c>
      <c r="C1174" s="57">
        <v>17750243083284</v>
      </c>
      <c r="D1174" s="54" t="s">
        <v>288</v>
      </c>
      <c r="E1174" s="54">
        <v>5</v>
      </c>
      <c r="F1174" s="54">
        <v>8</v>
      </c>
      <c r="G1174" s="54">
        <v>40</v>
      </c>
      <c r="H1174" s="131" t="s">
        <v>2353</v>
      </c>
    </row>
    <row r="1175" spans="1:8">
      <c r="A1175" s="62">
        <v>8406216</v>
      </c>
      <c r="B1175" s="55" t="s">
        <v>2354</v>
      </c>
      <c r="C1175" s="58">
        <v>37750243080591</v>
      </c>
      <c r="D1175" s="55" t="s">
        <v>288</v>
      </c>
      <c r="E1175" s="55">
        <v>5</v>
      </c>
      <c r="F1175" s="55">
        <v>7</v>
      </c>
      <c r="G1175" s="55">
        <v>35</v>
      </c>
      <c r="H1175" s="131" t="s">
        <v>2355</v>
      </c>
    </row>
    <row r="1176" spans="1:8">
      <c r="A1176" s="61">
        <v>8406217</v>
      </c>
      <c r="B1176" s="54" t="s">
        <v>2356</v>
      </c>
      <c r="C1176" s="57">
        <v>37750243080621</v>
      </c>
      <c r="D1176" s="54" t="s">
        <v>288</v>
      </c>
      <c r="E1176" s="54">
        <v>5</v>
      </c>
      <c r="F1176" s="54">
        <v>10</v>
      </c>
      <c r="G1176" s="54">
        <v>50</v>
      </c>
      <c r="H1176" s="131" t="s">
        <v>2357</v>
      </c>
    </row>
    <row r="1177" spans="1:8">
      <c r="A1177" s="62">
        <v>8406218</v>
      </c>
      <c r="B1177" s="55" t="s">
        <v>2358</v>
      </c>
      <c r="C1177" s="58">
        <v>37750243080638</v>
      </c>
      <c r="D1177" s="55" t="s">
        <v>288</v>
      </c>
      <c r="E1177" s="55">
        <v>5</v>
      </c>
      <c r="F1177" s="55">
        <v>10</v>
      </c>
      <c r="G1177" s="55">
        <v>50</v>
      </c>
      <c r="H1177" s="131" t="s">
        <v>2359</v>
      </c>
    </row>
    <row r="1178" spans="1:8">
      <c r="A1178" s="61">
        <v>8406219</v>
      </c>
      <c r="B1178" s="54" t="s">
        <v>2360</v>
      </c>
      <c r="C1178" s="57">
        <v>37750243080645</v>
      </c>
      <c r="D1178" s="54" t="s">
        <v>288</v>
      </c>
      <c r="E1178" s="54">
        <v>5</v>
      </c>
      <c r="F1178" s="54">
        <v>10</v>
      </c>
      <c r="G1178" s="54">
        <v>50</v>
      </c>
      <c r="H1178" s="131" t="s">
        <v>2361</v>
      </c>
    </row>
    <row r="1179" spans="1:8">
      <c r="A1179" s="62">
        <v>8406220</v>
      </c>
      <c r="B1179" s="55" t="s">
        <v>2362</v>
      </c>
      <c r="C1179" s="58">
        <v>17750243088920</v>
      </c>
      <c r="D1179" s="55" t="s">
        <v>288</v>
      </c>
      <c r="E1179" s="55">
        <v>5</v>
      </c>
      <c r="F1179" s="55">
        <v>10</v>
      </c>
      <c r="G1179" s="55">
        <v>50</v>
      </c>
      <c r="H1179" s="131" t="s">
        <v>2363</v>
      </c>
    </row>
    <row r="1180" spans="1:8">
      <c r="A1180" s="61">
        <v>8406221</v>
      </c>
      <c r="B1180" s="54" t="s">
        <v>2364</v>
      </c>
      <c r="C1180" s="57">
        <v>17750243088937</v>
      </c>
      <c r="D1180" s="54" t="s">
        <v>288</v>
      </c>
      <c r="E1180" s="54">
        <v>5</v>
      </c>
      <c r="F1180" s="54">
        <v>10</v>
      </c>
      <c r="G1180" s="54">
        <v>50</v>
      </c>
      <c r="H1180" s="131" t="s">
        <v>2365</v>
      </c>
    </row>
    <row r="1181" spans="1:8">
      <c r="A1181" s="62">
        <v>8406222</v>
      </c>
      <c r="B1181" s="55" t="s">
        <v>2366</v>
      </c>
      <c r="C1181" s="58">
        <v>17750243088944</v>
      </c>
      <c r="D1181" s="55" t="s">
        <v>288</v>
      </c>
      <c r="E1181" s="55">
        <v>5</v>
      </c>
      <c r="F1181" s="55">
        <v>10</v>
      </c>
      <c r="G1181" s="55">
        <v>50</v>
      </c>
      <c r="H1181" s="131" t="s">
        <v>2367</v>
      </c>
    </row>
    <row r="1182" spans="1:8">
      <c r="A1182" s="61">
        <v>8406223</v>
      </c>
      <c r="B1182" s="54" t="s">
        <v>2368</v>
      </c>
      <c r="C1182" s="57">
        <v>17750243088951</v>
      </c>
      <c r="D1182" s="54" t="s">
        <v>288</v>
      </c>
      <c r="E1182" s="54">
        <v>5</v>
      </c>
      <c r="F1182" s="54">
        <v>10</v>
      </c>
      <c r="G1182" s="54">
        <v>50</v>
      </c>
      <c r="H1182" s="131" t="s">
        <v>2369</v>
      </c>
    </row>
    <row r="1183" spans="1:8">
      <c r="A1183" s="62">
        <v>8406224</v>
      </c>
      <c r="B1183" s="55" t="s">
        <v>2370</v>
      </c>
      <c r="C1183" s="58">
        <v>17750243088968</v>
      </c>
      <c r="D1183" s="55" t="s">
        <v>288</v>
      </c>
      <c r="E1183" s="55">
        <v>5</v>
      </c>
      <c r="F1183" s="55">
        <v>10</v>
      </c>
      <c r="G1183" s="55">
        <v>50</v>
      </c>
      <c r="H1183" s="131" t="s">
        <v>2371</v>
      </c>
    </row>
    <row r="1184" spans="1:8">
      <c r="A1184" s="61">
        <v>8406225</v>
      </c>
      <c r="B1184" s="54" t="s">
        <v>2372</v>
      </c>
      <c r="C1184" s="57">
        <v>17750243088975</v>
      </c>
      <c r="D1184" s="54" t="s">
        <v>288</v>
      </c>
      <c r="E1184" s="54">
        <v>5</v>
      </c>
      <c r="F1184" s="54">
        <v>10</v>
      </c>
      <c r="G1184" s="54">
        <v>50</v>
      </c>
      <c r="H1184" s="131" t="s">
        <v>2373</v>
      </c>
    </row>
    <row r="1185" spans="1:8">
      <c r="A1185" s="62">
        <v>8406226</v>
      </c>
      <c r="B1185" s="55" t="s">
        <v>2374</v>
      </c>
      <c r="C1185" s="58">
        <v>17750243088982</v>
      </c>
      <c r="D1185" s="55" t="s">
        <v>288</v>
      </c>
      <c r="E1185" s="55">
        <v>5</v>
      </c>
      <c r="F1185" s="55">
        <v>10</v>
      </c>
      <c r="G1185" s="55">
        <v>50</v>
      </c>
      <c r="H1185" s="131" t="s">
        <v>2375</v>
      </c>
    </row>
    <row r="1186" spans="1:8">
      <c r="A1186" s="61">
        <v>8406227</v>
      </c>
      <c r="B1186" s="54" t="s">
        <v>2376</v>
      </c>
      <c r="C1186" s="57">
        <v>17750243088999</v>
      </c>
      <c r="D1186" s="54" t="s">
        <v>288</v>
      </c>
      <c r="E1186" s="54">
        <v>5</v>
      </c>
      <c r="F1186" s="54">
        <v>10</v>
      </c>
      <c r="G1186" s="54">
        <v>50</v>
      </c>
      <c r="H1186" s="131" t="s">
        <v>2377</v>
      </c>
    </row>
    <row r="1187" spans="1:8">
      <c r="A1187" s="62">
        <v>8406228</v>
      </c>
      <c r="B1187" s="55" t="s">
        <v>2378</v>
      </c>
      <c r="C1187" s="58">
        <v>17750243089002</v>
      </c>
      <c r="D1187" s="55" t="s">
        <v>288</v>
      </c>
      <c r="E1187" s="55">
        <v>5</v>
      </c>
      <c r="F1187" s="55">
        <v>10</v>
      </c>
      <c r="G1187" s="55">
        <v>50</v>
      </c>
      <c r="H1187" s="133" t="s">
        <v>2379</v>
      </c>
    </row>
    <row r="1188" spans="1:8">
      <c r="A1188" s="61">
        <v>8406229</v>
      </c>
      <c r="B1188" s="54" t="s">
        <v>2380</v>
      </c>
      <c r="C1188" s="57">
        <v>17750243089019</v>
      </c>
      <c r="D1188" s="54" t="s">
        <v>288</v>
      </c>
      <c r="E1188" s="54">
        <v>5</v>
      </c>
      <c r="F1188" s="54">
        <v>10</v>
      </c>
      <c r="G1188" s="54">
        <v>50</v>
      </c>
      <c r="H1188" s="131" t="s">
        <v>2381</v>
      </c>
    </row>
    <row r="1189" spans="1:8">
      <c r="A1189" s="62">
        <v>8408018</v>
      </c>
      <c r="B1189" s="55" t="s">
        <v>2382</v>
      </c>
      <c r="C1189" s="58">
        <v>17750243054550</v>
      </c>
      <c r="D1189" s="55" t="s">
        <v>288</v>
      </c>
      <c r="E1189" s="55">
        <v>5</v>
      </c>
      <c r="F1189" s="55">
        <v>10</v>
      </c>
      <c r="G1189" s="55">
        <v>50</v>
      </c>
      <c r="H1189" s="131" t="s">
        <v>2383</v>
      </c>
    </row>
    <row r="1190" spans="1:8">
      <c r="A1190" s="61">
        <v>8408031</v>
      </c>
      <c r="B1190" s="54" t="s">
        <v>2384</v>
      </c>
      <c r="C1190" s="57">
        <v>7750243062237</v>
      </c>
      <c r="D1190" s="54" t="s">
        <v>100</v>
      </c>
      <c r="E1190" s="54">
        <v>4</v>
      </c>
      <c r="F1190" s="54">
        <v>8</v>
      </c>
      <c r="G1190" s="54">
        <v>32</v>
      </c>
      <c r="H1190" s="131" t="s">
        <v>2385</v>
      </c>
    </row>
    <row r="1191" spans="1:8">
      <c r="A1191" s="62">
        <v>8408032</v>
      </c>
      <c r="B1191" s="55" t="s">
        <v>2386</v>
      </c>
      <c r="C1191" s="58">
        <v>17750243068601</v>
      </c>
      <c r="D1191" s="55" t="s">
        <v>288</v>
      </c>
      <c r="E1191" s="55">
        <v>5</v>
      </c>
      <c r="F1191" s="55">
        <v>10</v>
      </c>
      <c r="G1191" s="55">
        <v>50</v>
      </c>
      <c r="H1191" s="131" t="s">
        <v>2387</v>
      </c>
    </row>
    <row r="1192" spans="1:8">
      <c r="A1192" s="61">
        <v>8408033</v>
      </c>
      <c r="B1192" s="54" t="s">
        <v>2388</v>
      </c>
      <c r="C1192" s="57">
        <v>17750243068618</v>
      </c>
      <c r="D1192" s="54" t="s">
        <v>288</v>
      </c>
      <c r="E1192" s="54">
        <v>5</v>
      </c>
      <c r="F1192" s="54">
        <v>10</v>
      </c>
      <c r="G1192" s="54">
        <v>50</v>
      </c>
      <c r="H1192" s="131" t="s">
        <v>2389</v>
      </c>
    </row>
    <row r="1193" spans="1:8">
      <c r="A1193" s="62">
        <v>8408034</v>
      </c>
      <c r="B1193" s="55" t="s">
        <v>2390</v>
      </c>
      <c r="C1193" s="58">
        <v>17750243068625</v>
      </c>
      <c r="D1193" s="55" t="s">
        <v>288</v>
      </c>
      <c r="E1193" s="55">
        <v>5</v>
      </c>
      <c r="F1193" s="55">
        <v>10</v>
      </c>
      <c r="G1193" s="55">
        <v>50</v>
      </c>
      <c r="H1193" s="131" t="s">
        <v>2391</v>
      </c>
    </row>
    <row r="1194" spans="1:8">
      <c r="A1194" s="61">
        <v>8408036</v>
      </c>
      <c r="B1194" s="54" t="s">
        <v>2392</v>
      </c>
      <c r="C1194" s="57">
        <v>7750243075077</v>
      </c>
      <c r="D1194" s="54" t="s">
        <v>100</v>
      </c>
      <c r="E1194" s="54">
        <v>4</v>
      </c>
      <c r="F1194" s="54">
        <v>8</v>
      </c>
      <c r="G1194" s="54">
        <v>32</v>
      </c>
      <c r="H1194" s="131" t="s">
        <v>2393</v>
      </c>
    </row>
    <row r="1195" spans="1:8">
      <c r="A1195" s="62">
        <v>8408037</v>
      </c>
      <c r="B1195" s="55" t="s">
        <v>2394</v>
      </c>
      <c r="C1195" s="58">
        <v>17750243078389</v>
      </c>
      <c r="D1195" s="55" t="s">
        <v>288</v>
      </c>
      <c r="E1195" s="55">
        <v>5</v>
      </c>
      <c r="F1195" s="55">
        <v>10</v>
      </c>
      <c r="G1195" s="55">
        <v>50</v>
      </c>
      <c r="H1195" s="131" t="s">
        <v>2395</v>
      </c>
    </row>
    <row r="1196" spans="1:8">
      <c r="A1196" s="61">
        <v>8408038</v>
      </c>
      <c r="B1196" s="54" t="s">
        <v>2396</v>
      </c>
      <c r="C1196" s="57">
        <v>17750243078396</v>
      </c>
      <c r="D1196" s="54" t="s">
        <v>288</v>
      </c>
      <c r="E1196" s="54">
        <v>5</v>
      </c>
      <c r="F1196" s="54">
        <v>10</v>
      </c>
      <c r="G1196" s="54">
        <v>50</v>
      </c>
      <c r="H1196" s="131" t="s">
        <v>2397</v>
      </c>
    </row>
    <row r="1197" spans="1:8">
      <c r="A1197" s="62">
        <v>8408039</v>
      </c>
      <c r="B1197" s="55" t="s">
        <v>2398</v>
      </c>
      <c r="C1197" s="58">
        <v>17750243078402</v>
      </c>
      <c r="D1197" s="55" t="s">
        <v>288</v>
      </c>
      <c r="E1197" s="55">
        <v>5</v>
      </c>
      <c r="F1197" s="55">
        <v>10</v>
      </c>
      <c r="G1197" s="55">
        <v>50</v>
      </c>
      <c r="H1197" s="131" t="s">
        <v>2399</v>
      </c>
    </row>
    <row r="1198" spans="1:8">
      <c r="A1198" s="61">
        <v>8408040</v>
      </c>
      <c r="B1198" s="54" t="s">
        <v>2400</v>
      </c>
      <c r="C1198" s="57">
        <v>7750243078474</v>
      </c>
      <c r="D1198" s="54" t="s">
        <v>100</v>
      </c>
      <c r="E1198" s="54">
        <v>4</v>
      </c>
      <c r="F1198" s="54">
        <v>9</v>
      </c>
      <c r="G1198" s="54">
        <v>36</v>
      </c>
      <c r="H1198" s="131" t="s">
        <v>2401</v>
      </c>
    </row>
    <row r="1199" spans="1:8">
      <c r="A1199" s="62">
        <v>8408041</v>
      </c>
      <c r="B1199" s="55" t="s">
        <v>2402</v>
      </c>
      <c r="C1199" s="58">
        <v>17750243079683</v>
      </c>
      <c r="D1199" s="55" t="s">
        <v>288</v>
      </c>
      <c r="E1199" s="55">
        <v>5</v>
      </c>
      <c r="F1199" s="55">
        <v>8</v>
      </c>
      <c r="G1199" s="55">
        <v>40</v>
      </c>
      <c r="H1199" s="131" t="s">
        <v>2403</v>
      </c>
    </row>
    <row r="1200" spans="1:8">
      <c r="A1200" s="61">
        <v>8408042</v>
      </c>
      <c r="B1200" s="54" t="s">
        <v>2404</v>
      </c>
      <c r="C1200" s="57">
        <v>7750243081214</v>
      </c>
      <c r="D1200" s="54" t="s">
        <v>100</v>
      </c>
      <c r="E1200" s="54">
        <v>4</v>
      </c>
      <c r="F1200" s="54">
        <v>9</v>
      </c>
      <c r="G1200" s="54">
        <v>36</v>
      </c>
      <c r="H1200" s="131" t="s">
        <v>2405</v>
      </c>
    </row>
    <row r="1201" spans="1:8">
      <c r="A1201" s="62">
        <v>8408044</v>
      </c>
      <c r="B1201" s="55" t="s">
        <v>2406</v>
      </c>
      <c r="C1201" s="58">
        <v>17750243083888</v>
      </c>
      <c r="D1201" s="55" t="s">
        <v>288</v>
      </c>
      <c r="E1201" s="55">
        <v>5</v>
      </c>
      <c r="F1201" s="55">
        <v>7</v>
      </c>
      <c r="G1201" s="55">
        <v>35</v>
      </c>
      <c r="H1201" s="131" t="s">
        <v>2407</v>
      </c>
    </row>
    <row r="1202" spans="1:8">
      <c r="A1202" s="61">
        <v>8408045</v>
      </c>
      <c r="B1202" s="54" t="s">
        <v>2408</v>
      </c>
      <c r="C1202" s="57">
        <v>7750243086424</v>
      </c>
      <c r="D1202" s="54" t="s">
        <v>100</v>
      </c>
      <c r="E1202" s="54">
        <v>4</v>
      </c>
      <c r="F1202" s="54">
        <v>9</v>
      </c>
      <c r="G1202" s="54">
        <v>36</v>
      </c>
      <c r="H1202" s="131" t="s">
        <v>2409</v>
      </c>
    </row>
    <row r="1203" spans="1:8">
      <c r="A1203" s="62">
        <v>8408046</v>
      </c>
      <c r="B1203" s="55" t="s">
        <v>2410</v>
      </c>
      <c r="C1203" s="58">
        <v>7750243087698</v>
      </c>
      <c r="D1203" s="55" t="s">
        <v>100</v>
      </c>
      <c r="E1203" s="55">
        <v>4</v>
      </c>
      <c r="F1203" s="55">
        <v>9</v>
      </c>
      <c r="G1203" s="55">
        <v>36</v>
      </c>
      <c r="H1203" s="131" t="s">
        <v>2411</v>
      </c>
    </row>
    <row r="1204" spans="1:8">
      <c r="A1204" s="61">
        <v>8408047</v>
      </c>
      <c r="B1204" s="54" t="s">
        <v>2412</v>
      </c>
      <c r="C1204" s="57">
        <v>7750243087704</v>
      </c>
      <c r="D1204" s="54" t="s">
        <v>100</v>
      </c>
      <c r="E1204" s="54">
        <v>4</v>
      </c>
      <c r="F1204" s="54">
        <v>9</v>
      </c>
      <c r="G1204" s="54">
        <v>36</v>
      </c>
      <c r="H1204" s="131" t="s">
        <v>2413</v>
      </c>
    </row>
    <row r="1205" spans="1:8">
      <c r="A1205" s="62">
        <v>8408048</v>
      </c>
      <c r="B1205" s="55" t="s">
        <v>2414</v>
      </c>
      <c r="C1205" s="58">
        <v>7750243087711</v>
      </c>
      <c r="D1205" s="55" t="s">
        <v>100</v>
      </c>
      <c r="E1205" s="55">
        <v>4</v>
      </c>
      <c r="F1205" s="55">
        <v>9</v>
      </c>
      <c r="G1205" s="55">
        <v>36</v>
      </c>
      <c r="H1205" s="131" t="s">
        <v>2415</v>
      </c>
    </row>
    <row r="1206" spans="1:8">
      <c r="A1206" s="61">
        <v>8408049</v>
      </c>
      <c r="B1206" s="54" t="s">
        <v>2416</v>
      </c>
      <c r="C1206" s="57">
        <v>17750243087725</v>
      </c>
      <c r="D1206" s="54" t="s">
        <v>288</v>
      </c>
      <c r="E1206" s="54">
        <v>5</v>
      </c>
      <c r="F1206" s="54">
        <v>10</v>
      </c>
      <c r="G1206" s="54">
        <v>50</v>
      </c>
      <c r="H1206" s="131" t="s">
        <v>2417</v>
      </c>
    </row>
    <row r="1207" spans="1:8">
      <c r="A1207" s="62">
        <v>8408050</v>
      </c>
      <c r="B1207" s="55" t="s">
        <v>2418</v>
      </c>
      <c r="C1207" s="58">
        <v>17750243087732</v>
      </c>
      <c r="D1207" s="55" t="s">
        <v>288</v>
      </c>
      <c r="E1207" s="55">
        <v>5</v>
      </c>
      <c r="F1207" s="55">
        <v>10</v>
      </c>
      <c r="G1207" s="55">
        <v>50</v>
      </c>
      <c r="H1207" s="131" t="s">
        <v>2419</v>
      </c>
    </row>
    <row r="1208" spans="1:8">
      <c r="A1208" s="61">
        <v>8408051</v>
      </c>
      <c r="B1208" s="54" t="s">
        <v>2420</v>
      </c>
      <c r="C1208" s="57">
        <v>17750243087749</v>
      </c>
      <c r="D1208" s="54" t="s">
        <v>288</v>
      </c>
      <c r="E1208" s="54">
        <v>5</v>
      </c>
      <c r="F1208" s="54">
        <v>10</v>
      </c>
      <c r="G1208" s="54">
        <v>50</v>
      </c>
      <c r="H1208" s="131" t="s">
        <v>2421</v>
      </c>
    </row>
    <row r="1209" spans="1:8">
      <c r="A1209" s="62">
        <v>8408052</v>
      </c>
      <c r="B1209" s="55" t="s">
        <v>2422</v>
      </c>
      <c r="C1209" s="58">
        <v>17750243087756</v>
      </c>
      <c r="D1209" s="55" t="s">
        <v>288</v>
      </c>
      <c r="E1209" s="55">
        <v>5</v>
      </c>
      <c r="F1209" s="55">
        <v>9</v>
      </c>
      <c r="G1209" s="55">
        <v>45</v>
      </c>
      <c r="H1209" s="131" t="s">
        <v>2423</v>
      </c>
    </row>
    <row r="1210" spans="1:8">
      <c r="A1210" s="61">
        <v>8408053</v>
      </c>
      <c r="B1210" s="54" t="s">
        <v>2424</v>
      </c>
      <c r="C1210" s="57">
        <v>17750243087763</v>
      </c>
      <c r="D1210" s="54" t="s">
        <v>288</v>
      </c>
      <c r="E1210" s="54">
        <v>5</v>
      </c>
      <c r="F1210" s="54">
        <v>9</v>
      </c>
      <c r="G1210" s="54">
        <v>45</v>
      </c>
      <c r="H1210" s="131" t="s">
        <v>2425</v>
      </c>
    </row>
    <row r="1211" spans="1:8">
      <c r="A1211" s="62">
        <v>8408054</v>
      </c>
      <c r="B1211" s="55" t="s">
        <v>2426</v>
      </c>
      <c r="C1211" s="58">
        <v>17750243087770</v>
      </c>
      <c r="D1211" s="55" t="s">
        <v>288</v>
      </c>
      <c r="E1211" s="55">
        <v>5</v>
      </c>
      <c r="F1211" s="55">
        <v>9</v>
      </c>
      <c r="G1211" s="55">
        <v>45</v>
      </c>
      <c r="H1211" s="131" t="s">
        <v>2427</v>
      </c>
    </row>
    <row r="1212" spans="1:8">
      <c r="A1212" s="61">
        <v>8408055</v>
      </c>
      <c r="B1212" s="54" t="s">
        <v>2428</v>
      </c>
      <c r="C1212" s="57">
        <v>17750243087787</v>
      </c>
      <c r="D1212" s="54" t="s">
        <v>288</v>
      </c>
      <c r="E1212" s="54">
        <v>5</v>
      </c>
      <c r="F1212" s="54">
        <v>9</v>
      </c>
      <c r="G1212" s="54">
        <v>45</v>
      </c>
      <c r="H1212" s="131" t="s">
        <v>2429</v>
      </c>
    </row>
    <row r="1213" spans="1:8">
      <c r="A1213" s="62">
        <v>8408057</v>
      </c>
      <c r="B1213" s="55" t="s">
        <v>2430</v>
      </c>
      <c r="C1213" s="58">
        <v>17750243087800</v>
      </c>
      <c r="D1213" s="55" t="s">
        <v>288</v>
      </c>
      <c r="E1213" s="55">
        <v>5</v>
      </c>
      <c r="F1213" s="55">
        <v>9</v>
      </c>
      <c r="G1213" s="55">
        <v>45</v>
      </c>
      <c r="H1213" s="131" t="s">
        <v>2431</v>
      </c>
    </row>
    <row r="1214" spans="1:8">
      <c r="A1214" s="61">
        <v>8408058</v>
      </c>
      <c r="B1214" s="54" t="s">
        <v>2432</v>
      </c>
      <c r="C1214" s="57">
        <v>17750243087817</v>
      </c>
      <c r="D1214" s="54" t="s">
        <v>288</v>
      </c>
      <c r="E1214" s="54">
        <v>5</v>
      </c>
      <c r="F1214" s="54">
        <v>10</v>
      </c>
      <c r="G1214" s="54">
        <v>50</v>
      </c>
      <c r="H1214" s="131" t="s">
        <v>2433</v>
      </c>
    </row>
    <row r="1215" spans="1:8">
      <c r="A1215" s="62">
        <v>8408059</v>
      </c>
      <c r="B1215" s="55" t="s">
        <v>2434</v>
      </c>
      <c r="C1215" s="58">
        <v>17750243087824</v>
      </c>
      <c r="D1215" s="55" t="s">
        <v>288</v>
      </c>
      <c r="E1215" s="55">
        <v>5</v>
      </c>
      <c r="F1215" s="55">
        <v>10</v>
      </c>
      <c r="G1215" s="55">
        <v>50</v>
      </c>
      <c r="H1215" s="131" t="s">
        <v>2435</v>
      </c>
    </row>
    <row r="1216" spans="1:8">
      <c r="A1216" s="61">
        <v>8408060</v>
      </c>
      <c r="B1216" s="54" t="s">
        <v>2436</v>
      </c>
      <c r="C1216" s="57">
        <v>17750243087831</v>
      </c>
      <c r="D1216" s="54" t="s">
        <v>288</v>
      </c>
      <c r="E1216" s="54">
        <v>5</v>
      </c>
      <c r="F1216" s="54">
        <v>10</v>
      </c>
      <c r="G1216" s="54">
        <v>50</v>
      </c>
      <c r="H1216" s="131" t="s">
        <v>2437</v>
      </c>
    </row>
    <row r="1217" spans="1:8">
      <c r="A1217" s="62">
        <v>8408061</v>
      </c>
      <c r="B1217" s="55" t="s">
        <v>2438</v>
      </c>
      <c r="C1217" s="58">
        <v>27750243087937</v>
      </c>
      <c r="D1217" s="55" t="s">
        <v>288</v>
      </c>
      <c r="E1217" s="55">
        <v>5</v>
      </c>
      <c r="F1217" s="55">
        <v>11</v>
      </c>
      <c r="G1217" s="55">
        <v>55</v>
      </c>
      <c r="H1217" s="131" t="s">
        <v>2439</v>
      </c>
    </row>
    <row r="1218" spans="1:8">
      <c r="A1218" s="61">
        <v>8410026</v>
      </c>
      <c r="B1218" s="54" t="s">
        <v>2440</v>
      </c>
      <c r="C1218" s="57">
        <v>17751851025277</v>
      </c>
      <c r="D1218" s="54" t="s">
        <v>288</v>
      </c>
      <c r="E1218" s="54">
        <v>4</v>
      </c>
      <c r="F1218" s="54">
        <v>8</v>
      </c>
      <c r="G1218" s="54">
        <v>32</v>
      </c>
      <c r="H1218" s="131" t="s">
        <v>2441</v>
      </c>
    </row>
    <row r="1219" spans="1:8">
      <c r="A1219" s="62">
        <v>8410076</v>
      </c>
      <c r="B1219" s="55" t="s">
        <v>2442</v>
      </c>
      <c r="C1219" s="58">
        <v>17750243061671</v>
      </c>
      <c r="D1219" s="55" t="s">
        <v>288</v>
      </c>
      <c r="E1219" s="55">
        <v>5</v>
      </c>
      <c r="F1219" s="55">
        <v>10</v>
      </c>
      <c r="G1219" s="55">
        <v>50</v>
      </c>
      <c r="H1219" s="131" t="s">
        <v>2443</v>
      </c>
    </row>
    <row r="1220" spans="1:8">
      <c r="A1220" s="61">
        <v>8410090</v>
      </c>
      <c r="B1220" s="54" t="s">
        <v>2444</v>
      </c>
      <c r="C1220" s="57">
        <v>17750243061718</v>
      </c>
      <c r="D1220" s="54" t="s">
        <v>288</v>
      </c>
      <c r="E1220" s="54">
        <v>5</v>
      </c>
      <c r="F1220" s="54">
        <v>10</v>
      </c>
      <c r="G1220" s="54">
        <v>50</v>
      </c>
      <c r="H1220" s="131" t="s">
        <v>2445</v>
      </c>
    </row>
    <row r="1221" spans="1:8">
      <c r="A1221" s="62">
        <v>8410093</v>
      </c>
      <c r="B1221" s="55" t="s">
        <v>2446</v>
      </c>
      <c r="C1221" s="58">
        <v>17750243061749</v>
      </c>
      <c r="D1221" s="55" t="s">
        <v>288</v>
      </c>
      <c r="E1221" s="55">
        <v>5</v>
      </c>
      <c r="F1221" s="55">
        <v>10</v>
      </c>
      <c r="G1221" s="55">
        <v>50</v>
      </c>
      <c r="H1221" s="131" t="s">
        <v>2447</v>
      </c>
    </row>
    <row r="1222" spans="1:8">
      <c r="A1222" s="61">
        <v>8410094</v>
      </c>
      <c r="B1222" s="54" t="s">
        <v>2448</v>
      </c>
      <c r="C1222" s="57">
        <v>17750243061756</v>
      </c>
      <c r="D1222" s="54" t="s">
        <v>288</v>
      </c>
      <c r="E1222" s="54">
        <v>5</v>
      </c>
      <c r="F1222" s="54">
        <v>10</v>
      </c>
      <c r="G1222" s="54">
        <v>50</v>
      </c>
      <c r="H1222" s="131" t="s">
        <v>2449</v>
      </c>
    </row>
    <row r="1223" spans="1:8">
      <c r="A1223" s="62">
        <v>8410096</v>
      </c>
      <c r="B1223" s="55" t="s">
        <v>2450</v>
      </c>
      <c r="C1223" s="58">
        <v>17750243061770</v>
      </c>
      <c r="D1223" s="55" t="s">
        <v>288</v>
      </c>
      <c r="E1223" s="55">
        <v>5</v>
      </c>
      <c r="F1223" s="55">
        <v>9</v>
      </c>
      <c r="G1223" s="55">
        <v>45</v>
      </c>
      <c r="H1223" s="131" t="s">
        <v>2451</v>
      </c>
    </row>
    <row r="1224" spans="1:8">
      <c r="A1224" s="61">
        <v>8410097</v>
      </c>
      <c r="B1224" s="54" t="s">
        <v>2452</v>
      </c>
      <c r="C1224" s="57">
        <v>17750243061787</v>
      </c>
      <c r="D1224" s="54" t="s">
        <v>288</v>
      </c>
      <c r="E1224" s="54">
        <v>5</v>
      </c>
      <c r="F1224" s="54">
        <v>9</v>
      </c>
      <c r="G1224" s="54">
        <v>45</v>
      </c>
      <c r="H1224" s="131" t="s">
        <v>2453</v>
      </c>
    </row>
    <row r="1225" spans="1:8">
      <c r="A1225" s="62">
        <v>8410099</v>
      </c>
      <c r="B1225" s="55" t="s">
        <v>2454</v>
      </c>
      <c r="C1225" s="58">
        <v>17750243061800</v>
      </c>
      <c r="D1225" s="55" t="s">
        <v>288</v>
      </c>
      <c r="E1225" s="55">
        <v>5</v>
      </c>
      <c r="F1225" s="55">
        <v>9</v>
      </c>
      <c r="G1225" s="55">
        <v>45</v>
      </c>
      <c r="H1225" s="131" t="s">
        <v>2455</v>
      </c>
    </row>
    <row r="1226" spans="1:8">
      <c r="A1226" s="61">
        <v>8410100</v>
      </c>
      <c r="B1226" s="54" t="s">
        <v>2456</v>
      </c>
      <c r="C1226" s="57">
        <v>17750243061817</v>
      </c>
      <c r="D1226" s="54" t="s">
        <v>288</v>
      </c>
      <c r="E1226" s="54">
        <v>5</v>
      </c>
      <c r="F1226" s="54">
        <v>9</v>
      </c>
      <c r="G1226" s="54">
        <v>45</v>
      </c>
      <c r="H1226" s="131" t="s">
        <v>2457</v>
      </c>
    </row>
    <row r="1227" spans="1:8">
      <c r="A1227" s="62">
        <v>8410101</v>
      </c>
      <c r="B1227" s="55" t="s">
        <v>2458</v>
      </c>
      <c r="C1227" s="58">
        <v>17750243061831</v>
      </c>
      <c r="D1227" s="55" t="s">
        <v>288</v>
      </c>
      <c r="E1227" s="55">
        <v>5</v>
      </c>
      <c r="F1227" s="55">
        <v>9</v>
      </c>
      <c r="G1227" s="55">
        <v>45</v>
      </c>
      <c r="H1227" s="131" t="s">
        <v>2459</v>
      </c>
    </row>
    <row r="1228" spans="1:8">
      <c r="A1228" s="61">
        <v>8410102</v>
      </c>
      <c r="B1228" s="54" t="s">
        <v>2460</v>
      </c>
      <c r="C1228" s="57">
        <v>17750243061848</v>
      </c>
      <c r="D1228" s="54" t="s">
        <v>288</v>
      </c>
      <c r="E1228" s="54">
        <v>5</v>
      </c>
      <c r="F1228" s="54">
        <v>8</v>
      </c>
      <c r="G1228" s="54">
        <v>40</v>
      </c>
      <c r="H1228" s="131" t="s">
        <v>2461</v>
      </c>
    </row>
    <row r="1229" spans="1:8">
      <c r="A1229" s="62">
        <v>8410103</v>
      </c>
      <c r="B1229" s="55" t="s">
        <v>2462</v>
      </c>
      <c r="C1229" s="58">
        <v>17750243061855</v>
      </c>
      <c r="D1229" s="55" t="s">
        <v>288</v>
      </c>
      <c r="E1229" s="55">
        <v>5</v>
      </c>
      <c r="F1229" s="55">
        <v>8</v>
      </c>
      <c r="G1229" s="55">
        <v>40</v>
      </c>
      <c r="H1229" s="131" t="s">
        <v>2463</v>
      </c>
    </row>
    <row r="1230" spans="1:8">
      <c r="A1230" s="61">
        <v>8410104</v>
      </c>
      <c r="B1230" s="54" t="s">
        <v>2464</v>
      </c>
      <c r="C1230" s="57">
        <v>17750243061862</v>
      </c>
      <c r="D1230" s="54" t="s">
        <v>288</v>
      </c>
      <c r="E1230" s="54">
        <v>5</v>
      </c>
      <c r="F1230" s="54">
        <v>8</v>
      </c>
      <c r="G1230" s="54">
        <v>40</v>
      </c>
      <c r="H1230" s="131" t="s">
        <v>2465</v>
      </c>
    </row>
    <row r="1231" spans="1:8">
      <c r="A1231" s="62">
        <v>8410105</v>
      </c>
      <c r="B1231" s="55" t="s">
        <v>2466</v>
      </c>
      <c r="C1231" s="58">
        <v>17750243061879</v>
      </c>
      <c r="D1231" s="55" t="s">
        <v>288</v>
      </c>
      <c r="E1231" s="55">
        <v>5</v>
      </c>
      <c r="F1231" s="55">
        <v>8</v>
      </c>
      <c r="G1231" s="55">
        <v>40</v>
      </c>
      <c r="H1231" s="131" t="s">
        <v>2467</v>
      </c>
    </row>
    <row r="1232" spans="1:8">
      <c r="A1232" s="61">
        <v>8410106</v>
      </c>
      <c r="B1232" s="54" t="s">
        <v>2468</v>
      </c>
      <c r="C1232" s="57">
        <v>17750243061886</v>
      </c>
      <c r="D1232" s="54" t="s">
        <v>288</v>
      </c>
      <c r="E1232" s="54">
        <v>5</v>
      </c>
      <c r="F1232" s="54">
        <v>8</v>
      </c>
      <c r="G1232" s="54">
        <v>40</v>
      </c>
      <c r="H1232" s="131" t="s">
        <v>2469</v>
      </c>
    </row>
    <row r="1233" spans="1:8">
      <c r="A1233" s="62">
        <v>8410108</v>
      </c>
      <c r="B1233" s="55" t="s">
        <v>2470</v>
      </c>
      <c r="C1233" s="58">
        <v>17750243061909</v>
      </c>
      <c r="D1233" s="55" t="s">
        <v>288</v>
      </c>
      <c r="E1233" s="55">
        <v>5</v>
      </c>
      <c r="F1233" s="55">
        <v>8</v>
      </c>
      <c r="G1233" s="55">
        <v>40</v>
      </c>
      <c r="H1233" s="131" t="s">
        <v>2471</v>
      </c>
    </row>
    <row r="1234" spans="1:8">
      <c r="A1234" s="61">
        <v>8410109</v>
      </c>
      <c r="B1234" s="54" t="s">
        <v>2472</v>
      </c>
      <c r="C1234" s="57">
        <v>17750243061916</v>
      </c>
      <c r="D1234" s="54" t="s">
        <v>288</v>
      </c>
      <c r="E1234" s="54">
        <v>5</v>
      </c>
      <c r="F1234" s="54">
        <v>8</v>
      </c>
      <c r="G1234" s="54">
        <v>40</v>
      </c>
      <c r="H1234" s="131" t="s">
        <v>2473</v>
      </c>
    </row>
    <row r="1235" spans="1:8">
      <c r="A1235" s="62">
        <v>8410111</v>
      </c>
      <c r="B1235" s="55" t="s">
        <v>2474</v>
      </c>
      <c r="C1235" s="58">
        <v>17750243061930</v>
      </c>
      <c r="D1235" s="55" t="s">
        <v>288</v>
      </c>
      <c r="E1235" s="55">
        <v>5</v>
      </c>
      <c r="F1235" s="55">
        <v>6</v>
      </c>
      <c r="G1235" s="55">
        <v>30</v>
      </c>
      <c r="H1235" s="131" t="s">
        <v>2475</v>
      </c>
    </row>
    <row r="1236" spans="1:8">
      <c r="A1236" s="61">
        <v>8410114</v>
      </c>
      <c r="B1236" s="54" t="s">
        <v>2476</v>
      </c>
      <c r="C1236" s="57">
        <v>17750243061961</v>
      </c>
      <c r="D1236" s="54" t="s">
        <v>288</v>
      </c>
      <c r="E1236" s="54">
        <v>5</v>
      </c>
      <c r="F1236" s="54">
        <v>9</v>
      </c>
      <c r="G1236" s="54">
        <v>45</v>
      </c>
      <c r="H1236" s="131" t="s">
        <v>2477</v>
      </c>
    </row>
    <row r="1237" spans="1:8">
      <c r="A1237" s="62">
        <v>8410115</v>
      </c>
      <c r="B1237" s="55" t="s">
        <v>2478</v>
      </c>
      <c r="C1237" s="58">
        <v>17750243061978</v>
      </c>
      <c r="D1237" s="55" t="s">
        <v>288</v>
      </c>
      <c r="E1237" s="55">
        <v>5</v>
      </c>
      <c r="F1237" s="55">
        <v>9</v>
      </c>
      <c r="G1237" s="55">
        <v>45</v>
      </c>
      <c r="H1237" s="131" t="s">
        <v>2479</v>
      </c>
    </row>
    <row r="1238" spans="1:8">
      <c r="A1238" s="61">
        <v>8410117</v>
      </c>
      <c r="B1238" s="54" t="s">
        <v>2480</v>
      </c>
      <c r="C1238" s="57">
        <v>17750243061992</v>
      </c>
      <c r="D1238" s="54" t="s">
        <v>288</v>
      </c>
      <c r="E1238" s="54">
        <v>4</v>
      </c>
      <c r="F1238" s="54">
        <v>8</v>
      </c>
      <c r="G1238" s="54">
        <v>32</v>
      </c>
      <c r="H1238" s="131" t="s">
        <v>2481</v>
      </c>
    </row>
    <row r="1239" spans="1:8">
      <c r="A1239" s="62">
        <v>8410129</v>
      </c>
      <c r="B1239" s="55" t="s">
        <v>2482</v>
      </c>
      <c r="C1239" s="58">
        <v>17750243070239</v>
      </c>
      <c r="D1239" s="55" t="s">
        <v>288</v>
      </c>
      <c r="E1239" s="55">
        <v>5</v>
      </c>
      <c r="F1239" s="55">
        <v>8</v>
      </c>
      <c r="G1239" s="55">
        <v>40</v>
      </c>
      <c r="H1239" s="131" t="s">
        <v>2483</v>
      </c>
    </row>
    <row r="1240" spans="1:8">
      <c r="A1240" s="61">
        <v>8410136</v>
      </c>
      <c r="B1240" s="54" t="s">
        <v>2484</v>
      </c>
      <c r="C1240" s="57">
        <v>17750243070246</v>
      </c>
      <c r="D1240" s="54" t="s">
        <v>288</v>
      </c>
      <c r="E1240" s="54">
        <v>5</v>
      </c>
      <c r="F1240" s="54">
        <v>8</v>
      </c>
      <c r="G1240" s="54">
        <v>40</v>
      </c>
      <c r="H1240" s="131" t="s">
        <v>2485</v>
      </c>
    </row>
    <row r="1241" spans="1:8">
      <c r="A1241" s="62">
        <v>8410141</v>
      </c>
      <c r="B1241" s="55" t="s">
        <v>2486</v>
      </c>
      <c r="C1241" s="58">
        <v>7750243063920</v>
      </c>
      <c r="D1241" s="55" t="s">
        <v>100</v>
      </c>
      <c r="E1241" s="55">
        <v>4</v>
      </c>
      <c r="F1241" s="55">
        <v>8</v>
      </c>
      <c r="G1241" s="55">
        <v>32</v>
      </c>
      <c r="H1241" s="131" t="s">
        <v>2487</v>
      </c>
    </row>
    <row r="1242" spans="1:8">
      <c r="A1242" s="61">
        <v>8410142</v>
      </c>
      <c r="B1242" s="54" t="s">
        <v>2488</v>
      </c>
      <c r="C1242" s="57">
        <v>27750243061906</v>
      </c>
      <c r="D1242" s="54" t="s">
        <v>288</v>
      </c>
      <c r="E1242" s="54">
        <v>5</v>
      </c>
      <c r="F1242" s="54">
        <v>8</v>
      </c>
      <c r="G1242" s="54">
        <v>40</v>
      </c>
      <c r="H1242" s="131" t="s">
        <v>2489</v>
      </c>
    </row>
    <row r="1243" spans="1:8">
      <c r="A1243" s="62">
        <v>8410143</v>
      </c>
      <c r="B1243" s="55" t="s">
        <v>2490</v>
      </c>
      <c r="C1243" s="58">
        <v>27750243061913</v>
      </c>
      <c r="D1243" s="55" t="s">
        <v>288</v>
      </c>
      <c r="E1243" s="55">
        <v>5</v>
      </c>
      <c r="F1243" s="55">
        <v>8</v>
      </c>
      <c r="G1243" s="55">
        <v>40</v>
      </c>
      <c r="H1243" s="131" t="s">
        <v>2491</v>
      </c>
    </row>
    <row r="1244" spans="1:8">
      <c r="A1244" s="61">
        <v>8410144</v>
      </c>
      <c r="B1244" s="54" t="s">
        <v>2492</v>
      </c>
      <c r="C1244" s="57">
        <v>27750243061920</v>
      </c>
      <c r="D1244" s="54" t="s">
        <v>288</v>
      </c>
      <c r="E1244" s="54">
        <v>5</v>
      </c>
      <c r="F1244" s="54">
        <v>8</v>
      </c>
      <c r="G1244" s="54">
        <v>40</v>
      </c>
      <c r="H1244" s="131" t="s">
        <v>2493</v>
      </c>
    </row>
    <row r="1245" spans="1:8">
      <c r="A1245" s="62">
        <v>8410145</v>
      </c>
      <c r="B1245" s="55" t="s">
        <v>2494</v>
      </c>
      <c r="C1245" s="58">
        <v>7750243065870</v>
      </c>
      <c r="D1245" s="55" t="s">
        <v>100</v>
      </c>
      <c r="E1245" s="55">
        <v>4</v>
      </c>
      <c r="F1245" s="55">
        <v>8</v>
      </c>
      <c r="G1245" s="55">
        <v>32</v>
      </c>
      <c r="H1245" s="131" t="s">
        <v>2495</v>
      </c>
    </row>
    <row r="1246" spans="1:8">
      <c r="A1246" s="61">
        <v>8410146</v>
      </c>
      <c r="B1246" s="54" t="s">
        <v>2496</v>
      </c>
      <c r="C1246" s="57">
        <v>17750243065846</v>
      </c>
      <c r="D1246" s="54" t="s">
        <v>288</v>
      </c>
      <c r="E1246" s="54">
        <v>5</v>
      </c>
      <c r="F1246" s="54">
        <v>10</v>
      </c>
      <c r="G1246" s="54">
        <v>50</v>
      </c>
      <c r="H1246" s="131" t="s">
        <v>2497</v>
      </c>
    </row>
    <row r="1247" spans="1:8">
      <c r="A1247" s="62">
        <v>8410147</v>
      </c>
      <c r="B1247" s="55" t="s">
        <v>2498</v>
      </c>
      <c r="C1247" s="58">
        <v>17750243065853</v>
      </c>
      <c r="D1247" s="55" t="s">
        <v>288</v>
      </c>
      <c r="E1247" s="55">
        <v>5</v>
      </c>
      <c r="F1247" s="55">
        <v>11</v>
      </c>
      <c r="G1247" s="55">
        <v>55</v>
      </c>
      <c r="H1247" s="131" t="s">
        <v>2499</v>
      </c>
    </row>
    <row r="1248" spans="1:8">
      <c r="A1248" s="61">
        <v>8410148</v>
      </c>
      <c r="B1248" s="54" t="s">
        <v>2500</v>
      </c>
      <c r="C1248" s="57">
        <v>17750243065860</v>
      </c>
      <c r="D1248" s="54" t="s">
        <v>288</v>
      </c>
      <c r="E1248" s="54">
        <v>5</v>
      </c>
      <c r="F1248" s="54">
        <v>10</v>
      </c>
      <c r="G1248" s="54">
        <v>50</v>
      </c>
      <c r="H1248" s="133" t="s">
        <v>2501</v>
      </c>
    </row>
    <row r="1249" spans="1:8">
      <c r="A1249" s="62">
        <v>8410149</v>
      </c>
      <c r="B1249" s="55" t="s">
        <v>2502</v>
      </c>
      <c r="C1249" s="58">
        <v>17750243068120</v>
      </c>
      <c r="D1249" s="55" t="s">
        <v>288</v>
      </c>
      <c r="E1249" s="55">
        <v>5</v>
      </c>
      <c r="F1249" s="55">
        <v>9</v>
      </c>
      <c r="G1249" s="55">
        <v>45</v>
      </c>
      <c r="H1249" s="131" t="s">
        <v>2503</v>
      </c>
    </row>
    <row r="1250" spans="1:8">
      <c r="A1250" s="61">
        <v>8410150</v>
      </c>
      <c r="B1250" s="54" t="s">
        <v>2504</v>
      </c>
      <c r="C1250" s="57">
        <v>17750243068137</v>
      </c>
      <c r="D1250" s="54" t="s">
        <v>288</v>
      </c>
      <c r="E1250" s="54">
        <v>5</v>
      </c>
      <c r="F1250" s="54">
        <v>8</v>
      </c>
      <c r="G1250" s="54">
        <v>40</v>
      </c>
      <c r="H1250" s="131" t="s">
        <v>2505</v>
      </c>
    </row>
    <row r="1251" spans="1:8">
      <c r="A1251" s="62">
        <v>8410151</v>
      </c>
      <c r="B1251" s="55" t="s">
        <v>2506</v>
      </c>
      <c r="C1251" s="58">
        <v>17750243068144</v>
      </c>
      <c r="D1251" s="55" t="s">
        <v>288</v>
      </c>
      <c r="E1251" s="55">
        <v>5</v>
      </c>
      <c r="F1251" s="55">
        <v>8</v>
      </c>
      <c r="G1251" s="55">
        <v>40</v>
      </c>
      <c r="H1251" s="131" t="s">
        <v>2507</v>
      </c>
    </row>
    <row r="1252" spans="1:8">
      <c r="A1252" s="61">
        <v>8410152</v>
      </c>
      <c r="B1252" s="54" t="s">
        <v>2508</v>
      </c>
      <c r="C1252" s="57">
        <v>17750243068151</v>
      </c>
      <c r="D1252" s="54" t="s">
        <v>288</v>
      </c>
      <c r="E1252" s="54">
        <v>5</v>
      </c>
      <c r="F1252" s="54">
        <v>9</v>
      </c>
      <c r="G1252" s="54">
        <v>45</v>
      </c>
      <c r="H1252" s="131" t="s">
        <v>2509</v>
      </c>
    </row>
    <row r="1253" spans="1:8">
      <c r="A1253" s="62">
        <v>8410153</v>
      </c>
      <c r="B1253" s="55" t="s">
        <v>2510</v>
      </c>
      <c r="C1253" s="58">
        <v>17750243068168</v>
      </c>
      <c r="D1253" s="55" t="s">
        <v>288</v>
      </c>
      <c r="E1253" s="55">
        <v>5</v>
      </c>
      <c r="F1253" s="55">
        <v>8</v>
      </c>
      <c r="G1253" s="55">
        <v>40</v>
      </c>
      <c r="H1253" s="131" t="s">
        <v>2511</v>
      </c>
    </row>
    <row r="1254" spans="1:8">
      <c r="A1254" s="61">
        <v>8410154</v>
      </c>
      <c r="B1254" s="54" t="s">
        <v>2512</v>
      </c>
      <c r="C1254" s="57">
        <v>17750243068175</v>
      </c>
      <c r="D1254" s="54" t="s">
        <v>288</v>
      </c>
      <c r="E1254" s="54">
        <v>5</v>
      </c>
      <c r="F1254" s="54">
        <v>8</v>
      </c>
      <c r="G1254" s="54">
        <v>40</v>
      </c>
      <c r="H1254" s="131" t="s">
        <v>2513</v>
      </c>
    </row>
    <row r="1255" spans="1:8">
      <c r="A1255" s="62">
        <v>8410170</v>
      </c>
      <c r="B1255" s="55" t="s">
        <v>2514</v>
      </c>
      <c r="C1255" s="58">
        <v>17750243070420</v>
      </c>
      <c r="D1255" s="55" t="s">
        <v>288</v>
      </c>
      <c r="E1255" s="55">
        <v>5</v>
      </c>
      <c r="F1255" s="55">
        <v>8</v>
      </c>
      <c r="G1255" s="55">
        <v>40</v>
      </c>
      <c r="H1255" s="131" t="s">
        <v>2515</v>
      </c>
    </row>
    <row r="1256" spans="1:8">
      <c r="A1256" s="61">
        <v>8410189</v>
      </c>
      <c r="B1256" s="54" t="s">
        <v>2516</v>
      </c>
      <c r="C1256" s="57">
        <v>27750243072735</v>
      </c>
      <c r="D1256" s="54" t="s">
        <v>288</v>
      </c>
      <c r="E1256" s="54">
        <v>14</v>
      </c>
      <c r="F1256" s="54">
        <v>15</v>
      </c>
      <c r="G1256" s="54">
        <v>210</v>
      </c>
      <c r="H1256" s="131" t="s">
        <v>2517</v>
      </c>
    </row>
    <row r="1257" spans="1:8">
      <c r="A1257" s="62">
        <v>8410190</v>
      </c>
      <c r="B1257" s="55" t="s">
        <v>2518</v>
      </c>
      <c r="C1257" s="58">
        <v>7750243073615</v>
      </c>
      <c r="D1257" s="55" t="s">
        <v>100</v>
      </c>
      <c r="E1257" s="55">
        <v>4</v>
      </c>
      <c r="F1257" s="55">
        <v>9</v>
      </c>
      <c r="G1257" s="55">
        <v>36</v>
      </c>
      <c r="H1257" s="131" t="s">
        <v>2519</v>
      </c>
    </row>
    <row r="1258" spans="1:8">
      <c r="A1258" s="61">
        <v>8410191</v>
      </c>
      <c r="B1258" s="54" t="s">
        <v>2520</v>
      </c>
      <c r="C1258" s="57">
        <v>7750243074759</v>
      </c>
      <c r="D1258" s="54" t="s">
        <v>100</v>
      </c>
      <c r="E1258" s="54">
        <v>6</v>
      </c>
      <c r="F1258" s="54">
        <v>9</v>
      </c>
      <c r="G1258" s="54">
        <v>54</v>
      </c>
      <c r="H1258" s="131" t="s">
        <v>2521</v>
      </c>
    </row>
    <row r="1259" spans="1:8">
      <c r="A1259" s="62">
        <v>8410192</v>
      </c>
      <c r="B1259" s="55" t="s">
        <v>2522</v>
      </c>
      <c r="C1259" s="58">
        <v>7750243076449</v>
      </c>
      <c r="D1259" s="55" t="s">
        <v>1590</v>
      </c>
      <c r="E1259" s="55">
        <v>14</v>
      </c>
      <c r="F1259" s="55">
        <v>15</v>
      </c>
      <c r="G1259" s="55">
        <v>210</v>
      </c>
      <c r="H1259" s="131" t="s">
        <v>2523</v>
      </c>
    </row>
    <row r="1260" spans="1:8">
      <c r="A1260" s="61">
        <v>8410196</v>
      </c>
      <c r="B1260" s="54" t="s">
        <v>2524</v>
      </c>
      <c r="C1260" s="57">
        <v>7750243079631</v>
      </c>
      <c r="D1260" s="54" t="s">
        <v>1590</v>
      </c>
      <c r="E1260" s="54">
        <v>72</v>
      </c>
      <c r="F1260" s="54">
        <v>5</v>
      </c>
      <c r="G1260" s="54">
        <v>360</v>
      </c>
      <c r="H1260" s="131" t="s">
        <v>2525</v>
      </c>
    </row>
    <row r="1261" spans="1:8">
      <c r="A1261" s="62">
        <v>8410199</v>
      </c>
      <c r="B1261" s="55" t="s">
        <v>2526</v>
      </c>
      <c r="C1261" s="58">
        <v>27750243061746</v>
      </c>
      <c r="D1261" s="55" t="s">
        <v>288</v>
      </c>
      <c r="E1261" s="55">
        <v>5</v>
      </c>
      <c r="F1261" s="55">
        <v>10</v>
      </c>
      <c r="G1261" s="55">
        <v>50</v>
      </c>
      <c r="H1261" s="131" t="s">
        <v>2527</v>
      </c>
    </row>
    <row r="1262" spans="1:8">
      <c r="A1262" s="61">
        <v>8410200</v>
      </c>
      <c r="B1262" s="54" t="s">
        <v>2528</v>
      </c>
      <c r="C1262" s="57">
        <v>27750243061753</v>
      </c>
      <c r="D1262" s="54" t="s">
        <v>288</v>
      </c>
      <c r="E1262" s="54">
        <v>5</v>
      </c>
      <c r="F1262" s="54">
        <v>10</v>
      </c>
      <c r="G1262" s="54">
        <v>50</v>
      </c>
      <c r="H1262" s="131" t="s">
        <v>2529</v>
      </c>
    </row>
    <row r="1263" spans="1:8">
      <c r="A1263" s="62">
        <v>8410201</v>
      </c>
      <c r="B1263" s="55" t="s">
        <v>2530</v>
      </c>
      <c r="C1263" s="58">
        <v>27750243061876</v>
      </c>
      <c r="D1263" s="55" t="s">
        <v>288</v>
      </c>
      <c r="E1263" s="55">
        <v>5</v>
      </c>
      <c r="F1263" s="55">
        <v>8</v>
      </c>
      <c r="G1263" s="55">
        <v>40</v>
      </c>
      <c r="H1263" s="131" t="s">
        <v>2531</v>
      </c>
    </row>
    <row r="1264" spans="1:8">
      <c r="A1264" s="61">
        <v>8410202</v>
      </c>
      <c r="B1264" s="54" t="s">
        <v>2532</v>
      </c>
      <c r="C1264" s="57">
        <v>27750243061883</v>
      </c>
      <c r="D1264" s="54" t="s">
        <v>288</v>
      </c>
      <c r="E1264" s="54">
        <v>5</v>
      </c>
      <c r="F1264" s="54">
        <v>8</v>
      </c>
      <c r="G1264" s="54">
        <v>40</v>
      </c>
      <c r="H1264" s="131" t="s">
        <v>2533</v>
      </c>
    </row>
    <row r="1265" spans="1:8">
      <c r="A1265" s="62">
        <v>8410203</v>
      </c>
      <c r="B1265" s="55" t="s">
        <v>2534</v>
      </c>
      <c r="C1265" s="58">
        <v>37750243061903</v>
      </c>
      <c r="D1265" s="55" t="s">
        <v>288</v>
      </c>
      <c r="E1265" s="55">
        <v>5</v>
      </c>
      <c r="F1265" s="55">
        <v>8</v>
      </c>
      <c r="G1265" s="55">
        <v>40</v>
      </c>
      <c r="H1265" s="131" t="s">
        <v>2535</v>
      </c>
    </row>
    <row r="1266" spans="1:8">
      <c r="A1266" s="61">
        <v>8410204</v>
      </c>
      <c r="B1266" s="54" t="s">
        <v>2536</v>
      </c>
      <c r="C1266" s="57">
        <v>37750243061910</v>
      </c>
      <c r="D1266" s="54" t="s">
        <v>288</v>
      </c>
      <c r="E1266" s="54">
        <v>5</v>
      </c>
      <c r="F1266" s="54">
        <v>8</v>
      </c>
      <c r="G1266" s="54">
        <v>40</v>
      </c>
      <c r="H1266" s="131" t="s">
        <v>2537</v>
      </c>
    </row>
    <row r="1267" spans="1:8">
      <c r="A1267" s="62">
        <v>8410205</v>
      </c>
      <c r="B1267" s="55" t="s">
        <v>2538</v>
      </c>
      <c r="C1267" s="58">
        <v>27750243061968</v>
      </c>
      <c r="D1267" s="55" t="s">
        <v>288</v>
      </c>
      <c r="E1267" s="55">
        <v>5</v>
      </c>
      <c r="F1267" s="55">
        <v>9</v>
      </c>
      <c r="G1267" s="55">
        <v>45</v>
      </c>
      <c r="H1267" s="131" t="s">
        <v>2539</v>
      </c>
    </row>
    <row r="1268" spans="1:8">
      <c r="A1268" s="61">
        <v>8410206</v>
      </c>
      <c r="B1268" s="54" t="s">
        <v>2540</v>
      </c>
      <c r="C1268" s="57">
        <v>27750243061975</v>
      </c>
      <c r="D1268" s="54" t="s">
        <v>288</v>
      </c>
      <c r="E1268" s="54">
        <v>5</v>
      </c>
      <c r="F1268" s="54">
        <v>9</v>
      </c>
      <c r="G1268" s="54">
        <v>45</v>
      </c>
      <c r="H1268" s="131" t="s">
        <v>2541</v>
      </c>
    </row>
    <row r="1269" spans="1:8">
      <c r="A1269" s="62">
        <v>8410209</v>
      </c>
      <c r="B1269" s="55" t="s">
        <v>2542</v>
      </c>
      <c r="C1269" s="58">
        <v>27750243061777</v>
      </c>
      <c r="D1269" s="55" t="s">
        <v>288</v>
      </c>
      <c r="E1269" s="55">
        <v>5</v>
      </c>
      <c r="F1269" s="55">
        <v>9</v>
      </c>
      <c r="G1269" s="55">
        <v>45</v>
      </c>
      <c r="H1269" s="131" t="s">
        <v>2543</v>
      </c>
    </row>
    <row r="1270" spans="1:8">
      <c r="A1270" s="61">
        <v>8410210</v>
      </c>
      <c r="B1270" s="54" t="s">
        <v>2544</v>
      </c>
      <c r="C1270" s="57">
        <v>27750243061784</v>
      </c>
      <c r="D1270" s="54" t="s">
        <v>288</v>
      </c>
      <c r="E1270" s="54">
        <v>5</v>
      </c>
      <c r="F1270" s="54">
        <v>9</v>
      </c>
      <c r="G1270" s="54">
        <v>45</v>
      </c>
      <c r="H1270" s="133" t="s">
        <v>2545</v>
      </c>
    </row>
    <row r="1271" spans="1:8">
      <c r="A1271" s="62">
        <v>8410211</v>
      </c>
      <c r="B1271" s="55" t="s">
        <v>2546</v>
      </c>
      <c r="C1271" s="58">
        <v>17750243082133</v>
      </c>
      <c r="D1271" s="55" t="s">
        <v>288</v>
      </c>
      <c r="E1271" s="55">
        <v>5</v>
      </c>
      <c r="F1271" s="55">
        <v>10</v>
      </c>
      <c r="G1271" s="55">
        <v>50</v>
      </c>
      <c r="H1271" s="131" t="s">
        <v>2547</v>
      </c>
    </row>
    <row r="1272" spans="1:8">
      <c r="A1272" s="61">
        <v>8410212</v>
      </c>
      <c r="B1272" s="54" t="s">
        <v>2548</v>
      </c>
      <c r="C1272" s="57">
        <v>17750243082140</v>
      </c>
      <c r="D1272" s="54" t="s">
        <v>288</v>
      </c>
      <c r="E1272" s="54">
        <v>5</v>
      </c>
      <c r="F1272" s="54">
        <v>10</v>
      </c>
      <c r="G1272" s="54">
        <v>50</v>
      </c>
      <c r="H1272" s="131" t="s">
        <v>2549</v>
      </c>
    </row>
    <row r="1273" spans="1:8">
      <c r="A1273" s="62">
        <v>8410213</v>
      </c>
      <c r="B1273" s="55" t="s">
        <v>2550</v>
      </c>
      <c r="C1273" s="58">
        <v>17750243082157</v>
      </c>
      <c r="D1273" s="55" t="s">
        <v>288</v>
      </c>
      <c r="E1273" s="55">
        <v>5</v>
      </c>
      <c r="F1273" s="55">
        <v>10</v>
      </c>
      <c r="G1273" s="55">
        <v>50</v>
      </c>
      <c r="H1273" s="131" t="s">
        <v>2551</v>
      </c>
    </row>
    <row r="1274" spans="1:8">
      <c r="A1274" s="61">
        <v>8410217</v>
      </c>
      <c r="B1274" s="54" t="s">
        <v>2552</v>
      </c>
      <c r="C1274" s="57">
        <v>17750243083895</v>
      </c>
      <c r="D1274" s="54" t="s">
        <v>288</v>
      </c>
      <c r="E1274" s="54">
        <v>5</v>
      </c>
      <c r="F1274" s="54">
        <v>9</v>
      </c>
      <c r="G1274" s="54">
        <v>45</v>
      </c>
      <c r="H1274" s="131" t="s">
        <v>2553</v>
      </c>
    </row>
    <row r="1275" spans="1:8">
      <c r="A1275" s="62">
        <v>8410218</v>
      </c>
      <c r="B1275" s="55" t="s">
        <v>2554</v>
      </c>
      <c r="C1275" s="58">
        <v>7750243083904</v>
      </c>
      <c r="D1275" s="55" t="s">
        <v>1590</v>
      </c>
      <c r="E1275" s="55">
        <v>14</v>
      </c>
      <c r="F1275" s="55">
        <v>15</v>
      </c>
      <c r="G1275" s="55">
        <v>210</v>
      </c>
      <c r="H1275" s="131" t="s">
        <v>2555</v>
      </c>
    </row>
    <row r="1276" spans="1:8">
      <c r="A1276" s="61">
        <v>8410219</v>
      </c>
      <c r="B1276" s="54" t="s">
        <v>2556</v>
      </c>
      <c r="C1276" s="57">
        <v>7750243083911</v>
      </c>
      <c r="D1276" s="54" t="s">
        <v>100</v>
      </c>
      <c r="E1276" s="54">
        <v>6</v>
      </c>
      <c r="F1276" s="54">
        <v>11</v>
      </c>
      <c r="G1276" s="54">
        <v>66</v>
      </c>
      <c r="H1276" s="131" t="s">
        <v>2557</v>
      </c>
    </row>
    <row r="1277" spans="1:8">
      <c r="A1277" s="62">
        <v>8410220</v>
      </c>
      <c r="B1277" s="55" t="s">
        <v>2558</v>
      </c>
      <c r="C1277" s="58">
        <v>37750243065840</v>
      </c>
      <c r="D1277" s="55" t="s">
        <v>288</v>
      </c>
      <c r="E1277" s="55">
        <v>5</v>
      </c>
      <c r="F1277" s="55">
        <v>10</v>
      </c>
      <c r="G1277" s="55">
        <v>50</v>
      </c>
      <c r="H1277" s="131" t="s">
        <v>2559</v>
      </c>
    </row>
    <row r="1278" spans="1:8">
      <c r="A1278" s="61">
        <v>8410221</v>
      </c>
      <c r="B1278" s="54" t="s">
        <v>2560</v>
      </c>
      <c r="C1278" s="57">
        <v>37750243079359</v>
      </c>
      <c r="D1278" s="54" t="s">
        <v>288</v>
      </c>
      <c r="E1278" s="54">
        <v>5</v>
      </c>
      <c r="F1278" s="54">
        <v>8</v>
      </c>
      <c r="G1278" s="54">
        <v>40</v>
      </c>
      <c r="H1278" s="131" t="s">
        <v>2561</v>
      </c>
    </row>
    <row r="1279" spans="1:8">
      <c r="A1279" s="62">
        <v>8410222</v>
      </c>
      <c r="B1279" s="55" t="s">
        <v>2562</v>
      </c>
      <c r="C1279" s="58">
        <v>27751851025359</v>
      </c>
      <c r="D1279" s="55" t="s">
        <v>288</v>
      </c>
      <c r="E1279" s="55">
        <v>5</v>
      </c>
      <c r="F1279" s="55">
        <v>8</v>
      </c>
      <c r="G1279" s="55">
        <v>40</v>
      </c>
      <c r="H1279" s="131" t="s">
        <v>2563</v>
      </c>
    </row>
    <row r="1280" spans="1:8">
      <c r="A1280" s="61">
        <v>8410223</v>
      </c>
      <c r="B1280" s="54" t="s">
        <v>2564</v>
      </c>
      <c r="C1280" s="57">
        <v>17750243087657</v>
      </c>
      <c r="D1280" s="54" t="s">
        <v>288</v>
      </c>
      <c r="E1280" s="54">
        <v>5</v>
      </c>
      <c r="F1280" s="54">
        <v>10</v>
      </c>
      <c r="G1280" s="54">
        <v>50</v>
      </c>
      <c r="H1280" s="131" t="s">
        <v>2565</v>
      </c>
    </row>
    <row r="1281" spans="1:8">
      <c r="A1281" s="62">
        <v>8410224</v>
      </c>
      <c r="B1281" s="55" t="s">
        <v>2566</v>
      </c>
      <c r="C1281" s="58">
        <v>17750243088609</v>
      </c>
      <c r="D1281" s="55" t="s">
        <v>288</v>
      </c>
      <c r="E1281" s="55">
        <v>5</v>
      </c>
      <c r="F1281" s="55">
        <v>10</v>
      </c>
      <c r="G1281" s="55">
        <v>50</v>
      </c>
      <c r="H1281" s="131" t="s">
        <v>2567</v>
      </c>
    </row>
    <row r="1282" spans="1:8">
      <c r="A1282" s="61">
        <v>8410225</v>
      </c>
      <c r="B1282" s="54" t="s">
        <v>2568</v>
      </c>
      <c r="C1282" s="57">
        <v>17750243088616</v>
      </c>
      <c r="D1282" s="54" t="s">
        <v>288</v>
      </c>
      <c r="E1282" s="54">
        <v>5</v>
      </c>
      <c r="F1282" s="54">
        <v>10</v>
      </c>
      <c r="G1282" s="54">
        <v>50</v>
      </c>
      <c r="H1282" s="131" t="s">
        <v>2569</v>
      </c>
    </row>
    <row r="1283" spans="1:8">
      <c r="A1283" s="62">
        <v>8410226</v>
      </c>
      <c r="B1283" s="55" t="s">
        <v>2570</v>
      </c>
      <c r="C1283" s="58">
        <v>17750243089057</v>
      </c>
      <c r="D1283" s="55" t="s">
        <v>288</v>
      </c>
      <c r="E1283" s="55">
        <v>4</v>
      </c>
      <c r="F1283" s="55">
        <v>8</v>
      </c>
      <c r="G1283" s="55">
        <v>32</v>
      </c>
      <c r="H1283" s="131" t="s">
        <v>2571</v>
      </c>
    </row>
    <row r="1284" spans="1:8">
      <c r="A1284" s="61">
        <v>8412007</v>
      </c>
      <c r="B1284" s="54" t="s">
        <v>2572</v>
      </c>
      <c r="C1284" s="57">
        <v>17751851020647</v>
      </c>
      <c r="D1284" s="54" t="s">
        <v>288</v>
      </c>
      <c r="E1284" s="54">
        <v>5</v>
      </c>
      <c r="F1284" s="54">
        <v>9</v>
      </c>
      <c r="G1284" s="54">
        <v>45</v>
      </c>
      <c r="H1284" s="131" t="s">
        <v>2573</v>
      </c>
    </row>
    <row r="1285" spans="1:8">
      <c r="A1285" s="62">
        <v>8412011</v>
      </c>
      <c r="B1285" s="55" t="s">
        <v>2574</v>
      </c>
      <c r="C1285" s="58">
        <v>17751851008751</v>
      </c>
      <c r="D1285" s="55" t="s">
        <v>288</v>
      </c>
      <c r="E1285" s="55">
        <v>5</v>
      </c>
      <c r="F1285" s="55">
        <v>8</v>
      </c>
      <c r="G1285" s="55">
        <v>40</v>
      </c>
      <c r="H1285" s="131" t="s">
        <v>2575</v>
      </c>
    </row>
    <row r="1286" spans="1:8">
      <c r="A1286" s="61">
        <v>8412020</v>
      </c>
      <c r="B1286" s="54" t="s">
        <v>2576</v>
      </c>
      <c r="C1286" s="57">
        <v>17751851031858</v>
      </c>
      <c r="D1286" s="54" t="s">
        <v>288</v>
      </c>
      <c r="E1286" s="54">
        <v>5</v>
      </c>
      <c r="F1286" s="54">
        <v>10</v>
      </c>
      <c r="G1286" s="54">
        <v>50</v>
      </c>
      <c r="H1286" s="131" t="s">
        <v>2577</v>
      </c>
    </row>
    <row r="1287" spans="1:8">
      <c r="A1287" s="62">
        <v>8412021</v>
      </c>
      <c r="B1287" s="55" t="s">
        <v>2578</v>
      </c>
      <c r="C1287" s="58">
        <v>17751851031865</v>
      </c>
      <c r="D1287" s="55" t="s">
        <v>288</v>
      </c>
      <c r="E1287" s="55">
        <v>5</v>
      </c>
      <c r="F1287" s="55">
        <v>10</v>
      </c>
      <c r="G1287" s="55">
        <v>50</v>
      </c>
      <c r="H1287" s="131" t="s">
        <v>2579</v>
      </c>
    </row>
    <row r="1288" spans="1:8">
      <c r="A1288" s="61">
        <v>8412022</v>
      </c>
      <c r="B1288" s="54" t="s">
        <v>2580</v>
      </c>
      <c r="C1288" s="57">
        <v>17751851031872</v>
      </c>
      <c r="D1288" s="54" t="s">
        <v>288</v>
      </c>
      <c r="E1288" s="54">
        <v>5</v>
      </c>
      <c r="F1288" s="54">
        <v>10</v>
      </c>
      <c r="G1288" s="54">
        <v>50</v>
      </c>
      <c r="H1288" s="131" t="s">
        <v>2581</v>
      </c>
    </row>
    <row r="1289" spans="1:8">
      <c r="A1289" s="62">
        <v>8412025</v>
      </c>
      <c r="B1289" s="55" t="s">
        <v>2582</v>
      </c>
      <c r="C1289" s="58">
        <v>17750243061039</v>
      </c>
      <c r="D1289" s="55" t="s">
        <v>288</v>
      </c>
      <c r="E1289" s="55">
        <v>5</v>
      </c>
      <c r="F1289" s="55">
        <v>7</v>
      </c>
      <c r="G1289" s="55">
        <v>35</v>
      </c>
      <c r="H1289" s="131" t="s">
        <v>2583</v>
      </c>
    </row>
    <row r="1290" spans="1:8">
      <c r="A1290" s="61">
        <v>8412036</v>
      </c>
      <c r="B1290" s="54" t="s">
        <v>2584</v>
      </c>
      <c r="C1290" s="57">
        <v>17750243070437</v>
      </c>
      <c r="D1290" s="54" t="s">
        <v>288</v>
      </c>
      <c r="E1290" s="54">
        <v>5</v>
      </c>
      <c r="F1290" s="54">
        <v>8</v>
      </c>
      <c r="G1290" s="54">
        <v>40</v>
      </c>
      <c r="H1290" s="131" t="s">
        <v>2585</v>
      </c>
    </row>
    <row r="1291" spans="1:8">
      <c r="A1291" s="62">
        <v>8412037</v>
      </c>
      <c r="B1291" s="55" t="s">
        <v>2586</v>
      </c>
      <c r="C1291" s="58">
        <v>17750243070444</v>
      </c>
      <c r="D1291" s="55" t="s">
        <v>288</v>
      </c>
      <c r="E1291" s="55">
        <v>5</v>
      </c>
      <c r="F1291" s="55">
        <v>9</v>
      </c>
      <c r="G1291" s="55">
        <v>45</v>
      </c>
      <c r="H1291" s="131" t="s">
        <v>2587</v>
      </c>
    </row>
    <row r="1292" spans="1:8">
      <c r="A1292" s="61">
        <v>8412038</v>
      </c>
      <c r="B1292" s="54" t="s">
        <v>2588</v>
      </c>
      <c r="C1292" s="57">
        <v>17750243070451</v>
      </c>
      <c r="D1292" s="54" t="s">
        <v>288</v>
      </c>
      <c r="E1292" s="54">
        <v>5</v>
      </c>
      <c r="F1292" s="54">
        <v>9</v>
      </c>
      <c r="G1292" s="54">
        <v>45</v>
      </c>
      <c r="H1292" s="131" t="s">
        <v>2589</v>
      </c>
    </row>
    <row r="1293" spans="1:8">
      <c r="A1293" s="62">
        <v>8412039</v>
      </c>
      <c r="B1293" s="55" t="s">
        <v>2590</v>
      </c>
      <c r="C1293" s="58">
        <v>17750243079690</v>
      </c>
      <c r="D1293" s="55" t="s">
        <v>288</v>
      </c>
      <c r="E1293" s="55">
        <v>5</v>
      </c>
      <c r="F1293" s="55">
        <v>11</v>
      </c>
      <c r="G1293" s="55">
        <v>55</v>
      </c>
      <c r="H1293" s="131" t="s">
        <v>2591</v>
      </c>
    </row>
    <row r="1294" spans="1:8">
      <c r="A1294" s="61">
        <v>8412040</v>
      </c>
      <c r="B1294" s="54" t="s">
        <v>2592</v>
      </c>
      <c r="C1294" s="57">
        <v>17750243079706</v>
      </c>
      <c r="D1294" s="54" t="s">
        <v>288</v>
      </c>
      <c r="E1294" s="54">
        <v>5</v>
      </c>
      <c r="F1294" s="54">
        <v>11</v>
      </c>
      <c r="G1294" s="54">
        <v>55</v>
      </c>
      <c r="H1294" s="131" t="s">
        <v>2593</v>
      </c>
    </row>
    <row r="1295" spans="1:8">
      <c r="A1295" s="62">
        <v>8412041</v>
      </c>
      <c r="B1295" s="55" t="s">
        <v>2594</v>
      </c>
      <c r="C1295" s="58">
        <v>17750243079713</v>
      </c>
      <c r="D1295" s="55" t="s">
        <v>288</v>
      </c>
      <c r="E1295" s="55">
        <v>5</v>
      </c>
      <c r="F1295" s="55">
        <v>11</v>
      </c>
      <c r="G1295" s="55">
        <v>55</v>
      </c>
      <c r="H1295" s="131" t="s">
        <v>2595</v>
      </c>
    </row>
    <row r="1296" spans="1:8">
      <c r="A1296" s="61">
        <v>8412042</v>
      </c>
      <c r="B1296" s="54" t="s">
        <v>2596</v>
      </c>
      <c r="C1296" s="57">
        <v>17750243079720</v>
      </c>
      <c r="D1296" s="54" t="s">
        <v>288</v>
      </c>
      <c r="E1296" s="54">
        <v>5</v>
      </c>
      <c r="F1296" s="54">
        <v>7</v>
      </c>
      <c r="G1296" s="54">
        <v>35</v>
      </c>
      <c r="H1296" s="131" t="s">
        <v>2597</v>
      </c>
    </row>
    <row r="1297" spans="1:8">
      <c r="A1297" s="62">
        <v>8412043</v>
      </c>
      <c r="B1297" s="55" t="s">
        <v>2598</v>
      </c>
      <c r="C1297" s="58">
        <v>17750243079737</v>
      </c>
      <c r="D1297" s="55" t="s">
        <v>288</v>
      </c>
      <c r="E1297" s="55">
        <v>5</v>
      </c>
      <c r="F1297" s="55">
        <v>7</v>
      </c>
      <c r="G1297" s="55">
        <v>35</v>
      </c>
      <c r="H1297" s="131" t="s">
        <v>2599</v>
      </c>
    </row>
    <row r="1298" spans="1:8">
      <c r="A1298" s="61">
        <v>8412044</v>
      </c>
      <c r="B1298" s="54" t="s">
        <v>2600</v>
      </c>
      <c r="C1298" s="57">
        <v>17750243079744</v>
      </c>
      <c r="D1298" s="54" t="s">
        <v>288</v>
      </c>
      <c r="E1298" s="54">
        <v>5</v>
      </c>
      <c r="F1298" s="54">
        <v>10</v>
      </c>
      <c r="G1298" s="54">
        <v>50</v>
      </c>
      <c r="H1298" s="131" t="s">
        <v>2601</v>
      </c>
    </row>
    <row r="1299" spans="1:8">
      <c r="A1299" s="62">
        <v>8412045</v>
      </c>
      <c r="B1299" s="55" t="s">
        <v>2602</v>
      </c>
      <c r="C1299" s="58">
        <v>17750243079751</v>
      </c>
      <c r="D1299" s="55" t="s">
        <v>288</v>
      </c>
      <c r="E1299" s="55">
        <v>5</v>
      </c>
      <c r="F1299" s="55">
        <v>10</v>
      </c>
      <c r="G1299" s="55">
        <v>50</v>
      </c>
      <c r="H1299" s="131" t="s">
        <v>2603</v>
      </c>
    </row>
    <row r="1300" spans="1:8">
      <c r="A1300" s="61">
        <v>8412046</v>
      </c>
      <c r="B1300" s="54" t="s">
        <v>2604</v>
      </c>
      <c r="C1300" s="57">
        <v>17750243079768</v>
      </c>
      <c r="D1300" s="54" t="s">
        <v>288</v>
      </c>
      <c r="E1300" s="54">
        <v>5</v>
      </c>
      <c r="F1300" s="54">
        <v>9</v>
      </c>
      <c r="G1300" s="54">
        <v>45</v>
      </c>
      <c r="H1300" s="131" t="s">
        <v>2605</v>
      </c>
    </row>
    <row r="1301" spans="1:8">
      <c r="A1301" s="62">
        <v>8412047</v>
      </c>
      <c r="B1301" s="55" t="s">
        <v>2606</v>
      </c>
      <c r="C1301" s="58">
        <v>17750243079775</v>
      </c>
      <c r="D1301" s="55" t="s">
        <v>288</v>
      </c>
      <c r="E1301" s="55">
        <v>5</v>
      </c>
      <c r="F1301" s="55">
        <v>10</v>
      </c>
      <c r="G1301" s="55">
        <v>50</v>
      </c>
      <c r="H1301" s="131" t="s">
        <v>2607</v>
      </c>
    </row>
    <row r="1302" spans="1:8">
      <c r="A1302" s="61">
        <v>8412048</v>
      </c>
      <c r="B1302" s="54" t="s">
        <v>2608</v>
      </c>
      <c r="C1302" s="57">
        <v>17750243079782</v>
      </c>
      <c r="D1302" s="54" t="s">
        <v>288</v>
      </c>
      <c r="E1302" s="54">
        <v>5</v>
      </c>
      <c r="F1302" s="54">
        <v>9</v>
      </c>
      <c r="G1302" s="54">
        <v>45</v>
      </c>
      <c r="H1302" s="131" t="s">
        <v>2609</v>
      </c>
    </row>
    <row r="1303" spans="1:8">
      <c r="A1303" s="62">
        <v>8412049</v>
      </c>
      <c r="B1303" s="55" t="s">
        <v>2610</v>
      </c>
      <c r="C1303" s="58">
        <v>17750243079799</v>
      </c>
      <c r="D1303" s="55" t="s">
        <v>288</v>
      </c>
      <c r="E1303" s="55">
        <v>5</v>
      </c>
      <c r="F1303" s="55">
        <v>10</v>
      </c>
      <c r="G1303" s="55">
        <v>50</v>
      </c>
      <c r="H1303" s="131" t="s">
        <v>2611</v>
      </c>
    </row>
    <row r="1304" spans="1:8">
      <c r="A1304" s="61">
        <v>8412050</v>
      </c>
      <c r="B1304" s="54" t="s">
        <v>2612</v>
      </c>
      <c r="C1304" s="57">
        <v>17750243079805</v>
      </c>
      <c r="D1304" s="54" t="s">
        <v>288</v>
      </c>
      <c r="E1304" s="54">
        <v>5</v>
      </c>
      <c r="F1304" s="54">
        <v>9</v>
      </c>
      <c r="G1304" s="54">
        <v>45</v>
      </c>
      <c r="H1304" s="131" t="s">
        <v>2613</v>
      </c>
    </row>
    <row r="1305" spans="1:8">
      <c r="A1305" s="62">
        <v>8412054</v>
      </c>
      <c r="B1305" s="55" t="s">
        <v>2614</v>
      </c>
      <c r="C1305" s="58">
        <v>17750243084762</v>
      </c>
      <c r="D1305" s="55" t="s">
        <v>288</v>
      </c>
      <c r="E1305" s="55">
        <v>5</v>
      </c>
      <c r="F1305" s="55">
        <v>10</v>
      </c>
      <c r="G1305" s="55">
        <v>50</v>
      </c>
      <c r="H1305" s="131" t="s">
        <v>2615</v>
      </c>
    </row>
    <row r="1306" spans="1:8">
      <c r="A1306" s="61">
        <v>8412055</v>
      </c>
      <c r="B1306" s="54" t="s">
        <v>2616</v>
      </c>
      <c r="C1306" s="57">
        <v>17750243084779</v>
      </c>
      <c r="D1306" s="54" t="s">
        <v>288</v>
      </c>
      <c r="E1306" s="54">
        <v>5</v>
      </c>
      <c r="F1306" s="54">
        <v>10</v>
      </c>
      <c r="G1306" s="54">
        <v>50</v>
      </c>
      <c r="H1306" s="131" t="s">
        <v>2617</v>
      </c>
    </row>
    <row r="1307" spans="1:8">
      <c r="A1307" s="62">
        <v>8412056</v>
      </c>
      <c r="B1307" s="55" t="s">
        <v>2618</v>
      </c>
      <c r="C1307" s="58">
        <v>17750243084786</v>
      </c>
      <c r="D1307" s="55" t="s">
        <v>288</v>
      </c>
      <c r="E1307" s="55">
        <v>5</v>
      </c>
      <c r="F1307" s="55">
        <v>10</v>
      </c>
      <c r="G1307" s="55">
        <v>50</v>
      </c>
      <c r="H1307" s="131" t="s">
        <v>2619</v>
      </c>
    </row>
    <row r="1308" spans="1:8">
      <c r="A1308" s="61">
        <v>8412057</v>
      </c>
      <c r="B1308" s="54" t="s">
        <v>2620</v>
      </c>
      <c r="C1308" s="57">
        <v>17750243084793</v>
      </c>
      <c r="D1308" s="54" t="s">
        <v>288</v>
      </c>
      <c r="E1308" s="54">
        <v>5</v>
      </c>
      <c r="F1308" s="54">
        <v>10</v>
      </c>
      <c r="G1308" s="54">
        <v>50</v>
      </c>
      <c r="H1308" s="131" t="s">
        <v>2621</v>
      </c>
    </row>
    <row r="1309" spans="1:8">
      <c r="A1309" s="62">
        <v>8412058</v>
      </c>
      <c r="B1309" s="55" t="s">
        <v>2622</v>
      </c>
      <c r="C1309" s="58">
        <v>17750243084809</v>
      </c>
      <c r="D1309" s="55" t="s">
        <v>288</v>
      </c>
      <c r="E1309" s="55">
        <v>5</v>
      </c>
      <c r="F1309" s="55">
        <v>10</v>
      </c>
      <c r="G1309" s="55">
        <v>50</v>
      </c>
      <c r="H1309" s="131" t="s">
        <v>2623</v>
      </c>
    </row>
    <row r="1310" spans="1:8">
      <c r="A1310" s="61">
        <v>8412059</v>
      </c>
      <c r="B1310" s="54" t="s">
        <v>2624</v>
      </c>
      <c r="C1310" s="57">
        <v>17750243084816</v>
      </c>
      <c r="D1310" s="54" t="s">
        <v>288</v>
      </c>
      <c r="E1310" s="54">
        <v>5</v>
      </c>
      <c r="F1310" s="54">
        <v>11</v>
      </c>
      <c r="G1310" s="54">
        <v>55</v>
      </c>
      <c r="H1310" s="131" t="s">
        <v>2625</v>
      </c>
    </row>
    <row r="1311" spans="1:8">
      <c r="A1311" s="62">
        <v>8412060</v>
      </c>
      <c r="B1311" s="55" t="s">
        <v>2626</v>
      </c>
      <c r="C1311" s="58">
        <v>17750243084823</v>
      </c>
      <c r="D1311" s="55" t="s">
        <v>288</v>
      </c>
      <c r="E1311" s="55">
        <v>5</v>
      </c>
      <c r="F1311" s="55">
        <v>11</v>
      </c>
      <c r="G1311" s="55">
        <v>55</v>
      </c>
      <c r="H1311" s="131" t="s">
        <v>2627</v>
      </c>
    </row>
    <row r="1312" spans="1:8">
      <c r="A1312" s="61">
        <v>8412061</v>
      </c>
      <c r="B1312" s="54" t="s">
        <v>2628</v>
      </c>
      <c r="C1312" s="57">
        <v>17750243084830</v>
      </c>
      <c r="D1312" s="54" t="s">
        <v>288</v>
      </c>
      <c r="E1312" s="54">
        <v>5</v>
      </c>
      <c r="F1312" s="54">
        <v>11</v>
      </c>
      <c r="G1312" s="54">
        <v>55</v>
      </c>
      <c r="H1312" s="131" t="s">
        <v>2629</v>
      </c>
    </row>
    <row r="1313" spans="1:8">
      <c r="A1313" s="62">
        <v>8412062</v>
      </c>
      <c r="B1313" s="55" t="s">
        <v>2630</v>
      </c>
      <c r="C1313" s="60"/>
      <c r="D1313" s="55" t="s">
        <v>288</v>
      </c>
      <c r="E1313" s="55">
        <v>5</v>
      </c>
      <c r="F1313" s="55">
        <v>10</v>
      </c>
      <c r="G1313" s="55">
        <v>50</v>
      </c>
      <c r="H1313" s="131" t="s">
        <v>2631</v>
      </c>
    </row>
    <row r="1314" spans="1:8">
      <c r="A1314" s="61">
        <v>8412063</v>
      </c>
      <c r="B1314" s="54" t="s">
        <v>2632</v>
      </c>
      <c r="C1314" s="59"/>
      <c r="D1314" s="54" t="s">
        <v>288</v>
      </c>
      <c r="E1314" s="54">
        <v>5</v>
      </c>
      <c r="F1314" s="54">
        <v>10</v>
      </c>
      <c r="G1314" s="54">
        <v>50</v>
      </c>
      <c r="H1314" s="131" t="s">
        <v>2633</v>
      </c>
    </row>
    <row r="1315" spans="1:8">
      <c r="A1315" s="62">
        <v>8412064</v>
      </c>
      <c r="B1315" s="55" t="s">
        <v>2634</v>
      </c>
      <c r="C1315" s="58">
        <v>17750243088647</v>
      </c>
      <c r="D1315" s="55" t="s">
        <v>288</v>
      </c>
      <c r="E1315" s="55">
        <v>5</v>
      </c>
      <c r="F1315" s="55">
        <v>10</v>
      </c>
      <c r="G1315" s="55">
        <v>50</v>
      </c>
      <c r="H1315" s="131" t="s">
        <v>2635</v>
      </c>
    </row>
    <row r="1316" spans="1:8">
      <c r="A1316" s="61">
        <v>8412065</v>
      </c>
      <c r="B1316" s="54" t="s">
        <v>2636</v>
      </c>
      <c r="C1316" s="57">
        <v>17750243088654</v>
      </c>
      <c r="D1316" s="54" t="s">
        <v>288</v>
      </c>
      <c r="E1316" s="54">
        <v>5</v>
      </c>
      <c r="F1316" s="54">
        <v>10</v>
      </c>
      <c r="G1316" s="54">
        <v>50</v>
      </c>
      <c r="H1316" s="131" t="s">
        <v>2637</v>
      </c>
    </row>
    <row r="1317" spans="1:8">
      <c r="A1317" s="62">
        <v>8412066</v>
      </c>
      <c r="B1317" s="55" t="s">
        <v>2638</v>
      </c>
      <c r="C1317" s="58">
        <v>17750243088661</v>
      </c>
      <c r="D1317" s="55" t="s">
        <v>288</v>
      </c>
      <c r="E1317" s="55">
        <v>5</v>
      </c>
      <c r="F1317" s="55">
        <v>10</v>
      </c>
      <c r="G1317" s="55">
        <v>50</v>
      </c>
      <c r="H1317" s="131" t="s">
        <v>2639</v>
      </c>
    </row>
    <row r="1318" spans="1:8">
      <c r="A1318" s="61">
        <v>8412067</v>
      </c>
      <c r="B1318" s="54" t="s">
        <v>2640</v>
      </c>
      <c r="C1318" s="57">
        <v>17750243088678</v>
      </c>
      <c r="D1318" s="54" t="s">
        <v>288</v>
      </c>
      <c r="E1318" s="54">
        <v>5</v>
      </c>
      <c r="F1318" s="54">
        <v>10</v>
      </c>
      <c r="G1318" s="54">
        <v>50</v>
      </c>
      <c r="H1318" s="131" t="s">
        <v>2641</v>
      </c>
    </row>
    <row r="1319" spans="1:8">
      <c r="A1319" s="62">
        <v>8412068</v>
      </c>
      <c r="B1319" s="55" t="s">
        <v>2642</v>
      </c>
      <c r="C1319" s="58">
        <v>17750243088685</v>
      </c>
      <c r="D1319" s="55" t="s">
        <v>288</v>
      </c>
      <c r="E1319" s="55">
        <v>5</v>
      </c>
      <c r="F1319" s="55">
        <v>10</v>
      </c>
      <c r="G1319" s="55">
        <v>50</v>
      </c>
      <c r="H1319" s="131" t="s">
        <v>2643</v>
      </c>
    </row>
    <row r="1320" spans="1:8">
      <c r="A1320" s="61">
        <v>8412069</v>
      </c>
      <c r="B1320" s="54" t="s">
        <v>2644</v>
      </c>
      <c r="C1320" s="57">
        <v>17750243088692</v>
      </c>
      <c r="D1320" s="54" t="s">
        <v>288</v>
      </c>
      <c r="E1320" s="54">
        <v>5</v>
      </c>
      <c r="F1320" s="54">
        <v>11</v>
      </c>
      <c r="G1320" s="54">
        <v>55</v>
      </c>
      <c r="H1320" s="131" t="s">
        <v>2645</v>
      </c>
    </row>
    <row r="1321" spans="1:8">
      <c r="A1321" s="62">
        <v>8412070</v>
      </c>
      <c r="B1321" s="55" t="s">
        <v>2646</v>
      </c>
      <c r="C1321" s="58">
        <v>17750243088708</v>
      </c>
      <c r="D1321" s="55" t="s">
        <v>288</v>
      </c>
      <c r="E1321" s="55">
        <v>5</v>
      </c>
      <c r="F1321" s="55">
        <v>11</v>
      </c>
      <c r="G1321" s="55">
        <v>55</v>
      </c>
      <c r="H1321" s="131" t="s">
        <v>2647</v>
      </c>
    </row>
    <row r="1322" spans="1:8">
      <c r="A1322" s="61">
        <v>8412071</v>
      </c>
      <c r="B1322" s="54" t="s">
        <v>2648</v>
      </c>
      <c r="C1322" s="57">
        <v>17750243088715</v>
      </c>
      <c r="D1322" s="54" t="s">
        <v>288</v>
      </c>
      <c r="E1322" s="54">
        <v>5</v>
      </c>
      <c r="F1322" s="54">
        <v>11</v>
      </c>
      <c r="G1322" s="54">
        <v>55</v>
      </c>
      <c r="H1322" s="133" t="s">
        <v>2649</v>
      </c>
    </row>
    <row r="1323" spans="1:8">
      <c r="A1323" s="62">
        <v>8412072</v>
      </c>
      <c r="B1323" s="55" t="s">
        <v>2650</v>
      </c>
      <c r="C1323" s="58">
        <v>17750243089026</v>
      </c>
      <c r="D1323" s="55" t="s">
        <v>288</v>
      </c>
      <c r="E1323" s="55">
        <v>5</v>
      </c>
      <c r="F1323" s="55">
        <v>7</v>
      </c>
      <c r="G1323" s="55">
        <v>35</v>
      </c>
      <c r="H1323" s="131" t="s">
        <v>2651</v>
      </c>
    </row>
    <row r="1324" spans="1:8">
      <c r="A1324" s="61">
        <v>8412073</v>
      </c>
      <c r="B1324" s="54" t="s">
        <v>2652</v>
      </c>
      <c r="C1324" s="57">
        <v>27750243079758</v>
      </c>
      <c r="D1324" s="54" t="s">
        <v>100</v>
      </c>
      <c r="E1324" s="54">
        <v>5</v>
      </c>
      <c r="F1324" s="54">
        <v>10</v>
      </c>
      <c r="G1324" s="54">
        <v>50</v>
      </c>
      <c r="H1324" s="131" t="s">
        <v>2653</v>
      </c>
    </row>
    <row r="1325" spans="1:8">
      <c r="A1325" s="62">
        <v>8412074</v>
      </c>
      <c r="B1325" s="55" t="s">
        <v>2654</v>
      </c>
      <c r="C1325" s="58">
        <v>27750243079741</v>
      </c>
      <c r="D1325" s="55" t="s">
        <v>100</v>
      </c>
      <c r="E1325" s="55">
        <v>5</v>
      </c>
      <c r="F1325" s="55">
        <v>10</v>
      </c>
      <c r="G1325" s="55">
        <v>50</v>
      </c>
      <c r="H1325" s="131" t="s">
        <v>2655</v>
      </c>
    </row>
    <row r="1326" spans="1:8">
      <c r="A1326" s="61">
        <v>8413002</v>
      </c>
      <c r="B1326" s="54" t="s">
        <v>2656</v>
      </c>
      <c r="C1326" s="59"/>
      <c r="D1326" s="54" t="s">
        <v>100</v>
      </c>
      <c r="E1326" s="54">
        <v>4</v>
      </c>
      <c r="F1326" s="54">
        <v>6</v>
      </c>
      <c r="G1326" s="54">
        <v>24</v>
      </c>
      <c r="H1326" s="131" t="s">
        <v>2657</v>
      </c>
    </row>
    <row r="1327" spans="1:8">
      <c r="A1327" s="62">
        <v>8413005</v>
      </c>
      <c r="B1327" s="55" t="s">
        <v>2658</v>
      </c>
      <c r="C1327" s="60"/>
      <c r="D1327" s="55" t="s">
        <v>100</v>
      </c>
      <c r="E1327" s="55">
        <v>4</v>
      </c>
      <c r="F1327" s="55">
        <v>6</v>
      </c>
      <c r="G1327" s="55">
        <v>24</v>
      </c>
      <c r="H1327" s="131" t="s">
        <v>2659</v>
      </c>
    </row>
    <row r="1328" spans="1:8">
      <c r="A1328" s="61">
        <v>8413011</v>
      </c>
      <c r="B1328" s="54" t="s">
        <v>2660</v>
      </c>
      <c r="C1328" s="59"/>
      <c r="D1328" s="54" t="s">
        <v>100</v>
      </c>
      <c r="E1328" s="54">
        <v>4</v>
      </c>
      <c r="F1328" s="54">
        <v>6</v>
      </c>
      <c r="G1328" s="54">
        <v>24</v>
      </c>
      <c r="H1328" s="131" t="s">
        <v>2661</v>
      </c>
    </row>
    <row r="1329" spans="1:8">
      <c r="A1329" s="62">
        <v>8414009</v>
      </c>
      <c r="B1329" s="55" t="s">
        <v>2662</v>
      </c>
      <c r="C1329" s="58">
        <v>17750243071717</v>
      </c>
      <c r="D1329" s="55" t="s">
        <v>288</v>
      </c>
      <c r="E1329" s="55">
        <v>5</v>
      </c>
      <c r="F1329" s="55">
        <v>10</v>
      </c>
      <c r="G1329" s="55">
        <v>50</v>
      </c>
      <c r="H1329" s="131" t="s">
        <v>2663</v>
      </c>
    </row>
    <row r="1330" spans="1:8">
      <c r="A1330" s="61">
        <v>8414010</v>
      </c>
      <c r="B1330" s="54" t="s">
        <v>2664</v>
      </c>
      <c r="C1330" s="57">
        <v>17750243071724</v>
      </c>
      <c r="D1330" s="54" t="s">
        <v>288</v>
      </c>
      <c r="E1330" s="54">
        <v>5</v>
      </c>
      <c r="F1330" s="54">
        <v>10</v>
      </c>
      <c r="G1330" s="54">
        <v>50</v>
      </c>
      <c r="H1330" s="131" t="s">
        <v>2665</v>
      </c>
    </row>
    <row r="1331" spans="1:8">
      <c r="A1331" s="62">
        <v>8414011</v>
      </c>
      <c r="B1331" s="55" t="s">
        <v>2666</v>
      </c>
      <c r="C1331" s="58">
        <v>17750243071731</v>
      </c>
      <c r="D1331" s="55" t="s">
        <v>288</v>
      </c>
      <c r="E1331" s="55">
        <v>5</v>
      </c>
      <c r="F1331" s="55">
        <v>9</v>
      </c>
      <c r="G1331" s="55">
        <v>45</v>
      </c>
      <c r="H1331" s="131" t="s">
        <v>2667</v>
      </c>
    </row>
    <row r="1332" spans="1:8">
      <c r="A1332" s="61">
        <v>8414012</v>
      </c>
      <c r="B1332" s="54" t="s">
        <v>2668</v>
      </c>
      <c r="C1332" s="57">
        <v>17750243071748</v>
      </c>
      <c r="D1332" s="54" t="s">
        <v>288</v>
      </c>
      <c r="E1332" s="54">
        <v>5</v>
      </c>
      <c r="F1332" s="54">
        <v>9</v>
      </c>
      <c r="G1332" s="54">
        <v>45</v>
      </c>
      <c r="H1332" s="131" t="s">
        <v>2669</v>
      </c>
    </row>
    <row r="1333" spans="1:8">
      <c r="A1333" s="62">
        <v>8414013</v>
      </c>
      <c r="B1333" s="55" t="s">
        <v>2670</v>
      </c>
      <c r="C1333" s="58">
        <v>17750243071885</v>
      </c>
      <c r="D1333" s="55" t="s">
        <v>288</v>
      </c>
      <c r="E1333" s="55">
        <v>5</v>
      </c>
      <c r="F1333" s="55">
        <v>7</v>
      </c>
      <c r="G1333" s="55">
        <v>35</v>
      </c>
      <c r="H1333" s="131" t="s">
        <v>2671</v>
      </c>
    </row>
    <row r="1334" spans="1:8">
      <c r="A1334" s="61">
        <v>8414014</v>
      </c>
      <c r="B1334" s="54" t="s">
        <v>2672</v>
      </c>
      <c r="C1334" s="57">
        <v>17750243071892</v>
      </c>
      <c r="D1334" s="54" t="s">
        <v>288</v>
      </c>
      <c r="E1334" s="54">
        <v>5</v>
      </c>
      <c r="F1334" s="54">
        <v>7</v>
      </c>
      <c r="G1334" s="54">
        <v>35</v>
      </c>
      <c r="H1334" s="131" t="s">
        <v>2673</v>
      </c>
    </row>
    <row r="1335" spans="1:8">
      <c r="A1335" s="62">
        <v>8414015</v>
      </c>
      <c r="B1335" s="55" t="s">
        <v>2674</v>
      </c>
      <c r="C1335" s="58">
        <v>17750243071908</v>
      </c>
      <c r="D1335" s="55" t="s">
        <v>288</v>
      </c>
      <c r="E1335" s="55">
        <v>5</v>
      </c>
      <c r="F1335" s="55">
        <v>10</v>
      </c>
      <c r="G1335" s="55">
        <v>50</v>
      </c>
      <c r="H1335" s="131" t="s">
        <v>2675</v>
      </c>
    </row>
    <row r="1336" spans="1:8">
      <c r="A1336" s="61">
        <v>8414016</v>
      </c>
      <c r="B1336" s="54" t="s">
        <v>2676</v>
      </c>
      <c r="C1336" s="57">
        <v>17750243071915</v>
      </c>
      <c r="D1336" s="54" t="s">
        <v>288</v>
      </c>
      <c r="E1336" s="54">
        <v>5</v>
      </c>
      <c r="F1336" s="54">
        <v>10</v>
      </c>
      <c r="G1336" s="54">
        <v>50</v>
      </c>
      <c r="H1336" s="131" t="s">
        <v>2677</v>
      </c>
    </row>
    <row r="1337" spans="1:8">
      <c r="A1337" s="62">
        <v>8414017</v>
      </c>
      <c r="B1337" s="55" t="s">
        <v>2678</v>
      </c>
      <c r="C1337" s="58">
        <v>7750243072373</v>
      </c>
      <c r="D1337" s="55" t="s">
        <v>100</v>
      </c>
      <c r="E1337" s="55">
        <v>4</v>
      </c>
      <c r="F1337" s="55">
        <v>8</v>
      </c>
      <c r="G1337" s="55">
        <v>32</v>
      </c>
      <c r="H1337" s="131" t="s">
        <v>2679</v>
      </c>
    </row>
    <row r="1338" spans="1:8">
      <c r="A1338" s="61">
        <v>8414018</v>
      </c>
      <c r="B1338" s="54" t="s">
        <v>2680</v>
      </c>
      <c r="C1338" s="57">
        <v>7750243072380</v>
      </c>
      <c r="D1338" s="54" t="s">
        <v>100</v>
      </c>
      <c r="E1338" s="54">
        <v>4</v>
      </c>
      <c r="F1338" s="54">
        <v>8</v>
      </c>
      <c r="G1338" s="54">
        <v>32</v>
      </c>
      <c r="H1338" s="131" t="s">
        <v>2681</v>
      </c>
    </row>
    <row r="1339" spans="1:8">
      <c r="A1339" s="62">
        <v>8414020</v>
      </c>
      <c r="B1339" s="55" t="s">
        <v>2682</v>
      </c>
      <c r="C1339" s="58">
        <v>17750243073209</v>
      </c>
      <c r="D1339" s="55" t="s">
        <v>288</v>
      </c>
      <c r="E1339" s="55">
        <v>5</v>
      </c>
      <c r="F1339" s="55">
        <v>10</v>
      </c>
      <c r="G1339" s="55">
        <v>50</v>
      </c>
      <c r="H1339" s="131" t="s">
        <v>2683</v>
      </c>
    </row>
    <row r="1340" spans="1:8">
      <c r="A1340" s="61">
        <v>8414021</v>
      </c>
      <c r="B1340" s="54" t="s">
        <v>2684</v>
      </c>
      <c r="C1340" s="57">
        <v>17750243073216</v>
      </c>
      <c r="D1340" s="54" t="s">
        <v>288</v>
      </c>
      <c r="E1340" s="54">
        <v>5</v>
      </c>
      <c r="F1340" s="54">
        <v>10</v>
      </c>
      <c r="G1340" s="54">
        <v>50</v>
      </c>
      <c r="H1340" s="131" t="s">
        <v>2685</v>
      </c>
    </row>
    <row r="1341" spans="1:8">
      <c r="A1341" s="62">
        <v>8414022</v>
      </c>
      <c r="B1341" s="55" t="s">
        <v>2686</v>
      </c>
      <c r="C1341" s="58">
        <v>17750243073223</v>
      </c>
      <c r="D1341" s="55" t="s">
        <v>288</v>
      </c>
      <c r="E1341" s="55">
        <v>5</v>
      </c>
      <c r="F1341" s="55">
        <v>10</v>
      </c>
      <c r="G1341" s="55">
        <v>50</v>
      </c>
      <c r="H1341" s="131" t="s">
        <v>2687</v>
      </c>
    </row>
    <row r="1342" spans="1:8">
      <c r="A1342" s="61">
        <v>8414023</v>
      </c>
      <c r="B1342" s="54" t="s">
        <v>2688</v>
      </c>
      <c r="C1342" s="57">
        <v>7750243073486</v>
      </c>
      <c r="D1342" s="54" t="s">
        <v>100</v>
      </c>
      <c r="E1342" s="54">
        <v>17</v>
      </c>
      <c r="F1342" s="54">
        <v>2</v>
      </c>
      <c r="G1342" s="54">
        <v>34</v>
      </c>
      <c r="H1342" s="131" t="s">
        <v>2689</v>
      </c>
    </row>
    <row r="1343" spans="1:8">
      <c r="A1343" s="62">
        <v>8414029</v>
      </c>
      <c r="B1343" s="55" t="s">
        <v>2690</v>
      </c>
      <c r="C1343" s="58">
        <v>17750243076989</v>
      </c>
      <c r="D1343" s="55" t="s">
        <v>288</v>
      </c>
      <c r="E1343" s="55">
        <v>5</v>
      </c>
      <c r="F1343" s="55">
        <v>8</v>
      </c>
      <c r="G1343" s="55">
        <v>40</v>
      </c>
      <c r="H1343" s="131" t="s">
        <v>2691</v>
      </c>
    </row>
    <row r="1344" spans="1:8">
      <c r="A1344" s="61">
        <v>8414035</v>
      </c>
      <c r="B1344" s="54" t="s">
        <v>2692</v>
      </c>
      <c r="C1344" s="57">
        <v>17750243079355</v>
      </c>
      <c r="D1344" s="54" t="s">
        <v>288</v>
      </c>
      <c r="E1344" s="54">
        <v>5</v>
      </c>
      <c r="F1344" s="54">
        <v>8</v>
      </c>
      <c r="G1344" s="54">
        <v>40</v>
      </c>
      <c r="H1344" s="131" t="s">
        <v>2693</v>
      </c>
    </row>
    <row r="1345" spans="1:8">
      <c r="A1345" s="62">
        <v>8414036</v>
      </c>
      <c r="B1345" s="55" t="s">
        <v>2694</v>
      </c>
      <c r="C1345" s="58">
        <v>17750243079362</v>
      </c>
      <c r="D1345" s="55" t="s">
        <v>288</v>
      </c>
      <c r="E1345" s="55">
        <v>5</v>
      </c>
      <c r="F1345" s="55">
        <v>8</v>
      </c>
      <c r="G1345" s="55">
        <v>40</v>
      </c>
      <c r="H1345" s="131" t="s">
        <v>2695</v>
      </c>
    </row>
    <row r="1346" spans="1:8">
      <c r="A1346" s="61">
        <v>8414037</v>
      </c>
      <c r="B1346" s="54" t="s">
        <v>2696</v>
      </c>
      <c r="C1346" s="57">
        <v>17750243079379</v>
      </c>
      <c r="D1346" s="54" t="s">
        <v>288</v>
      </c>
      <c r="E1346" s="54">
        <v>5</v>
      </c>
      <c r="F1346" s="54">
        <v>8</v>
      </c>
      <c r="G1346" s="54">
        <v>40</v>
      </c>
      <c r="H1346" s="131" t="s">
        <v>2697</v>
      </c>
    </row>
    <row r="1347" spans="1:8">
      <c r="A1347" s="62">
        <v>8414038</v>
      </c>
      <c r="B1347" s="55" t="s">
        <v>2698</v>
      </c>
      <c r="C1347" s="58">
        <v>17750243079386</v>
      </c>
      <c r="D1347" s="55" t="s">
        <v>288</v>
      </c>
      <c r="E1347" s="55">
        <v>5</v>
      </c>
      <c r="F1347" s="55">
        <v>9</v>
      </c>
      <c r="G1347" s="55">
        <v>45</v>
      </c>
      <c r="H1347" s="131" t="s">
        <v>2699</v>
      </c>
    </row>
    <row r="1348" spans="1:8">
      <c r="A1348" s="61">
        <v>8414041</v>
      </c>
      <c r="B1348" s="54" t="s">
        <v>2700</v>
      </c>
      <c r="C1348" s="59"/>
      <c r="D1348" s="54" t="s">
        <v>2701</v>
      </c>
      <c r="E1348" s="56"/>
      <c r="F1348" s="56"/>
      <c r="G1348" s="54">
        <v>1</v>
      </c>
      <c r="H1348" s="131" t="s">
        <v>2702</v>
      </c>
    </row>
    <row r="1349" spans="1:8">
      <c r="A1349" s="62">
        <v>8414042</v>
      </c>
      <c r="B1349" s="55" t="s">
        <v>2703</v>
      </c>
      <c r="C1349" s="58">
        <v>17750243085400</v>
      </c>
      <c r="D1349" s="55" t="s">
        <v>288</v>
      </c>
      <c r="E1349" s="55">
        <v>5</v>
      </c>
      <c r="F1349" s="55">
        <v>9</v>
      </c>
      <c r="G1349" s="55">
        <v>45</v>
      </c>
      <c r="H1349" s="131" t="s">
        <v>2704</v>
      </c>
    </row>
    <row r="1350" spans="1:8">
      <c r="A1350" s="61">
        <v>8414043</v>
      </c>
      <c r="B1350" s="54" t="s">
        <v>2705</v>
      </c>
      <c r="C1350" s="57">
        <v>7750243088787</v>
      </c>
      <c r="D1350" s="54" t="s">
        <v>100</v>
      </c>
      <c r="E1350" s="54">
        <v>17</v>
      </c>
      <c r="F1350" s="54">
        <v>2</v>
      </c>
      <c r="G1350" s="54">
        <v>34</v>
      </c>
      <c r="H1350" s="131" t="s">
        <v>2706</v>
      </c>
    </row>
    <row r="1351" spans="1:8">
      <c r="A1351" s="62">
        <v>8414044</v>
      </c>
      <c r="B1351" s="55" t="s">
        <v>2707</v>
      </c>
      <c r="C1351" s="58">
        <v>17750243089088</v>
      </c>
      <c r="D1351" s="55" t="s">
        <v>288</v>
      </c>
      <c r="E1351" s="55">
        <v>5</v>
      </c>
      <c r="F1351" s="55">
        <v>9</v>
      </c>
      <c r="G1351" s="55">
        <v>45</v>
      </c>
      <c r="H1351" s="131" t="s">
        <v>2708</v>
      </c>
    </row>
    <row r="1352" spans="1:8">
      <c r="A1352" s="61">
        <v>8414045</v>
      </c>
      <c r="B1352" s="54" t="s">
        <v>2709</v>
      </c>
      <c r="C1352" s="57">
        <v>17750243089095</v>
      </c>
      <c r="D1352" s="54" t="s">
        <v>288</v>
      </c>
      <c r="E1352" s="54">
        <v>5</v>
      </c>
      <c r="F1352" s="54">
        <v>11</v>
      </c>
      <c r="G1352" s="54">
        <v>55</v>
      </c>
      <c r="H1352" s="131" t="s">
        <v>2710</v>
      </c>
    </row>
    <row r="1353" spans="1:8">
      <c r="A1353" s="62">
        <v>8414046</v>
      </c>
      <c r="B1353" s="55" t="s">
        <v>2711</v>
      </c>
      <c r="C1353" s="58">
        <v>7750243089104</v>
      </c>
      <c r="D1353" s="55" t="s">
        <v>100</v>
      </c>
      <c r="E1353" s="55">
        <v>6</v>
      </c>
      <c r="F1353" s="55">
        <v>11</v>
      </c>
      <c r="G1353" s="55">
        <v>66</v>
      </c>
      <c r="H1353" s="131" t="s">
        <v>2712</v>
      </c>
    </row>
    <row r="1354" spans="1:8">
      <c r="A1354" s="61">
        <v>8414047</v>
      </c>
      <c r="B1354" s="54" t="s">
        <v>2713</v>
      </c>
      <c r="C1354" s="57">
        <v>17750243089118</v>
      </c>
      <c r="D1354" s="54" t="s">
        <v>288</v>
      </c>
      <c r="E1354" s="54">
        <v>5</v>
      </c>
      <c r="F1354" s="54">
        <v>7</v>
      </c>
      <c r="G1354" s="54">
        <v>35</v>
      </c>
      <c r="H1354" s="131" t="s">
        <v>2714</v>
      </c>
    </row>
    <row r="1355" spans="1:8">
      <c r="A1355" s="62">
        <v>8414048</v>
      </c>
      <c r="B1355" s="55" t="s">
        <v>2715</v>
      </c>
      <c r="C1355" s="58">
        <v>17750243089125</v>
      </c>
      <c r="D1355" s="55" t="s">
        <v>288</v>
      </c>
      <c r="E1355" s="55">
        <v>5</v>
      </c>
      <c r="F1355" s="55">
        <v>9</v>
      </c>
      <c r="G1355" s="55">
        <v>45</v>
      </c>
      <c r="H1355" s="131" t="s">
        <v>2716</v>
      </c>
    </row>
    <row r="1356" spans="1:8">
      <c r="A1356" s="61">
        <v>8414049</v>
      </c>
      <c r="B1356" s="54" t="s">
        <v>2717</v>
      </c>
      <c r="C1356" s="57">
        <v>17750243089132</v>
      </c>
      <c r="D1356" s="54" t="s">
        <v>288</v>
      </c>
      <c r="E1356" s="54">
        <v>5</v>
      </c>
      <c r="F1356" s="54">
        <v>11</v>
      </c>
      <c r="G1356" s="54">
        <v>55</v>
      </c>
      <c r="H1356" s="131" t="s">
        <v>2718</v>
      </c>
    </row>
    <row r="1357" spans="1:8">
      <c r="A1357" s="62">
        <v>8414050</v>
      </c>
      <c r="B1357" s="55" t="s">
        <v>2719</v>
      </c>
      <c r="C1357" s="58">
        <v>17750243089149</v>
      </c>
      <c r="D1357" s="55" t="s">
        <v>288</v>
      </c>
      <c r="E1357" s="55">
        <v>5</v>
      </c>
      <c r="F1357" s="55">
        <v>10</v>
      </c>
      <c r="G1357" s="55">
        <v>50</v>
      </c>
      <c r="H1357" s="131" t="s">
        <v>2720</v>
      </c>
    </row>
    <row r="1358" spans="1:8">
      <c r="A1358" s="61">
        <v>8414051</v>
      </c>
      <c r="B1358" s="54" t="s">
        <v>2721</v>
      </c>
      <c r="C1358" s="57">
        <v>17750243089156</v>
      </c>
      <c r="D1358" s="54" t="s">
        <v>288</v>
      </c>
      <c r="E1358" s="54">
        <v>5</v>
      </c>
      <c r="F1358" s="54">
        <v>10</v>
      </c>
      <c r="G1358" s="54">
        <v>50</v>
      </c>
      <c r="H1358" s="131" t="s">
        <v>2722</v>
      </c>
    </row>
    <row r="1359" spans="1:8">
      <c r="A1359" s="62">
        <v>8600091</v>
      </c>
      <c r="B1359" s="55" t="s">
        <v>2723</v>
      </c>
      <c r="C1359" s="58">
        <v>17750243057407</v>
      </c>
      <c r="D1359" s="55" t="s">
        <v>9</v>
      </c>
      <c r="E1359" s="55">
        <v>18</v>
      </c>
      <c r="F1359" s="55">
        <v>4</v>
      </c>
      <c r="G1359" s="55">
        <v>72</v>
      </c>
      <c r="H1359" s="131" t="s">
        <v>2724</v>
      </c>
    </row>
    <row r="1360" spans="1:8">
      <c r="A1360" s="61">
        <v>8600095</v>
      </c>
      <c r="B1360" s="54" t="s">
        <v>2725</v>
      </c>
      <c r="C1360" s="57">
        <v>17750243057445</v>
      </c>
      <c r="D1360" s="54" t="s">
        <v>9</v>
      </c>
      <c r="E1360" s="54">
        <v>18</v>
      </c>
      <c r="F1360" s="54">
        <v>4</v>
      </c>
      <c r="G1360" s="54">
        <v>72</v>
      </c>
      <c r="H1360" s="131" t="s">
        <v>2726</v>
      </c>
    </row>
    <row r="1361" spans="1:8">
      <c r="A1361" s="62">
        <v>8600099</v>
      </c>
      <c r="B1361" s="55" t="s">
        <v>2727</v>
      </c>
      <c r="C1361" s="58">
        <v>17750243058466</v>
      </c>
      <c r="D1361" s="55" t="s">
        <v>9</v>
      </c>
      <c r="E1361" s="55">
        <v>18</v>
      </c>
      <c r="F1361" s="55">
        <v>4</v>
      </c>
      <c r="G1361" s="55">
        <v>72</v>
      </c>
      <c r="H1361" s="131" t="s">
        <v>2728</v>
      </c>
    </row>
    <row r="1362" spans="1:8">
      <c r="A1362" s="61">
        <v>8600104</v>
      </c>
      <c r="B1362" s="54" t="s">
        <v>2729</v>
      </c>
      <c r="C1362" s="57">
        <v>17750243061664</v>
      </c>
      <c r="D1362" s="54" t="s">
        <v>9</v>
      </c>
      <c r="E1362" s="54">
        <v>18</v>
      </c>
      <c r="F1362" s="54">
        <v>4</v>
      </c>
      <c r="G1362" s="54">
        <v>72</v>
      </c>
      <c r="H1362" s="131" t="s">
        <v>2730</v>
      </c>
    </row>
    <row r="1363" spans="1:8">
      <c r="A1363" s="62">
        <v>8600107</v>
      </c>
      <c r="B1363" s="55" t="s">
        <v>2731</v>
      </c>
      <c r="C1363" s="58">
        <v>17750243065365</v>
      </c>
      <c r="D1363" s="55" t="s">
        <v>9</v>
      </c>
      <c r="E1363" s="55">
        <v>18</v>
      </c>
      <c r="F1363" s="55">
        <v>4</v>
      </c>
      <c r="G1363" s="55">
        <v>72</v>
      </c>
      <c r="H1363" s="131" t="s">
        <v>2732</v>
      </c>
    </row>
    <row r="1364" spans="1:8">
      <c r="A1364" s="61">
        <v>8600115</v>
      </c>
      <c r="B1364" s="54" t="s">
        <v>2733</v>
      </c>
      <c r="C1364" s="57">
        <v>17750243068823</v>
      </c>
      <c r="D1364" s="54" t="s">
        <v>9</v>
      </c>
      <c r="E1364" s="54">
        <v>18</v>
      </c>
      <c r="F1364" s="54">
        <v>4</v>
      </c>
      <c r="G1364" s="54">
        <v>72</v>
      </c>
      <c r="H1364" s="131" t="s">
        <v>2734</v>
      </c>
    </row>
    <row r="1365" spans="1:8">
      <c r="A1365" s="62">
        <v>8600116</v>
      </c>
      <c r="B1365" s="55" t="s">
        <v>2735</v>
      </c>
      <c r="C1365" s="58">
        <v>17750243068830</v>
      </c>
      <c r="D1365" s="55" t="s">
        <v>9</v>
      </c>
      <c r="E1365" s="55">
        <v>18</v>
      </c>
      <c r="F1365" s="55">
        <v>4</v>
      </c>
      <c r="G1365" s="55">
        <v>72</v>
      </c>
      <c r="H1365" s="131" t="s">
        <v>2736</v>
      </c>
    </row>
    <row r="1366" spans="1:8">
      <c r="A1366" s="61">
        <v>8600117</v>
      </c>
      <c r="B1366" s="54" t="s">
        <v>2737</v>
      </c>
      <c r="C1366" s="57">
        <v>17750243068847</v>
      </c>
      <c r="D1366" s="54" t="s">
        <v>9</v>
      </c>
      <c r="E1366" s="54">
        <v>18</v>
      </c>
      <c r="F1366" s="54">
        <v>4</v>
      </c>
      <c r="G1366" s="54">
        <v>72</v>
      </c>
      <c r="H1366" s="131" t="s">
        <v>2738</v>
      </c>
    </row>
    <row r="1367" spans="1:8">
      <c r="A1367" s="62">
        <v>8600118</v>
      </c>
      <c r="B1367" s="55" t="s">
        <v>2739</v>
      </c>
      <c r="C1367" s="58">
        <v>17750243068854</v>
      </c>
      <c r="D1367" s="55" t="s">
        <v>9</v>
      </c>
      <c r="E1367" s="55">
        <v>18</v>
      </c>
      <c r="F1367" s="55">
        <v>4</v>
      </c>
      <c r="G1367" s="55">
        <v>72</v>
      </c>
      <c r="H1367" s="131" t="s">
        <v>2740</v>
      </c>
    </row>
    <row r="1368" spans="1:8">
      <c r="A1368" s="61">
        <v>8600119</v>
      </c>
      <c r="B1368" s="54" t="s">
        <v>2741</v>
      </c>
      <c r="C1368" s="57">
        <v>17750243068861</v>
      </c>
      <c r="D1368" s="54" t="s">
        <v>9</v>
      </c>
      <c r="E1368" s="54">
        <v>18</v>
      </c>
      <c r="F1368" s="54">
        <v>4</v>
      </c>
      <c r="G1368" s="54">
        <v>72</v>
      </c>
      <c r="H1368" s="131" t="s">
        <v>2742</v>
      </c>
    </row>
    <row r="1369" spans="1:8">
      <c r="A1369" s="62">
        <v>8600120</v>
      </c>
      <c r="B1369" s="55" t="s">
        <v>2743</v>
      </c>
      <c r="C1369" s="58">
        <v>17750243068878</v>
      </c>
      <c r="D1369" s="55" t="s">
        <v>9</v>
      </c>
      <c r="E1369" s="55">
        <v>18</v>
      </c>
      <c r="F1369" s="55">
        <v>4</v>
      </c>
      <c r="G1369" s="55">
        <v>72</v>
      </c>
      <c r="H1369" s="131" t="s">
        <v>2744</v>
      </c>
    </row>
    <row r="1370" spans="1:8">
      <c r="A1370" s="61">
        <v>8600121</v>
      </c>
      <c r="B1370" s="54" t="s">
        <v>2745</v>
      </c>
      <c r="C1370" s="57">
        <v>17750243068885</v>
      </c>
      <c r="D1370" s="54" t="s">
        <v>9</v>
      </c>
      <c r="E1370" s="54">
        <v>18</v>
      </c>
      <c r="F1370" s="54">
        <v>4</v>
      </c>
      <c r="G1370" s="54">
        <v>72</v>
      </c>
      <c r="H1370" s="131" t="s">
        <v>2746</v>
      </c>
    </row>
    <row r="1371" spans="1:8">
      <c r="A1371" s="62">
        <v>8600122</v>
      </c>
      <c r="B1371" s="55" t="s">
        <v>2747</v>
      </c>
      <c r="C1371" s="58">
        <v>17750243068892</v>
      </c>
      <c r="D1371" s="55" t="s">
        <v>9</v>
      </c>
      <c r="E1371" s="55">
        <v>18</v>
      </c>
      <c r="F1371" s="55">
        <v>4</v>
      </c>
      <c r="G1371" s="55">
        <v>72</v>
      </c>
      <c r="H1371" s="131" t="s">
        <v>2748</v>
      </c>
    </row>
    <row r="1372" spans="1:8">
      <c r="A1372" s="61">
        <v>8600123</v>
      </c>
      <c r="B1372" s="54" t="s">
        <v>2749</v>
      </c>
      <c r="C1372" s="57">
        <v>17750243068908</v>
      </c>
      <c r="D1372" s="54" t="s">
        <v>9</v>
      </c>
      <c r="E1372" s="54">
        <v>18</v>
      </c>
      <c r="F1372" s="54">
        <v>4</v>
      </c>
      <c r="G1372" s="54">
        <v>72</v>
      </c>
      <c r="H1372" s="131" t="s">
        <v>2750</v>
      </c>
    </row>
    <row r="1373" spans="1:8">
      <c r="A1373" s="62">
        <v>8600124</v>
      </c>
      <c r="B1373" s="55" t="s">
        <v>2751</v>
      </c>
      <c r="C1373" s="58">
        <v>17750243068915</v>
      </c>
      <c r="D1373" s="55" t="s">
        <v>9</v>
      </c>
      <c r="E1373" s="55">
        <v>18</v>
      </c>
      <c r="F1373" s="55">
        <v>4</v>
      </c>
      <c r="G1373" s="55">
        <v>72</v>
      </c>
      <c r="H1373" s="131" t="s">
        <v>2752</v>
      </c>
    </row>
    <row r="1374" spans="1:8">
      <c r="A1374" s="61">
        <v>8600125</v>
      </c>
      <c r="B1374" s="54" t="s">
        <v>2753</v>
      </c>
      <c r="C1374" s="57">
        <v>17750243068922</v>
      </c>
      <c r="D1374" s="54" t="s">
        <v>9</v>
      </c>
      <c r="E1374" s="54">
        <v>18</v>
      </c>
      <c r="F1374" s="54">
        <v>4</v>
      </c>
      <c r="G1374" s="54">
        <v>72</v>
      </c>
      <c r="H1374" s="131" t="s">
        <v>2754</v>
      </c>
    </row>
    <row r="1375" spans="1:8">
      <c r="A1375" s="62">
        <v>8600127</v>
      </c>
      <c r="B1375" s="55" t="s">
        <v>2755</v>
      </c>
      <c r="C1375" s="58">
        <v>17750243068946</v>
      </c>
      <c r="D1375" s="55" t="s">
        <v>9</v>
      </c>
      <c r="E1375" s="55">
        <v>18</v>
      </c>
      <c r="F1375" s="55">
        <v>4</v>
      </c>
      <c r="G1375" s="55">
        <v>72</v>
      </c>
      <c r="H1375" s="131" t="s">
        <v>2756</v>
      </c>
    </row>
    <row r="1376" spans="1:8">
      <c r="A1376" s="61">
        <v>8600130</v>
      </c>
      <c r="B1376" s="54" t="s">
        <v>2757</v>
      </c>
      <c r="C1376" s="57">
        <v>27750243068899</v>
      </c>
      <c r="D1376" s="54" t="s">
        <v>9</v>
      </c>
      <c r="E1376" s="54">
        <v>18</v>
      </c>
      <c r="F1376" s="54">
        <v>4</v>
      </c>
      <c r="G1376" s="54">
        <v>72</v>
      </c>
      <c r="H1376" s="131" t="s">
        <v>2758</v>
      </c>
    </row>
    <row r="1377" spans="1:8">
      <c r="A1377" s="62">
        <v>8600131</v>
      </c>
      <c r="B1377" s="55" t="s">
        <v>2759</v>
      </c>
      <c r="C1377" s="58">
        <v>27750243068837</v>
      </c>
      <c r="D1377" s="55" t="s">
        <v>9</v>
      </c>
      <c r="E1377" s="55">
        <v>18</v>
      </c>
      <c r="F1377" s="55">
        <v>4</v>
      </c>
      <c r="G1377" s="55">
        <v>72</v>
      </c>
      <c r="H1377" s="131" t="s">
        <v>2760</v>
      </c>
    </row>
    <row r="1378" spans="1:8">
      <c r="A1378" s="61">
        <v>8600132</v>
      </c>
      <c r="B1378" s="54" t="s">
        <v>2761</v>
      </c>
      <c r="C1378" s="57">
        <v>27750243068851</v>
      </c>
      <c r="D1378" s="54" t="s">
        <v>9</v>
      </c>
      <c r="E1378" s="54">
        <v>18</v>
      </c>
      <c r="F1378" s="54">
        <v>4</v>
      </c>
      <c r="G1378" s="54">
        <v>72</v>
      </c>
      <c r="H1378" s="131" t="s">
        <v>2762</v>
      </c>
    </row>
    <row r="1379" spans="1:8">
      <c r="A1379" s="62">
        <v>8600133</v>
      </c>
      <c r="B1379" s="55" t="s">
        <v>2763</v>
      </c>
      <c r="C1379" s="58">
        <v>17750243078709</v>
      </c>
      <c r="D1379" s="55" t="s">
        <v>9</v>
      </c>
      <c r="E1379" s="55">
        <v>18</v>
      </c>
      <c r="F1379" s="55">
        <v>4</v>
      </c>
      <c r="G1379" s="55">
        <v>72</v>
      </c>
      <c r="H1379" s="131" t="s">
        <v>2764</v>
      </c>
    </row>
    <row r="1380" spans="1:8">
      <c r="A1380" s="61">
        <v>8600134</v>
      </c>
      <c r="B1380" s="54" t="s">
        <v>2765</v>
      </c>
      <c r="C1380" s="57">
        <v>17750243079997</v>
      </c>
      <c r="D1380" s="54" t="s">
        <v>9</v>
      </c>
      <c r="E1380" s="54">
        <v>18</v>
      </c>
      <c r="F1380" s="54">
        <v>4</v>
      </c>
      <c r="G1380" s="54">
        <v>72</v>
      </c>
      <c r="H1380" s="131" t="s">
        <v>2766</v>
      </c>
    </row>
    <row r="1381" spans="1:8">
      <c r="A1381" s="62">
        <v>8600135</v>
      </c>
      <c r="B1381" s="55" t="s">
        <v>2767</v>
      </c>
      <c r="C1381" s="58">
        <v>17750243080009</v>
      </c>
      <c r="D1381" s="55" t="s">
        <v>9</v>
      </c>
      <c r="E1381" s="55">
        <v>18</v>
      </c>
      <c r="F1381" s="55">
        <v>4</v>
      </c>
      <c r="G1381" s="55">
        <v>72</v>
      </c>
      <c r="H1381" s="131" t="s">
        <v>2768</v>
      </c>
    </row>
    <row r="1382" spans="1:8">
      <c r="A1382" s="61">
        <v>8600136</v>
      </c>
      <c r="B1382" s="54" t="s">
        <v>2769</v>
      </c>
      <c r="C1382" s="57">
        <v>17750243080467</v>
      </c>
      <c r="D1382" s="54" t="s">
        <v>9</v>
      </c>
      <c r="E1382" s="54">
        <v>18</v>
      </c>
      <c r="F1382" s="54">
        <v>4</v>
      </c>
      <c r="G1382" s="54">
        <v>72</v>
      </c>
      <c r="H1382" s="131" t="s">
        <v>2770</v>
      </c>
    </row>
    <row r="1383" spans="1:8">
      <c r="A1383" s="62">
        <v>8600137</v>
      </c>
      <c r="B1383" s="55" t="s">
        <v>2771</v>
      </c>
      <c r="C1383" s="58">
        <v>17750243080474</v>
      </c>
      <c r="D1383" s="55" t="s">
        <v>9</v>
      </c>
      <c r="E1383" s="55">
        <v>18</v>
      </c>
      <c r="F1383" s="55">
        <v>4</v>
      </c>
      <c r="G1383" s="55">
        <v>72</v>
      </c>
      <c r="H1383" s="131" t="s">
        <v>2772</v>
      </c>
    </row>
    <row r="1384" spans="1:8">
      <c r="A1384" s="61">
        <v>8600138</v>
      </c>
      <c r="B1384" s="54" t="s">
        <v>2773</v>
      </c>
      <c r="C1384" s="57">
        <v>17750243080481</v>
      </c>
      <c r="D1384" s="54" t="s">
        <v>9</v>
      </c>
      <c r="E1384" s="54">
        <v>18</v>
      </c>
      <c r="F1384" s="54">
        <v>4</v>
      </c>
      <c r="G1384" s="54">
        <v>72</v>
      </c>
      <c r="H1384" s="131" t="s">
        <v>2774</v>
      </c>
    </row>
    <row r="1385" spans="1:8">
      <c r="A1385" s="62">
        <v>8600139</v>
      </c>
      <c r="B1385" s="55" t="s">
        <v>2775</v>
      </c>
      <c r="C1385" s="58">
        <v>17750243080443</v>
      </c>
      <c r="D1385" s="55" t="s">
        <v>9</v>
      </c>
      <c r="E1385" s="55">
        <v>22</v>
      </c>
      <c r="F1385" s="55">
        <v>4</v>
      </c>
      <c r="G1385" s="55">
        <v>88</v>
      </c>
      <c r="H1385" s="131" t="s">
        <v>2776</v>
      </c>
    </row>
    <row r="1386" spans="1:8">
      <c r="A1386" s="61">
        <v>8600140</v>
      </c>
      <c r="B1386" s="54" t="s">
        <v>2777</v>
      </c>
      <c r="C1386" s="57">
        <v>17750243080450</v>
      </c>
      <c r="D1386" s="54" t="s">
        <v>9</v>
      </c>
      <c r="E1386" s="54">
        <v>22</v>
      </c>
      <c r="F1386" s="54">
        <v>4</v>
      </c>
      <c r="G1386" s="54">
        <v>88</v>
      </c>
      <c r="H1386" s="131" t="s">
        <v>2778</v>
      </c>
    </row>
    <row r="1387" spans="1:8">
      <c r="A1387" s="62">
        <v>8600141</v>
      </c>
      <c r="B1387" s="55" t="s">
        <v>2779</v>
      </c>
      <c r="C1387" s="58">
        <v>17750243080726</v>
      </c>
      <c r="D1387" s="55" t="s">
        <v>9</v>
      </c>
      <c r="E1387" s="55">
        <v>18</v>
      </c>
      <c r="F1387" s="55">
        <v>4</v>
      </c>
      <c r="G1387" s="55">
        <v>72</v>
      </c>
      <c r="H1387" s="131" t="s">
        <v>2780</v>
      </c>
    </row>
    <row r="1388" spans="1:8">
      <c r="A1388" s="61">
        <v>8600142</v>
      </c>
      <c r="B1388" s="54" t="s">
        <v>2781</v>
      </c>
      <c r="C1388" s="57">
        <v>17750243080733</v>
      </c>
      <c r="D1388" s="54" t="s">
        <v>9</v>
      </c>
      <c r="E1388" s="54">
        <v>18</v>
      </c>
      <c r="F1388" s="54">
        <v>4</v>
      </c>
      <c r="G1388" s="54">
        <v>72</v>
      </c>
      <c r="H1388" s="131" t="s">
        <v>2782</v>
      </c>
    </row>
    <row r="1389" spans="1:8">
      <c r="A1389" s="62">
        <v>8600143</v>
      </c>
      <c r="B1389" s="55" t="s">
        <v>2783</v>
      </c>
      <c r="C1389" s="58">
        <v>17750243081563</v>
      </c>
      <c r="D1389" s="55" t="s">
        <v>9</v>
      </c>
      <c r="E1389" s="55">
        <v>18</v>
      </c>
      <c r="F1389" s="55">
        <v>4</v>
      </c>
      <c r="G1389" s="55">
        <v>72</v>
      </c>
      <c r="H1389" s="131" t="s">
        <v>2784</v>
      </c>
    </row>
    <row r="1390" spans="1:8">
      <c r="A1390" s="61">
        <v>8600144</v>
      </c>
      <c r="B1390" s="54" t="s">
        <v>2785</v>
      </c>
      <c r="C1390" s="57">
        <v>27750243068868</v>
      </c>
      <c r="D1390" s="54" t="s">
        <v>9</v>
      </c>
      <c r="E1390" s="54">
        <v>18</v>
      </c>
      <c r="F1390" s="54">
        <v>4</v>
      </c>
      <c r="G1390" s="54">
        <v>72</v>
      </c>
      <c r="H1390" s="131" t="s">
        <v>2786</v>
      </c>
    </row>
    <row r="1391" spans="1:8">
      <c r="A1391" s="62">
        <v>8600146</v>
      </c>
      <c r="B1391" s="55" t="s">
        <v>2787</v>
      </c>
      <c r="C1391" s="58">
        <v>27750243080723</v>
      </c>
      <c r="D1391" s="55" t="s">
        <v>9</v>
      </c>
      <c r="E1391" s="55">
        <v>18</v>
      </c>
      <c r="F1391" s="55">
        <v>4</v>
      </c>
      <c r="G1391" s="55">
        <v>72</v>
      </c>
      <c r="H1391" s="131" t="s">
        <v>2788</v>
      </c>
    </row>
    <row r="1392" spans="1:8">
      <c r="A1392" s="61">
        <v>8600148</v>
      </c>
      <c r="B1392" s="54" t="s">
        <v>2789</v>
      </c>
      <c r="C1392" s="57">
        <v>27750243080730</v>
      </c>
      <c r="D1392" s="54" t="s">
        <v>9</v>
      </c>
      <c r="E1392" s="54">
        <v>18</v>
      </c>
      <c r="F1392" s="54">
        <v>4</v>
      </c>
      <c r="G1392" s="54">
        <v>72</v>
      </c>
      <c r="H1392" s="131" t="s">
        <v>2790</v>
      </c>
    </row>
    <row r="1393" spans="1:8">
      <c r="A1393" s="62">
        <v>8600149</v>
      </c>
      <c r="B1393" s="55" t="s">
        <v>2791</v>
      </c>
      <c r="C1393" s="58">
        <v>7750243080477</v>
      </c>
      <c r="D1393" s="55" t="s">
        <v>100</v>
      </c>
      <c r="E1393" s="55">
        <v>864</v>
      </c>
      <c r="F1393" s="55">
        <v>4</v>
      </c>
      <c r="G1393" s="55">
        <v>3456</v>
      </c>
      <c r="H1393" s="131" t="s">
        <v>2792</v>
      </c>
    </row>
    <row r="1394" spans="1:8">
      <c r="A1394" s="61">
        <v>8603025</v>
      </c>
      <c r="B1394" s="54" t="s">
        <v>2793</v>
      </c>
      <c r="C1394" s="57">
        <v>17750243054468</v>
      </c>
      <c r="D1394" s="54" t="s">
        <v>9</v>
      </c>
      <c r="E1394" s="54">
        <v>22</v>
      </c>
      <c r="F1394" s="54">
        <v>4</v>
      </c>
      <c r="G1394" s="54">
        <v>88</v>
      </c>
      <c r="H1394" s="131" t="s">
        <v>2794</v>
      </c>
    </row>
    <row r="1395" spans="1:8">
      <c r="A1395" s="62">
        <v>8603027</v>
      </c>
      <c r="B1395" s="55" t="s">
        <v>2795</v>
      </c>
      <c r="C1395" s="58">
        <v>17750243069974</v>
      </c>
      <c r="D1395" s="55" t="s">
        <v>9</v>
      </c>
      <c r="E1395" s="55">
        <v>22</v>
      </c>
      <c r="F1395" s="55">
        <v>4</v>
      </c>
      <c r="G1395" s="55">
        <v>88</v>
      </c>
      <c r="H1395" s="131" t="s">
        <v>2796</v>
      </c>
    </row>
    <row r="1396" spans="1:8">
      <c r="A1396" s="61">
        <v>8603028</v>
      </c>
      <c r="B1396" s="54" t="s">
        <v>2797</v>
      </c>
      <c r="C1396" s="57">
        <v>17750243069981</v>
      </c>
      <c r="D1396" s="54" t="s">
        <v>9</v>
      </c>
      <c r="E1396" s="54">
        <v>22</v>
      </c>
      <c r="F1396" s="54">
        <v>4</v>
      </c>
      <c r="G1396" s="54">
        <v>88</v>
      </c>
      <c r="H1396" s="131" t="s">
        <v>2798</v>
      </c>
    </row>
    <row r="1397" spans="1:8">
      <c r="A1397" s="62">
        <v>8603029</v>
      </c>
      <c r="B1397" s="55" t="s">
        <v>2799</v>
      </c>
      <c r="C1397" s="58">
        <v>17750243081570</v>
      </c>
      <c r="D1397" s="55" t="s">
        <v>9</v>
      </c>
      <c r="E1397" s="55">
        <v>22</v>
      </c>
      <c r="F1397" s="55">
        <v>4</v>
      </c>
      <c r="G1397" s="55">
        <v>88</v>
      </c>
      <c r="H1397" s="131" t="s">
        <v>2800</v>
      </c>
    </row>
    <row r="1398" spans="1:8">
      <c r="A1398" s="61">
        <v>8603030</v>
      </c>
      <c r="B1398" s="54" t="s">
        <v>2801</v>
      </c>
      <c r="C1398" s="57">
        <v>17750243083017</v>
      </c>
      <c r="D1398" s="54" t="s">
        <v>9</v>
      </c>
      <c r="E1398" s="54">
        <v>22</v>
      </c>
      <c r="F1398" s="54">
        <v>4</v>
      </c>
      <c r="G1398" s="54">
        <v>88</v>
      </c>
      <c r="H1398" s="131" t="s">
        <v>2802</v>
      </c>
    </row>
    <row r="1399" spans="1:8">
      <c r="A1399" s="62">
        <v>8603031</v>
      </c>
      <c r="B1399" s="55" t="s">
        <v>2803</v>
      </c>
      <c r="C1399" s="58">
        <v>17750243083024</v>
      </c>
      <c r="D1399" s="55" t="s">
        <v>9</v>
      </c>
      <c r="E1399" s="55">
        <v>22</v>
      </c>
      <c r="F1399" s="55">
        <v>4</v>
      </c>
      <c r="G1399" s="55">
        <v>88</v>
      </c>
      <c r="H1399" s="131" t="s">
        <v>2804</v>
      </c>
    </row>
    <row r="1400" spans="1:8">
      <c r="A1400" s="61">
        <v>8603032</v>
      </c>
      <c r="B1400" s="54" t="s">
        <v>2805</v>
      </c>
      <c r="C1400" s="57">
        <v>17750243086438</v>
      </c>
      <c r="D1400" s="54" t="s">
        <v>9</v>
      </c>
      <c r="E1400" s="54">
        <v>22</v>
      </c>
      <c r="F1400" s="54">
        <v>4</v>
      </c>
      <c r="G1400" s="54">
        <v>88</v>
      </c>
      <c r="H1400" s="131" t="s">
        <v>2806</v>
      </c>
    </row>
    <row r="1401" spans="1:8">
      <c r="A1401" s="62">
        <v>8603033</v>
      </c>
      <c r="B1401" s="55" t="s">
        <v>2807</v>
      </c>
      <c r="C1401" s="58">
        <v>17750243086445</v>
      </c>
      <c r="D1401" s="55" t="s">
        <v>9</v>
      </c>
      <c r="E1401" s="55">
        <v>22</v>
      </c>
      <c r="F1401" s="55">
        <v>4</v>
      </c>
      <c r="G1401" s="55">
        <v>88</v>
      </c>
      <c r="H1401" s="131" t="s">
        <v>2808</v>
      </c>
    </row>
    <row r="1402" spans="1:8">
      <c r="A1402" s="61">
        <v>8606030</v>
      </c>
      <c r="B1402" s="54" t="s">
        <v>2809</v>
      </c>
      <c r="C1402" s="57">
        <v>17750243060919</v>
      </c>
      <c r="D1402" s="54" t="s">
        <v>9</v>
      </c>
      <c r="E1402" s="54">
        <v>20</v>
      </c>
      <c r="F1402" s="54">
        <v>4</v>
      </c>
      <c r="G1402" s="54">
        <v>80</v>
      </c>
      <c r="H1402" s="131" t="s">
        <v>2810</v>
      </c>
    </row>
    <row r="1403" spans="1:8">
      <c r="A1403" s="62">
        <v>8606034</v>
      </c>
      <c r="B1403" s="55" t="s">
        <v>2811</v>
      </c>
      <c r="C1403" s="58">
        <v>17750243068656</v>
      </c>
      <c r="D1403" s="55" t="s">
        <v>9</v>
      </c>
      <c r="E1403" s="55">
        <v>22</v>
      </c>
      <c r="F1403" s="55">
        <v>4</v>
      </c>
      <c r="G1403" s="55">
        <v>88</v>
      </c>
      <c r="H1403" s="131" t="s">
        <v>2812</v>
      </c>
    </row>
    <row r="1404" spans="1:8">
      <c r="A1404" s="61">
        <v>8606035</v>
      </c>
      <c r="B1404" s="54" t="s">
        <v>2813</v>
      </c>
      <c r="C1404" s="57">
        <v>17750243068670</v>
      </c>
      <c r="D1404" s="54" t="s">
        <v>9</v>
      </c>
      <c r="E1404" s="54">
        <v>22</v>
      </c>
      <c r="F1404" s="54">
        <v>4</v>
      </c>
      <c r="G1404" s="54">
        <v>88</v>
      </c>
      <c r="H1404" s="131" t="s">
        <v>2814</v>
      </c>
    </row>
    <row r="1405" spans="1:8">
      <c r="A1405" s="62">
        <v>8606037</v>
      </c>
      <c r="B1405" s="55" t="s">
        <v>2815</v>
      </c>
      <c r="C1405" s="58">
        <v>17750243070031</v>
      </c>
      <c r="D1405" s="55" t="s">
        <v>9</v>
      </c>
      <c r="E1405" s="55">
        <v>22</v>
      </c>
      <c r="F1405" s="55">
        <v>4</v>
      </c>
      <c r="G1405" s="55">
        <v>88</v>
      </c>
      <c r="H1405" s="131" t="s">
        <v>2816</v>
      </c>
    </row>
    <row r="1406" spans="1:8">
      <c r="A1406" s="61">
        <v>8606038</v>
      </c>
      <c r="B1406" s="54" t="s">
        <v>2817</v>
      </c>
      <c r="C1406" s="57">
        <v>17750243070048</v>
      </c>
      <c r="D1406" s="54" t="s">
        <v>9</v>
      </c>
      <c r="E1406" s="54">
        <v>22</v>
      </c>
      <c r="F1406" s="54">
        <v>4</v>
      </c>
      <c r="G1406" s="54">
        <v>88</v>
      </c>
      <c r="H1406" s="131" t="s">
        <v>2818</v>
      </c>
    </row>
    <row r="1407" spans="1:8">
      <c r="A1407" s="62">
        <v>8606039</v>
      </c>
      <c r="B1407" s="55" t="s">
        <v>2819</v>
      </c>
      <c r="C1407" s="58">
        <v>17750243070055</v>
      </c>
      <c r="D1407" s="55" t="s">
        <v>9</v>
      </c>
      <c r="E1407" s="55">
        <v>22</v>
      </c>
      <c r="F1407" s="55">
        <v>4</v>
      </c>
      <c r="G1407" s="55">
        <v>88</v>
      </c>
      <c r="H1407" s="131" t="s">
        <v>2820</v>
      </c>
    </row>
    <row r="1408" spans="1:8">
      <c r="A1408" s="61">
        <v>8606041</v>
      </c>
      <c r="B1408" s="54" t="s">
        <v>2821</v>
      </c>
      <c r="C1408" s="57">
        <v>17750243084052</v>
      </c>
      <c r="D1408" s="54" t="s">
        <v>9</v>
      </c>
      <c r="E1408" s="54">
        <v>22</v>
      </c>
      <c r="F1408" s="54">
        <v>4</v>
      </c>
      <c r="G1408" s="54">
        <v>88</v>
      </c>
      <c r="H1408" s="131" t="s">
        <v>2822</v>
      </c>
    </row>
    <row r="1409" spans="1:8">
      <c r="A1409" s="62">
        <v>8606042</v>
      </c>
      <c r="B1409" s="55" t="s">
        <v>2823</v>
      </c>
      <c r="C1409" s="58">
        <v>17750243084298</v>
      </c>
      <c r="D1409" s="55" t="s">
        <v>9</v>
      </c>
      <c r="E1409" s="55">
        <v>22</v>
      </c>
      <c r="F1409" s="55">
        <v>4</v>
      </c>
      <c r="G1409" s="55">
        <v>88</v>
      </c>
      <c r="H1409" s="131" t="s">
        <v>2824</v>
      </c>
    </row>
    <row r="1410" spans="1:8">
      <c r="A1410" s="61">
        <v>8606043</v>
      </c>
      <c r="B1410" s="54" t="s">
        <v>2825</v>
      </c>
      <c r="C1410" s="57">
        <v>17750672003020</v>
      </c>
      <c r="D1410" s="54" t="s">
        <v>9</v>
      </c>
      <c r="E1410" s="54">
        <v>8</v>
      </c>
      <c r="F1410" s="54">
        <v>8</v>
      </c>
      <c r="G1410" s="54">
        <v>64</v>
      </c>
      <c r="H1410" s="131" t="s">
        <v>2826</v>
      </c>
    </row>
    <row r="1411" spans="1:8">
      <c r="A1411" s="62">
        <v>8606044</v>
      </c>
      <c r="B1411" s="55" t="s">
        <v>2827</v>
      </c>
      <c r="C1411" s="58">
        <v>17750672002801</v>
      </c>
      <c r="D1411" s="55" t="s">
        <v>9</v>
      </c>
      <c r="E1411" s="55">
        <v>8</v>
      </c>
      <c r="F1411" s="55">
        <v>8</v>
      </c>
      <c r="G1411" s="55">
        <v>64</v>
      </c>
      <c r="H1411" s="131" t="s">
        <v>2828</v>
      </c>
    </row>
    <row r="1412" spans="1:8">
      <c r="A1412" s="61">
        <v>8606045</v>
      </c>
      <c r="B1412" s="54" t="s">
        <v>2829</v>
      </c>
      <c r="C1412" s="57">
        <v>17750672002788</v>
      </c>
      <c r="D1412" s="54" t="s">
        <v>9</v>
      </c>
      <c r="E1412" s="54">
        <v>16</v>
      </c>
      <c r="F1412" s="54">
        <v>5</v>
      </c>
      <c r="G1412" s="54">
        <v>80</v>
      </c>
      <c r="H1412" s="131" t="s">
        <v>2830</v>
      </c>
    </row>
    <row r="1413" spans="1:8">
      <c r="A1413" s="62">
        <v>8606046</v>
      </c>
      <c r="B1413" s="55" t="s">
        <v>83</v>
      </c>
      <c r="C1413" s="58">
        <v>17750672002795</v>
      </c>
      <c r="D1413" s="55" t="s">
        <v>9</v>
      </c>
      <c r="E1413" s="55">
        <v>16</v>
      </c>
      <c r="F1413" s="55">
        <v>5</v>
      </c>
      <c r="G1413" s="55">
        <v>80</v>
      </c>
      <c r="H1413" s="131" t="s">
        <v>2831</v>
      </c>
    </row>
    <row r="1414" spans="1:8">
      <c r="A1414" s="61">
        <v>8606047</v>
      </c>
      <c r="B1414" s="54" t="s">
        <v>2832</v>
      </c>
      <c r="C1414" s="57">
        <v>17750672003198</v>
      </c>
      <c r="D1414" s="54" t="s">
        <v>9</v>
      </c>
      <c r="E1414" s="54">
        <v>12</v>
      </c>
      <c r="F1414" s="54">
        <v>8</v>
      </c>
      <c r="G1414" s="54">
        <v>96</v>
      </c>
      <c r="H1414" s="131" t="s">
        <v>2833</v>
      </c>
    </row>
    <row r="1415" spans="1:8">
      <c r="A1415" s="62">
        <v>8606048</v>
      </c>
      <c r="B1415" s="55" t="s">
        <v>2834</v>
      </c>
      <c r="C1415" s="58">
        <v>17750672003112</v>
      </c>
      <c r="D1415" s="55" t="s">
        <v>9</v>
      </c>
      <c r="E1415" s="55">
        <v>12</v>
      </c>
      <c r="F1415" s="55">
        <v>8</v>
      </c>
      <c r="G1415" s="55">
        <v>96</v>
      </c>
      <c r="H1415" s="131" t="s">
        <v>2835</v>
      </c>
    </row>
    <row r="1416" spans="1:8">
      <c r="A1416" s="61">
        <v>8606049</v>
      </c>
      <c r="B1416" s="54" t="s">
        <v>2836</v>
      </c>
      <c r="C1416" s="57">
        <v>17750672003105</v>
      </c>
      <c r="D1416" s="54" t="s">
        <v>9</v>
      </c>
      <c r="E1416" s="54">
        <v>12</v>
      </c>
      <c r="F1416" s="54">
        <v>8</v>
      </c>
      <c r="G1416" s="54">
        <v>96</v>
      </c>
      <c r="H1416" s="131" t="s">
        <v>2837</v>
      </c>
    </row>
    <row r="1417" spans="1:8">
      <c r="A1417" s="62">
        <v>8606050</v>
      </c>
      <c r="B1417" s="55" t="s">
        <v>2838</v>
      </c>
      <c r="C1417" s="58">
        <v>17750672003181</v>
      </c>
      <c r="D1417" s="55" t="s">
        <v>288</v>
      </c>
      <c r="E1417" s="55">
        <v>12</v>
      </c>
      <c r="F1417" s="55">
        <v>8</v>
      </c>
      <c r="G1417" s="55">
        <v>96</v>
      </c>
      <c r="H1417" s="131" t="s">
        <v>2839</v>
      </c>
    </row>
    <row r="1418" spans="1:8">
      <c r="A1418" s="61">
        <v>8607500</v>
      </c>
      <c r="B1418" s="54" t="s">
        <v>2840</v>
      </c>
      <c r="C1418" s="57">
        <v>17750243075746</v>
      </c>
      <c r="D1418" s="54" t="s">
        <v>9</v>
      </c>
      <c r="E1418" s="54">
        <v>22</v>
      </c>
      <c r="F1418" s="54">
        <v>4</v>
      </c>
      <c r="G1418" s="54">
        <v>88</v>
      </c>
      <c r="H1418" s="131" t="s">
        <v>2841</v>
      </c>
    </row>
    <row r="1419" spans="1:8">
      <c r="A1419" s="62">
        <v>8680011</v>
      </c>
      <c r="B1419" s="55" t="s">
        <v>2842</v>
      </c>
      <c r="C1419" s="58">
        <v>17750243074763</v>
      </c>
      <c r="D1419" s="55" t="s">
        <v>9</v>
      </c>
      <c r="E1419" s="55">
        <v>20</v>
      </c>
      <c r="F1419" s="55">
        <v>4</v>
      </c>
      <c r="G1419" s="55">
        <v>80</v>
      </c>
      <c r="H1419" s="131" t="s">
        <v>2843</v>
      </c>
    </row>
    <row r="1420" spans="1:8">
      <c r="A1420" s="61">
        <v>8680012</v>
      </c>
      <c r="B1420" s="54" t="s">
        <v>2844</v>
      </c>
      <c r="C1420" s="57">
        <v>17750243074770</v>
      </c>
      <c r="D1420" s="54" t="s">
        <v>9</v>
      </c>
      <c r="E1420" s="54">
        <v>20</v>
      </c>
      <c r="F1420" s="54">
        <v>4</v>
      </c>
      <c r="G1420" s="54">
        <v>80</v>
      </c>
      <c r="H1420" s="131" t="s">
        <v>2845</v>
      </c>
    </row>
    <row r="1421" spans="1:8">
      <c r="A1421" s="62">
        <v>8680013</v>
      </c>
      <c r="B1421" s="55" t="s">
        <v>2846</v>
      </c>
      <c r="C1421" s="58">
        <v>17750243074787</v>
      </c>
      <c r="D1421" s="55" t="s">
        <v>9</v>
      </c>
      <c r="E1421" s="55">
        <v>20</v>
      </c>
      <c r="F1421" s="55">
        <v>4</v>
      </c>
      <c r="G1421" s="55">
        <v>80</v>
      </c>
      <c r="H1421" s="131" t="s">
        <v>2847</v>
      </c>
    </row>
    <row r="1422" spans="1:8">
      <c r="A1422" s="61">
        <v>8680014</v>
      </c>
      <c r="B1422" s="54" t="s">
        <v>2848</v>
      </c>
      <c r="C1422" s="57">
        <v>17750243074794</v>
      </c>
      <c r="D1422" s="54" t="s">
        <v>9</v>
      </c>
      <c r="E1422" s="54">
        <v>20</v>
      </c>
      <c r="F1422" s="54">
        <v>4</v>
      </c>
      <c r="G1422" s="54">
        <v>80</v>
      </c>
      <c r="H1422" s="131" t="s">
        <v>2849</v>
      </c>
    </row>
    <row r="1423" spans="1:8">
      <c r="A1423" s="62">
        <v>8680015</v>
      </c>
      <c r="B1423" s="55" t="s">
        <v>2850</v>
      </c>
      <c r="C1423" s="58">
        <v>17750243074800</v>
      </c>
      <c r="D1423" s="55" t="s">
        <v>9</v>
      </c>
      <c r="E1423" s="55">
        <v>20</v>
      </c>
      <c r="F1423" s="55">
        <v>4</v>
      </c>
      <c r="G1423" s="55">
        <v>80</v>
      </c>
      <c r="H1423" s="131" t="s">
        <v>2851</v>
      </c>
    </row>
    <row r="1424" spans="1:8">
      <c r="A1424" s="61">
        <v>8680016</v>
      </c>
      <c r="B1424" s="54" t="s">
        <v>2852</v>
      </c>
      <c r="C1424" s="57">
        <v>17750243081853</v>
      </c>
      <c r="D1424" s="54" t="s">
        <v>9</v>
      </c>
      <c r="E1424" s="54">
        <v>20</v>
      </c>
      <c r="F1424" s="54">
        <v>4</v>
      </c>
      <c r="G1424" s="54">
        <v>80</v>
      </c>
      <c r="H1424" s="131" t="s">
        <v>2853</v>
      </c>
    </row>
    <row r="1425" spans="1:8">
      <c r="A1425" s="62">
        <v>8680017</v>
      </c>
      <c r="B1425" s="55" t="s">
        <v>2854</v>
      </c>
      <c r="C1425" s="58">
        <v>17750243081860</v>
      </c>
      <c r="D1425" s="55" t="s">
        <v>9</v>
      </c>
      <c r="E1425" s="55">
        <v>20</v>
      </c>
      <c r="F1425" s="55">
        <v>4</v>
      </c>
      <c r="G1425" s="55">
        <v>80</v>
      </c>
      <c r="H1425" s="131" t="s">
        <v>2855</v>
      </c>
    </row>
    <row r="1426" spans="1:8">
      <c r="A1426" s="61">
        <v>8680018</v>
      </c>
      <c r="B1426" s="54" t="s">
        <v>2856</v>
      </c>
      <c r="C1426" s="57">
        <v>17750243081877</v>
      </c>
      <c r="D1426" s="54" t="s">
        <v>9</v>
      </c>
      <c r="E1426" s="54">
        <v>20</v>
      </c>
      <c r="F1426" s="54">
        <v>4</v>
      </c>
      <c r="G1426" s="54">
        <v>80</v>
      </c>
      <c r="H1426" s="131" t="s">
        <v>2857</v>
      </c>
    </row>
    <row r="1427" spans="1:8">
      <c r="A1427" s="62">
        <v>8680019</v>
      </c>
      <c r="B1427" s="55" t="s">
        <v>2858</v>
      </c>
      <c r="C1427" s="58">
        <v>17750243081884</v>
      </c>
      <c r="D1427" s="55" t="s">
        <v>9</v>
      </c>
      <c r="E1427" s="55">
        <v>20</v>
      </c>
      <c r="F1427" s="55">
        <v>4</v>
      </c>
      <c r="G1427" s="55">
        <v>80</v>
      </c>
      <c r="H1427" s="131" t="s">
        <v>2859</v>
      </c>
    </row>
    <row r="1428" spans="1:8">
      <c r="A1428" s="61">
        <v>8680020</v>
      </c>
      <c r="B1428" s="54" t="s">
        <v>2860</v>
      </c>
      <c r="C1428" s="57">
        <v>7750243081917</v>
      </c>
      <c r="D1428" s="54" t="s">
        <v>100</v>
      </c>
      <c r="E1428" s="54">
        <v>960</v>
      </c>
      <c r="F1428" s="54">
        <v>4</v>
      </c>
      <c r="G1428" s="54">
        <v>3840</v>
      </c>
      <c r="H1428" s="131" t="s">
        <v>2861</v>
      </c>
    </row>
    <row r="1429" spans="1:8">
      <c r="A1429" s="62">
        <v>8700008</v>
      </c>
      <c r="B1429" s="55" t="s">
        <v>2862</v>
      </c>
      <c r="C1429" s="58">
        <v>17750243049266</v>
      </c>
      <c r="D1429" s="55" t="s">
        <v>9</v>
      </c>
      <c r="E1429" s="55">
        <v>12</v>
      </c>
      <c r="F1429" s="55">
        <v>3</v>
      </c>
      <c r="G1429" s="55">
        <v>36</v>
      </c>
      <c r="H1429" s="131" t="s">
        <v>2863</v>
      </c>
    </row>
    <row r="1430" spans="1:8">
      <c r="A1430" s="61">
        <v>8700013</v>
      </c>
      <c r="B1430" s="54" t="s">
        <v>2864</v>
      </c>
      <c r="C1430" s="57">
        <v>27750243049249</v>
      </c>
      <c r="D1430" s="54" t="s">
        <v>9</v>
      </c>
      <c r="E1430" s="54">
        <v>14</v>
      </c>
      <c r="F1430" s="54">
        <v>5</v>
      </c>
      <c r="G1430" s="54">
        <v>70</v>
      </c>
      <c r="H1430" s="131" t="s">
        <v>2865</v>
      </c>
    </row>
    <row r="1431" spans="1:8">
      <c r="A1431" s="62">
        <v>8700016</v>
      </c>
      <c r="B1431" s="55" t="s">
        <v>2866</v>
      </c>
      <c r="C1431" s="58">
        <v>17750243053768</v>
      </c>
      <c r="D1431" s="55" t="s">
        <v>9</v>
      </c>
      <c r="E1431" s="55">
        <v>10</v>
      </c>
      <c r="F1431" s="55">
        <v>4</v>
      </c>
      <c r="G1431" s="55">
        <v>40</v>
      </c>
      <c r="H1431" s="131" t="s">
        <v>2867</v>
      </c>
    </row>
    <row r="1432" spans="1:8">
      <c r="A1432" s="61">
        <v>8700017</v>
      </c>
      <c r="B1432" s="54" t="s">
        <v>2868</v>
      </c>
      <c r="C1432" s="57">
        <v>17750243053805</v>
      </c>
      <c r="D1432" s="54" t="s">
        <v>9</v>
      </c>
      <c r="E1432" s="54">
        <v>10</v>
      </c>
      <c r="F1432" s="54">
        <v>6</v>
      </c>
      <c r="G1432" s="54">
        <v>60</v>
      </c>
      <c r="H1432" s="131" t="s">
        <v>2869</v>
      </c>
    </row>
    <row r="1433" spans="1:8">
      <c r="A1433" s="62">
        <v>8700020</v>
      </c>
      <c r="B1433" s="55" t="s">
        <v>2870</v>
      </c>
      <c r="C1433" s="58">
        <v>17750243057520</v>
      </c>
      <c r="D1433" s="55" t="s">
        <v>9</v>
      </c>
      <c r="E1433" s="55">
        <v>17</v>
      </c>
      <c r="F1433" s="55">
        <v>7</v>
      </c>
      <c r="G1433" s="55">
        <v>119</v>
      </c>
      <c r="H1433" s="131" t="s">
        <v>2871</v>
      </c>
    </row>
    <row r="1434" spans="1:8">
      <c r="A1434" s="61">
        <v>8700021</v>
      </c>
      <c r="B1434" s="54" t="s">
        <v>2872</v>
      </c>
      <c r="C1434" s="57">
        <v>17750243057537</v>
      </c>
      <c r="D1434" s="54" t="s">
        <v>9</v>
      </c>
      <c r="E1434" s="54">
        <v>11</v>
      </c>
      <c r="F1434" s="54">
        <v>5</v>
      </c>
      <c r="G1434" s="54">
        <v>55</v>
      </c>
      <c r="H1434" s="131" t="s">
        <v>2873</v>
      </c>
    </row>
    <row r="1435" spans="1:8">
      <c r="A1435" s="62">
        <v>8700023</v>
      </c>
      <c r="B1435" s="55" t="s">
        <v>2874</v>
      </c>
      <c r="C1435" s="58">
        <v>27750243057534</v>
      </c>
      <c r="D1435" s="55" t="s">
        <v>9</v>
      </c>
      <c r="E1435" s="55">
        <v>11</v>
      </c>
      <c r="F1435" s="55">
        <v>5</v>
      </c>
      <c r="G1435" s="55">
        <v>55</v>
      </c>
      <c r="H1435" s="131" t="s">
        <v>2875</v>
      </c>
    </row>
    <row r="1436" spans="1:8">
      <c r="A1436" s="61">
        <v>8700024</v>
      </c>
      <c r="B1436" s="54" t="s">
        <v>2876</v>
      </c>
      <c r="C1436" s="57">
        <v>17750243058084</v>
      </c>
      <c r="D1436" s="54" t="s">
        <v>9</v>
      </c>
      <c r="E1436" s="54">
        <v>12</v>
      </c>
      <c r="F1436" s="54">
        <v>3</v>
      </c>
      <c r="G1436" s="54">
        <v>36</v>
      </c>
      <c r="H1436" s="131" t="s">
        <v>2877</v>
      </c>
    </row>
    <row r="1437" spans="1:8">
      <c r="A1437" s="62">
        <v>8700027</v>
      </c>
      <c r="B1437" s="55" t="s">
        <v>2878</v>
      </c>
      <c r="C1437" s="58">
        <v>17750243058619</v>
      </c>
      <c r="D1437" s="55" t="s">
        <v>9</v>
      </c>
      <c r="E1437" s="55">
        <v>14</v>
      </c>
      <c r="F1437" s="55">
        <v>5</v>
      </c>
      <c r="G1437" s="55">
        <v>70</v>
      </c>
      <c r="H1437" s="131" t="s">
        <v>2879</v>
      </c>
    </row>
    <row r="1438" spans="1:8">
      <c r="A1438" s="61">
        <v>8700031</v>
      </c>
      <c r="B1438" s="54" t="s">
        <v>2880</v>
      </c>
      <c r="C1438" s="57">
        <v>17750243063750</v>
      </c>
      <c r="D1438" s="54" t="s">
        <v>9</v>
      </c>
      <c r="E1438" s="54">
        <v>12</v>
      </c>
      <c r="F1438" s="54">
        <v>3</v>
      </c>
      <c r="G1438" s="54">
        <v>36</v>
      </c>
      <c r="H1438" s="131" t="s">
        <v>2881</v>
      </c>
    </row>
    <row r="1439" spans="1:8">
      <c r="A1439" s="62">
        <v>8700034</v>
      </c>
      <c r="B1439" s="55" t="s">
        <v>2882</v>
      </c>
      <c r="C1439" s="58">
        <v>17750243075975</v>
      </c>
      <c r="D1439" s="55" t="s">
        <v>9</v>
      </c>
      <c r="E1439" s="55">
        <v>10</v>
      </c>
      <c r="F1439" s="55">
        <v>7</v>
      </c>
      <c r="G1439" s="55">
        <v>70</v>
      </c>
      <c r="H1439" s="131" t="s">
        <v>2883</v>
      </c>
    </row>
    <row r="1440" spans="1:8">
      <c r="A1440" s="61">
        <v>8700035</v>
      </c>
      <c r="B1440" s="54" t="s">
        <v>2884</v>
      </c>
      <c r="C1440" s="57">
        <v>17750243075982</v>
      </c>
      <c r="D1440" s="54" t="s">
        <v>9</v>
      </c>
      <c r="E1440" s="54">
        <v>15</v>
      </c>
      <c r="F1440" s="54">
        <v>5</v>
      </c>
      <c r="G1440" s="54">
        <v>75</v>
      </c>
      <c r="H1440" s="131" t="s">
        <v>2885</v>
      </c>
    </row>
    <row r="1441" spans="1:8">
      <c r="A1441" s="62">
        <v>8700036</v>
      </c>
      <c r="B1441" s="55" t="s">
        <v>2886</v>
      </c>
      <c r="C1441" s="58">
        <v>17750243078044</v>
      </c>
      <c r="D1441" s="55" t="s">
        <v>9</v>
      </c>
      <c r="E1441" s="55">
        <v>10</v>
      </c>
      <c r="F1441" s="55">
        <v>4</v>
      </c>
      <c r="G1441" s="55">
        <v>40</v>
      </c>
      <c r="H1441" s="131" t="s">
        <v>2887</v>
      </c>
    </row>
    <row r="1442" spans="1:8">
      <c r="A1442" s="61">
        <v>8700037</v>
      </c>
      <c r="B1442" s="54" t="s">
        <v>2888</v>
      </c>
      <c r="C1442" s="57">
        <v>17750243078051</v>
      </c>
      <c r="D1442" s="54" t="s">
        <v>9</v>
      </c>
      <c r="E1442" s="54">
        <v>11</v>
      </c>
      <c r="F1442" s="54">
        <v>4</v>
      </c>
      <c r="G1442" s="54">
        <v>44</v>
      </c>
      <c r="H1442" s="131" t="s">
        <v>2889</v>
      </c>
    </row>
    <row r="1443" spans="1:8">
      <c r="A1443" s="62">
        <v>8817000</v>
      </c>
      <c r="B1443" s="55" t="s">
        <v>2890</v>
      </c>
      <c r="C1443" s="58">
        <v>17751851033357</v>
      </c>
      <c r="D1443" s="55" t="s">
        <v>9</v>
      </c>
      <c r="E1443" s="55">
        <v>22</v>
      </c>
      <c r="F1443" s="55">
        <v>7</v>
      </c>
      <c r="G1443" s="55">
        <v>154</v>
      </c>
      <c r="H1443" s="131" t="s">
        <v>2891</v>
      </c>
    </row>
    <row r="1444" spans="1:8">
      <c r="A1444" s="61">
        <v>8817001</v>
      </c>
      <c r="B1444" s="54" t="s">
        <v>2892</v>
      </c>
      <c r="C1444" s="57">
        <v>17751851033364</v>
      </c>
      <c r="D1444" s="54" t="s">
        <v>9</v>
      </c>
      <c r="E1444" s="54">
        <v>22</v>
      </c>
      <c r="F1444" s="54">
        <v>7</v>
      </c>
      <c r="G1444" s="54">
        <v>154</v>
      </c>
      <c r="H1444" s="131" t="s">
        <v>2893</v>
      </c>
    </row>
    <row r="1445" spans="1:8">
      <c r="A1445" s="62">
        <v>8817002</v>
      </c>
      <c r="B1445" s="55" t="s">
        <v>2894</v>
      </c>
      <c r="C1445" s="58">
        <v>17751851033371</v>
      </c>
      <c r="D1445" s="55" t="s">
        <v>9</v>
      </c>
      <c r="E1445" s="55">
        <v>22</v>
      </c>
      <c r="F1445" s="55">
        <v>7</v>
      </c>
      <c r="G1445" s="55">
        <v>154</v>
      </c>
      <c r="H1445" s="131" t="s">
        <v>2895</v>
      </c>
    </row>
    <row r="1446" spans="1:8">
      <c r="A1446" s="61">
        <v>8817003</v>
      </c>
      <c r="B1446" s="54" t="s">
        <v>2896</v>
      </c>
      <c r="C1446" s="57">
        <v>17751851033388</v>
      </c>
      <c r="D1446" s="54" t="s">
        <v>9</v>
      </c>
      <c r="E1446" s="54">
        <v>15</v>
      </c>
      <c r="F1446" s="54">
        <v>7</v>
      </c>
      <c r="G1446" s="54">
        <v>105</v>
      </c>
      <c r="H1446" s="131" t="s">
        <v>2897</v>
      </c>
    </row>
    <row r="1447" spans="1:8">
      <c r="A1447" s="62">
        <v>8817004</v>
      </c>
      <c r="B1447" s="55" t="s">
        <v>2898</v>
      </c>
      <c r="C1447" s="58">
        <v>17751851033395</v>
      </c>
      <c r="D1447" s="55" t="s">
        <v>9</v>
      </c>
      <c r="E1447" s="55">
        <v>15</v>
      </c>
      <c r="F1447" s="55">
        <v>7</v>
      </c>
      <c r="G1447" s="55">
        <v>105</v>
      </c>
      <c r="H1447" s="131" t="s">
        <v>2899</v>
      </c>
    </row>
    <row r="1448" spans="1:8">
      <c r="A1448" s="61">
        <v>8817005</v>
      </c>
      <c r="B1448" s="54" t="s">
        <v>2900</v>
      </c>
      <c r="C1448" s="57">
        <v>17751851033401</v>
      </c>
      <c r="D1448" s="54" t="s">
        <v>9</v>
      </c>
      <c r="E1448" s="54">
        <v>15</v>
      </c>
      <c r="F1448" s="54">
        <v>7</v>
      </c>
      <c r="G1448" s="54">
        <v>105</v>
      </c>
      <c r="H1448" s="131" t="s">
        <v>2901</v>
      </c>
    </row>
    <row r="1449" spans="1:8">
      <c r="A1449" s="62">
        <v>8817012</v>
      </c>
      <c r="B1449" s="55" t="s">
        <v>2902</v>
      </c>
      <c r="C1449" s="58">
        <v>17750243066447</v>
      </c>
      <c r="D1449" s="55" t="s">
        <v>9</v>
      </c>
      <c r="E1449" s="55">
        <v>10</v>
      </c>
      <c r="F1449" s="55">
        <v>5</v>
      </c>
      <c r="G1449" s="55">
        <v>50</v>
      </c>
      <c r="H1449" s="131" t="s">
        <v>2903</v>
      </c>
    </row>
    <row r="1450" spans="1:8">
      <c r="A1450" s="61">
        <v>8817013</v>
      </c>
      <c r="B1450" s="54" t="s">
        <v>2904</v>
      </c>
      <c r="C1450" s="57">
        <v>17750243066454</v>
      </c>
      <c r="D1450" s="54" t="s">
        <v>9</v>
      </c>
      <c r="E1450" s="54">
        <v>10</v>
      </c>
      <c r="F1450" s="54">
        <v>5</v>
      </c>
      <c r="G1450" s="54">
        <v>50</v>
      </c>
      <c r="H1450" s="131" t="s">
        <v>2905</v>
      </c>
    </row>
    <row r="1451" spans="1:8">
      <c r="A1451" s="62">
        <v>8817014</v>
      </c>
      <c r="B1451" s="55" t="s">
        <v>2906</v>
      </c>
      <c r="C1451" s="58">
        <v>17750243066461</v>
      </c>
      <c r="D1451" s="55" t="s">
        <v>9</v>
      </c>
      <c r="E1451" s="55">
        <v>10</v>
      </c>
      <c r="F1451" s="55">
        <v>5</v>
      </c>
      <c r="G1451" s="55">
        <v>50</v>
      </c>
      <c r="H1451" s="131" t="s">
        <v>2907</v>
      </c>
    </row>
    <row r="1452" spans="1:8">
      <c r="A1452" s="61">
        <v>8858764</v>
      </c>
      <c r="B1452" s="54" t="s">
        <v>2908</v>
      </c>
      <c r="C1452" s="57">
        <v>27790990586765</v>
      </c>
      <c r="D1452" s="54" t="s">
        <v>9</v>
      </c>
      <c r="E1452" s="54">
        <v>10</v>
      </c>
      <c r="F1452" s="54">
        <v>5</v>
      </c>
      <c r="G1452" s="54">
        <v>50</v>
      </c>
      <c r="H1452" s="131" t="s">
        <v>2909</v>
      </c>
    </row>
    <row r="1453" spans="1:8">
      <c r="A1453" s="62">
        <v>8858765</v>
      </c>
      <c r="B1453" s="55" t="s">
        <v>2910</v>
      </c>
      <c r="C1453" s="58">
        <v>27790990586772</v>
      </c>
      <c r="D1453" s="55" t="s">
        <v>9</v>
      </c>
      <c r="E1453" s="55">
        <v>10</v>
      </c>
      <c r="F1453" s="55">
        <v>5</v>
      </c>
      <c r="G1453" s="55">
        <v>50</v>
      </c>
      <c r="H1453" s="131" t="s">
        <v>2911</v>
      </c>
    </row>
    <row r="1454" spans="1:8">
      <c r="A1454" s="61">
        <v>8858767</v>
      </c>
      <c r="B1454" s="54" t="s">
        <v>2912</v>
      </c>
      <c r="C1454" s="57">
        <v>27790990586796</v>
      </c>
      <c r="D1454" s="54" t="s">
        <v>9</v>
      </c>
      <c r="E1454" s="54">
        <v>10</v>
      </c>
      <c r="F1454" s="54">
        <v>5</v>
      </c>
      <c r="G1454" s="54">
        <v>50</v>
      </c>
      <c r="H1454" s="131" t="s">
        <v>2913</v>
      </c>
    </row>
    <row r="1455" spans="1:8">
      <c r="A1455" s="62">
        <v>8858771</v>
      </c>
      <c r="B1455" s="55" t="s">
        <v>2914</v>
      </c>
      <c r="C1455" s="58">
        <v>27790990586802</v>
      </c>
      <c r="D1455" s="55" t="s">
        <v>9</v>
      </c>
      <c r="E1455" s="55">
        <v>10</v>
      </c>
      <c r="F1455" s="55">
        <v>5</v>
      </c>
      <c r="G1455" s="55">
        <v>50</v>
      </c>
      <c r="H1455" s="131" t="s">
        <v>2915</v>
      </c>
    </row>
    <row r="1456" spans="1:8">
      <c r="A1456" s="61">
        <v>8858946</v>
      </c>
      <c r="B1456" s="54" t="s">
        <v>2916</v>
      </c>
      <c r="C1456" s="57">
        <v>17790990587758</v>
      </c>
      <c r="D1456" s="54" t="s">
        <v>9</v>
      </c>
      <c r="E1456" s="54">
        <v>18</v>
      </c>
      <c r="F1456" s="54">
        <v>4</v>
      </c>
      <c r="G1456" s="54">
        <v>72</v>
      </c>
      <c r="H1456" s="131" t="s">
        <v>2917</v>
      </c>
    </row>
    <row r="1457" spans="1:8">
      <c r="A1457" s="62">
        <v>8858948</v>
      </c>
      <c r="B1457" s="55" t="s">
        <v>2918</v>
      </c>
      <c r="C1457" s="58">
        <v>17790990587772</v>
      </c>
      <c r="D1457" s="55" t="s">
        <v>9</v>
      </c>
      <c r="E1457" s="55">
        <v>18</v>
      </c>
      <c r="F1457" s="55">
        <v>4</v>
      </c>
      <c r="G1457" s="55">
        <v>72</v>
      </c>
      <c r="H1457" s="131" t="s">
        <v>2919</v>
      </c>
    </row>
    <row r="1458" spans="1:8">
      <c r="A1458" s="61">
        <v>8858950</v>
      </c>
      <c r="B1458" s="54" t="s">
        <v>2920</v>
      </c>
      <c r="C1458" s="57">
        <v>17790990587796</v>
      </c>
      <c r="D1458" s="54" t="s">
        <v>9</v>
      </c>
      <c r="E1458" s="54">
        <v>18</v>
      </c>
      <c r="F1458" s="54">
        <v>4</v>
      </c>
      <c r="G1458" s="54">
        <v>72</v>
      </c>
      <c r="H1458" s="131" t="s">
        <v>2921</v>
      </c>
    </row>
    <row r="1459" spans="1:8">
      <c r="A1459" s="62">
        <v>9007009</v>
      </c>
      <c r="B1459" s="55" t="s">
        <v>2922</v>
      </c>
      <c r="C1459" s="58">
        <v>7750243081580</v>
      </c>
      <c r="D1459" s="55" t="s">
        <v>1590</v>
      </c>
      <c r="E1459" s="55">
        <v>108</v>
      </c>
      <c r="F1459" s="55">
        <v>5</v>
      </c>
      <c r="G1459" s="55">
        <v>540</v>
      </c>
      <c r="H1459" s="131" t="s">
        <v>2923</v>
      </c>
    </row>
    <row r="1460" spans="1:8">
      <c r="A1460" s="61">
        <v>9007010</v>
      </c>
      <c r="B1460" s="54" t="s">
        <v>2924</v>
      </c>
      <c r="C1460" s="57">
        <v>7750243081597</v>
      </c>
      <c r="D1460" s="54" t="s">
        <v>1590</v>
      </c>
      <c r="E1460" s="54">
        <v>108</v>
      </c>
      <c r="F1460" s="54">
        <v>5</v>
      </c>
      <c r="G1460" s="54">
        <v>540</v>
      </c>
      <c r="H1460" s="131" t="s">
        <v>2925</v>
      </c>
    </row>
    <row r="1461" spans="1:8">
      <c r="A1461" s="62">
        <v>9007011</v>
      </c>
      <c r="B1461" s="55" t="s">
        <v>2926</v>
      </c>
      <c r="C1461" s="58">
        <v>7750243081603</v>
      </c>
      <c r="D1461" s="55" t="s">
        <v>1590</v>
      </c>
      <c r="E1461" s="55">
        <v>108</v>
      </c>
      <c r="F1461" s="55">
        <v>5</v>
      </c>
      <c r="G1461" s="55">
        <v>540</v>
      </c>
      <c r="H1461" s="131" t="s">
        <v>2927</v>
      </c>
    </row>
    <row r="1462" spans="1:8">
      <c r="A1462" s="61">
        <v>9007012</v>
      </c>
      <c r="B1462" s="54" t="s">
        <v>2928</v>
      </c>
      <c r="C1462" s="57">
        <v>7750243081610</v>
      </c>
      <c r="D1462" s="54" t="s">
        <v>1590</v>
      </c>
      <c r="E1462" s="54">
        <v>108</v>
      </c>
      <c r="F1462" s="54">
        <v>5</v>
      </c>
      <c r="G1462" s="54">
        <v>540</v>
      </c>
      <c r="H1462" s="131" t="s">
        <v>2929</v>
      </c>
    </row>
    <row r="1463" spans="1:8">
      <c r="A1463" s="62">
        <v>9007013</v>
      </c>
      <c r="B1463" s="55" t="s">
        <v>2930</v>
      </c>
      <c r="C1463" s="58">
        <v>7750243081627</v>
      </c>
      <c r="D1463" s="55" t="s">
        <v>2931</v>
      </c>
      <c r="E1463" s="55">
        <v>216</v>
      </c>
      <c r="F1463" s="55">
        <v>4</v>
      </c>
      <c r="G1463" s="55">
        <v>864</v>
      </c>
      <c r="H1463" s="131" t="s">
        <v>2932</v>
      </c>
    </row>
    <row r="1464" spans="1:8">
      <c r="A1464" s="61">
        <v>9007014</v>
      </c>
      <c r="B1464" s="54" t="s">
        <v>2933</v>
      </c>
      <c r="C1464" s="57">
        <v>7750243081634</v>
      </c>
      <c r="D1464" s="54" t="s">
        <v>2931</v>
      </c>
      <c r="E1464" s="54">
        <v>192</v>
      </c>
      <c r="F1464" s="54">
        <v>4</v>
      </c>
      <c r="G1464" s="54">
        <v>768</v>
      </c>
      <c r="H1464" s="131" t="s">
        <v>2934</v>
      </c>
    </row>
    <row r="1465" spans="1:8">
      <c r="A1465" s="62">
        <v>9007015</v>
      </c>
      <c r="B1465" s="55" t="s">
        <v>2935</v>
      </c>
      <c r="C1465" s="58">
        <v>7750243081641</v>
      </c>
      <c r="D1465" s="55" t="s">
        <v>2931</v>
      </c>
      <c r="E1465" s="55">
        <v>192</v>
      </c>
      <c r="F1465" s="55">
        <v>4</v>
      </c>
      <c r="G1465" s="55">
        <v>768</v>
      </c>
      <c r="H1465" s="131" t="s">
        <v>2936</v>
      </c>
    </row>
    <row r="1466" spans="1:8">
      <c r="A1466" s="61">
        <v>9007016</v>
      </c>
      <c r="B1466" s="54" t="s">
        <v>2937</v>
      </c>
      <c r="C1466" s="57">
        <v>7750243081658</v>
      </c>
      <c r="D1466" s="54" t="s">
        <v>2931</v>
      </c>
      <c r="E1466" s="54">
        <v>192</v>
      </c>
      <c r="F1466" s="54">
        <v>4</v>
      </c>
      <c r="G1466" s="54">
        <v>768</v>
      </c>
      <c r="H1466" s="131" t="s">
        <v>2938</v>
      </c>
    </row>
    <row r="1467" spans="1:8">
      <c r="A1467" s="62">
        <v>9007017</v>
      </c>
      <c r="B1467" s="55" t="s">
        <v>2939</v>
      </c>
      <c r="C1467" s="58">
        <v>7750243081665</v>
      </c>
      <c r="D1467" s="55" t="s">
        <v>100</v>
      </c>
      <c r="E1467" s="55">
        <v>384</v>
      </c>
      <c r="F1467" s="55">
        <v>6</v>
      </c>
      <c r="G1467" s="55">
        <v>2304</v>
      </c>
      <c r="H1467" s="131" t="s">
        <v>2940</v>
      </c>
    </row>
    <row r="1468" spans="1:8">
      <c r="A1468" s="61">
        <v>9007018</v>
      </c>
      <c r="B1468" s="54" t="s">
        <v>2941</v>
      </c>
      <c r="C1468" s="57">
        <v>7750243081672</v>
      </c>
      <c r="D1468" s="54" t="s">
        <v>100</v>
      </c>
      <c r="E1468" s="54">
        <v>252</v>
      </c>
      <c r="F1468" s="54">
        <v>5</v>
      </c>
      <c r="G1468" s="54">
        <v>1260</v>
      </c>
      <c r="H1468" s="131" t="s">
        <v>2942</v>
      </c>
    </row>
    <row r="1469" spans="1:8">
      <c r="A1469" s="62">
        <v>9007019</v>
      </c>
      <c r="B1469" s="55" t="s">
        <v>2943</v>
      </c>
      <c r="C1469" s="58">
        <v>7750243081689</v>
      </c>
      <c r="D1469" s="55" t="s">
        <v>100</v>
      </c>
      <c r="E1469" s="55">
        <v>168</v>
      </c>
      <c r="F1469" s="55">
        <v>4</v>
      </c>
      <c r="G1469" s="55">
        <v>672</v>
      </c>
      <c r="H1469" s="131" t="s">
        <v>2944</v>
      </c>
    </row>
    <row r="1470" spans="1:8">
      <c r="A1470" s="61">
        <v>9007020</v>
      </c>
      <c r="B1470" s="54" t="s">
        <v>2945</v>
      </c>
      <c r="C1470" s="57">
        <v>7750243081696</v>
      </c>
      <c r="D1470" s="54" t="s">
        <v>100</v>
      </c>
      <c r="E1470" s="54">
        <v>384</v>
      </c>
      <c r="F1470" s="54">
        <v>6</v>
      </c>
      <c r="G1470" s="54">
        <v>2304</v>
      </c>
      <c r="H1470" s="131" t="s">
        <v>2946</v>
      </c>
    </row>
    <row r="1471" spans="1:8">
      <c r="A1471" s="62">
        <v>9007021</v>
      </c>
      <c r="B1471" s="55" t="s">
        <v>2947</v>
      </c>
      <c r="C1471" s="58">
        <v>7750243081702</v>
      </c>
      <c r="D1471" s="55" t="s">
        <v>100</v>
      </c>
      <c r="E1471" s="55">
        <v>252</v>
      </c>
      <c r="F1471" s="55">
        <v>5</v>
      </c>
      <c r="G1471" s="55">
        <v>1260</v>
      </c>
      <c r="H1471" s="131" t="s">
        <v>2948</v>
      </c>
    </row>
    <row r="1472" spans="1:8">
      <c r="A1472" s="61">
        <v>9007022</v>
      </c>
      <c r="B1472" s="54" t="s">
        <v>2949</v>
      </c>
      <c r="C1472" s="57">
        <v>7750243081719</v>
      </c>
      <c r="D1472" s="54" t="s">
        <v>100</v>
      </c>
      <c r="E1472" s="54">
        <v>168</v>
      </c>
      <c r="F1472" s="54">
        <v>4</v>
      </c>
      <c r="G1472" s="54">
        <v>672</v>
      </c>
      <c r="H1472" s="131" t="s">
        <v>2950</v>
      </c>
    </row>
    <row r="1473" spans="1:8">
      <c r="A1473" s="62">
        <v>9007023</v>
      </c>
      <c r="B1473" s="55" t="s">
        <v>2951</v>
      </c>
      <c r="C1473" s="58">
        <v>7750243081726</v>
      </c>
      <c r="D1473" s="55" t="s">
        <v>100</v>
      </c>
      <c r="E1473" s="55">
        <v>384</v>
      </c>
      <c r="F1473" s="55">
        <v>6</v>
      </c>
      <c r="G1473" s="55">
        <v>2304</v>
      </c>
      <c r="H1473" s="131" t="s">
        <v>2952</v>
      </c>
    </row>
    <row r="1474" spans="1:8">
      <c r="A1474" s="61">
        <v>9007024</v>
      </c>
      <c r="B1474" s="54" t="s">
        <v>2953</v>
      </c>
      <c r="C1474" s="57">
        <v>7750243081733</v>
      </c>
      <c r="D1474" s="54" t="s">
        <v>100</v>
      </c>
      <c r="E1474" s="54">
        <v>252</v>
      </c>
      <c r="F1474" s="54">
        <v>5</v>
      </c>
      <c r="G1474" s="54">
        <v>1260</v>
      </c>
      <c r="H1474" s="131" t="s">
        <v>2954</v>
      </c>
    </row>
    <row r="1475" spans="1:8">
      <c r="A1475" s="62">
        <v>9007025</v>
      </c>
      <c r="B1475" s="55" t="s">
        <v>2955</v>
      </c>
      <c r="C1475" s="58">
        <v>7707178603219</v>
      </c>
      <c r="D1475" s="55" t="s">
        <v>1590</v>
      </c>
      <c r="E1475" s="55">
        <v>180</v>
      </c>
      <c r="F1475" s="55">
        <v>6</v>
      </c>
      <c r="G1475" s="55">
        <v>1080</v>
      </c>
      <c r="H1475" s="131" t="s">
        <v>2956</v>
      </c>
    </row>
    <row r="1476" spans="1:8">
      <c r="A1476" s="61">
        <v>9007026</v>
      </c>
      <c r="B1476" s="54" t="s">
        <v>2957</v>
      </c>
      <c r="C1476" s="57">
        <v>7707178603226</v>
      </c>
      <c r="D1476" s="54" t="s">
        <v>1590</v>
      </c>
      <c r="E1476" s="54">
        <v>180</v>
      </c>
      <c r="F1476" s="54">
        <v>6</v>
      </c>
      <c r="G1476" s="54">
        <v>1080</v>
      </c>
      <c r="H1476" s="131" t="s">
        <v>2958</v>
      </c>
    </row>
    <row r="1477" spans="1:8">
      <c r="A1477" s="62">
        <v>9007027</v>
      </c>
      <c r="B1477" s="55" t="s">
        <v>2959</v>
      </c>
      <c r="C1477" s="58">
        <v>7707178603233</v>
      </c>
      <c r="D1477" s="55" t="s">
        <v>1590</v>
      </c>
      <c r="E1477" s="55">
        <v>180</v>
      </c>
      <c r="F1477" s="55">
        <v>6</v>
      </c>
      <c r="G1477" s="55">
        <v>1080</v>
      </c>
      <c r="H1477" s="131" t="s">
        <v>2960</v>
      </c>
    </row>
    <row r="1478" spans="1:8">
      <c r="A1478" s="61">
        <v>9007028</v>
      </c>
      <c r="B1478" s="54" t="s">
        <v>2961</v>
      </c>
      <c r="C1478" s="57">
        <v>7707178603240</v>
      </c>
      <c r="D1478" s="54" t="s">
        <v>1590</v>
      </c>
      <c r="E1478" s="54">
        <v>180</v>
      </c>
      <c r="F1478" s="54">
        <v>6</v>
      </c>
      <c r="G1478" s="54">
        <v>1080</v>
      </c>
      <c r="H1478" s="131" t="s">
        <v>2962</v>
      </c>
    </row>
    <row r="1479" spans="1:8">
      <c r="A1479" s="62">
        <v>9007049</v>
      </c>
      <c r="B1479" s="55" t="s">
        <v>2963</v>
      </c>
      <c r="C1479" s="58">
        <v>7750243082891</v>
      </c>
      <c r="D1479" s="55" t="s">
        <v>100</v>
      </c>
      <c r="E1479" s="55">
        <v>384</v>
      </c>
      <c r="F1479" s="55">
        <v>6</v>
      </c>
      <c r="G1479" s="55">
        <v>2304</v>
      </c>
      <c r="H1479" s="131" t="s">
        <v>2964</v>
      </c>
    </row>
    <row r="1480" spans="1:8">
      <c r="A1480" s="61">
        <v>9007050</v>
      </c>
      <c r="B1480" s="54" t="s">
        <v>2965</v>
      </c>
      <c r="C1480" s="57">
        <v>7750243082907</v>
      </c>
      <c r="D1480" s="54" t="s">
        <v>100</v>
      </c>
      <c r="E1480" s="54">
        <v>252</v>
      </c>
      <c r="F1480" s="54">
        <v>5</v>
      </c>
      <c r="G1480" s="54">
        <v>1260</v>
      </c>
      <c r="H1480" s="131" t="s">
        <v>2966</v>
      </c>
    </row>
    <row r="1481" spans="1:8">
      <c r="A1481" s="62">
        <v>9007051</v>
      </c>
      <c r="B1481" s="55" t="s">
        <v>2967</v>
      </c>
      <c r="C1481" s="58">
        <v>7750243082921</v>
      </c>
      <c r="D1481" s="55" t="s">
        <v>1590</v>
      </c>
      <c r="E1481" s="55">
        <v>108</v>
      </c>
      <c r="F1481" s="55">
        <v>5</v>
      </c>
      <c r="G1481" s="55">
        <v>540</v>
      </c>
      <c r="H1481" s="131" t="s">
        <v>2968</v>
      </c>
    </row>
    <row r="1482" spans="1:8">
      <c r="A1482" s="61">
        <v>9007052</v>
      </c>
      <c r="B1482" s="54" t="s">
        <v>2969</v>
      </c>
      <c r="C1482" s="57">
        <v>7750243082938</v>
      </c>
      <c r="D1482" s="54" t="s">
        <v>1590</v>
      </c>
      <c r="E1482" s="54">
        <v>108</v>
      </c>
      <c r="F1482" s="54">
        <v>5</v>
      </c>
      <c r="G1482" s="54">
        <v>540</v>
      </c>
      <c r="H1482" s="131" t="s">
        <v>2970</v>
      </c>
    </row>
    <row r="1483" spans="1:8">
      <c r="A1483" s="62">
        <v>9007053</v>
      </c>
      <c r="B1483" s="55" t="s">
        <v>2971</v>
      </c>
      <c r="C1483" s="58">
        <v>7750243082945</v>
      </c>
      <c r="D1483" s="55" t="s">
        <v>1590</v>
      </c>
      <c r="E1483" s="55">
        <v>108</v>
      </c>
      <c r="F1483" s="55">
        <v>5</v>
      </c>
      <c r="G1483" s="55">
        <v>540</v>
      </c>
      <c r="H1483" s="131" t="s">
        <v>2972</v>
      </c>
    </row>
    <row r="1484" spans="1:8">
      <c r="A1484" s="61">
        <v>9007054</v>
      </c>
      <c r="B1484" s="54" t="s">
        <v>2973</v>
      </c>
      <c r="C1484" s="57">
        <v>7750243082952</v>
      </c>
      <c r="D1484" s="54" t="s">
        <v>1590</v>
      </c>
      <c r="E1484" s="54">
        <v>108</v>
      </c>
      <c r="F1484" s="54">
        <v>5</v>
      </c>
      <c r="G1484" s="54">
        <v>540</v>
      </c>
      <c r="H1484" s="133" t="s">
        <v>2974</v>
      </c>
    </row>
    <row r="1485" spans="1:8">
      <c r="A1485" s="62">
        <v>9007055</v>
      </c>
      <c r="B1485" s="55" t="s">
        <v>2975</v>
      </c>
      <c r="C1485" s="58">
        <v>7750243082969</v>
      </c>
      <c r="D1485" s="55" t="s">
        <v>1590</v>
      </c>
      <c r="E1485" s="55">
        <v>108</v>
      </c>
      <c r="F1485" s="55">
        <v>5</v>
      </c>
      <c r="G1485" s="55">
        <v>540</v>
      </c>
      <c r="H1485" s="131" t="s">
        <v>2976</v>
      </c>
    </row>
    <row r="1486" spans="1:8">
      <c r="A1486" s="61">
        <v>9007056</v>
      </c>
      <c r="B1486" s="54" t="s">
        <v>2977</v>
      </c>
      <c r="C1486" s="57">
        <v>7750243082976</v>
      </c>
      <c r="D1486" s="54" t="s">
        <v>1590</v>
      </c>
      <c r="E1486" s="54">
        <v>108</v>
      </c>
      <c r="F1486" s="54">
        <v>5</v>
      </c>
      <c r="G1486" s="54">
        <v>540</v>
      </c>
      <c r="H1486" s="131" t="s">
        <v>2978</v>
      </c>
    </row>
    <row r="1487" spans="1:8">
      <c r="A1487" s="62">
        <v>9007057</v>
      </c>
      <c r="B1487" s="55" t="s">
        <v>2979</v>
      </c>
      <c r="C1487" s="58">
        <v>7750243082983</v>
      </c>
      <c r="D1487" s="55" t="s">
        <v>1590</v>
      </c>
      <c r="E1487" s="55">
        <v>108</v>
      </c>
      <c r="F1487" s="55">
        <v>5</v>
      </c>
      <c r="G1487" s="55">
        <v>540</v>
      </c>
      <c r="H1487" s="131" t="s">
        <v>2980</v>
      </c>
    </row>
    <row r="1488" spans="1:8">
      <c r="A1488" s="61">
        <v>9007058</v>
      </c>
      <c r="B1488" s="54" t="s">
        <v>2981</v>
      </c>
      <c r="C1488" s="57">
        <v>7750243082990</v>
      </c>
      <c r="D1488" s="54" t="s">
        <v>1590</v>
      </c>
      <c r="E1488" s="54">
        <v>108</v>
      </c>
      <c r="F1488" s="54">
        <v>5</v>
      </c>
      <c r="G1488" s="54">
        <v>540</v>
      </c>
      <c r="H1488" s="131" t="s">
        <v>2982</v>
      </c>
    </row>
    <row r="1489" spans="1:8">
      <c r="A1489" s="62">
        <v>9007059</v>
      </c>
      <c r="B1489" s="55" t="s">
        <v>2983</v>
      </c>
      <c r="C1489" s="58">
        <v>7750243083003</v>
      </c>
      <c r="D1489" s="55" t="s">
        <v>1590</v>
      </c>
      <c r="E1489" s="55">
        <v>108</v>
      </c>
      <c r="F1489" s="55">
        <v>5</v>
      </c>
      <c r="G1489" s="55">
        <v>540</v>
      </c>
      <c r="H1489" s="131" t="s">
        <v>2984</v>
      </c>
    </row>
    <row r="1490" spans="1:8">
      <c r="A1490" s="61">
        <v>9007400</v>
      </c>
      <c r="B1490" s="54" t="s">
        <v>2985</v>
      </c>
      <c r="C1490" s="57">
        <v>7707178602779</v>
      </c>
      <c r="D1490" s="54" t="s">
        <v>2931</v>
      </c>
      <c r="E1490" s="54">
        <v>216</v>
      </c>
      <c r="F1490" s="54">
        <v>4</v>
      </c>
      <c r="G1490" s="54">
        <v>864</v>
      </c>
      <c r="H1490" s="131" t="s">
        <v>2986</v>
      </c>
    </row>
    <row r="1491" spans="1:8">
      <c r="A1491" s="62">
        <v>9007402</v>
      </c>
      <c r="B1491" s="55" t="s">
        <v>2987</v>
      </c>
      <c r="C1491" s="58">
        <v>7707178602793</v>
      </c>
      <c r="D1491" s="55" t="s">
        <v>100</v>
      </c>
      <c r="E1491" s="55">
        <v>504</v>
      </c>
      <c r="F1491" s="55">
        <v>6</v>
      </c>
      <c r="G1491" s="55">
        <v>3024</v>
      </c>
      <c r="H1491" s="131" t="s">
        <v>2988</v>
      </c>
    </row>
    <row r="1492" spans="1:8">
      <c r="A1492" s="61">
        <v>9007403</v>
      </c>
      <c r="B1492" s="54" t="s">
        <v>2989</v>
      </c>
      <c r="C1492" s="57">
        <v>7707178602809</v>
      </c>
      <c r="D1492" s="54" t="s">
        <v>100</v>
      </c>
      <c r="E1492" s="54">
        <v>300</v>
      </c>
      <c r="F1492" s="54">
        <v>5</v>
      </c>
      <c r="G1492" s="54">
        <v>1500</v>
      </c>
      <c r="H1492" s="131" t="s">
        <v>2990</v>
      </c>
    </row>
    <row r="1493" spans="1:8">
      <c r="A1493" s="62">
        <v>9007404</v>
      </c>
      <c r="B1493" s="55" t="s">
        <v>2991</v>
      </c>
      <c r="C1493" s="58">
        <v>7707178602816</v>
      </c>
      <c r="D1493" s="55" t="s">
        <v>100</v>
      </c>
      <c r="E1493" s="55">
        <v>180</v>
      </c>
      <c r="F1493" s="55">
        <v>7</v>
      </c>
      <c r="G1493" s="55">
        <v>1260</v>
      </c>
      <c r="H1493" s="131" t="s">
        <v>2992</v>
      </c>
    </row>
    <row r="1494" spans="1:8">
      <c r="A1494" s="61">
        <v>9007407</v>
      </c>
      <c r="B1494" s="54" t="s">
        <v>2993</v>
      </c>
      <c r="C1494" s="57">
        <v>7707178602847</v>
      </c>
      <c r="D1494" s="54" t="s">
        <v>100</v>
      </c>
      <c r="E1494" s="54">
        <v>504</v>
      </c>
      <c r="F1494" s="54">
        <v>6</v>
      </c>
      <c r="G1494" s="54">
        <v>3024</v>
      </c>
      <c r="H1494" s="131" t="s">
        <v>2994</v>
      </c>
    </row>
    <row r="1495" spans="1:8">
      <c r="A1495" s="62">
        <v>9007408</v>
      </c>
      <c r="B1495" s="55" t="s">
        <v>2995</v>
      </c>
      <c r="C1495" s="58">
        <v>7707178602854</v>
      </c>
      <c r="D1495" s="55" t="s">
        <v>100</v>
      </c>
      <c r="E1495" s="55">
        <v>300</v>
      </c>
      <c r="F1495" s="55">
        <v>5</v>
      </c>
      <c r="G1495" s="55">
        <v>1500</v>
      </c>
      <c r="H1495" s="131" t="s">
        <v>2996</v>
      </c>
    </row>
    <row r="1496" spans="1:8">
      <c r="A1496" s="61">
        <v>9007409</v>
      </c>
      <c r="B1496" s="54" t="s">
        <v>2997</v>
      </c>
      <c r="C1496" s="57">
        <v>7707178602861</v>
      </c>
      <c r="D1496" s="54" t="s">
        <v>100</v>
      </c>
      <c r="E1496" s="54">
        <v>180</v>
      </c>
      <c r="F1496" s="54">
        <v>7</v>
      </c>
      <c r="G1496" s="54">
        <v>1260</v>
      </c>
      <c r="H1496" s="131" t="s">
        <v>2998</v>
      </c>
    </row>
    <row r="1497" spans="1:8">
      <c r="A1497" s="62">
        <v>9007412</v>
      </c>
      <c r="B1497" s="55" t="s">
        <v>2999</v>
      </c>
      <c r="C1497" s="58">
        <v>7707178602892</v>
      </c>
      <c r="D1497" s="55" t="s">
        <v>100</v>
      </c>
      <c r="E1497" s="55">
        <v>504</v>
      </c>
      <c r="F1497" s="55">
        <v>6</v>
      </c>
      <c r="G1497" s="55">
        <v>3024</v>
      </c>
      <c r="H1497" s="131" t="s">
        <v>3000</v>
      </c>
    </row>
    <row r="1498" spans="1:8">
      <c r="A1498" s="61">
        <v>9007413</v>
      </c>
      <c r="B1498" s="54" t="s">
        <v>3001</v>
      </c>
      <c r="C1498" s="57">
        <v>7707178602908</v>
      </c>
      <c r="D1498" s="54" t="s">
        <v>100</v>
      </c>
      <c r="E1498" s="54">
        <v>300</v>
      </c>
      <c r="F1498" s="54">
        <v>5</v>
      </c>
      <c r="G1498" s="54">
        <v>1500</v>
      </c>
      <c r="H1498" s="131" t="s">
        <v>3002</v>
      </c>
    </row>
    <row r="1499" spans="1:8">
      <c r="A1499" s="62">
        <v>9007417</v>
      </c>
      <c r="B1499" s="55" t="s">
        <v>3003</v>
      </c>
      <c r="C1499" s="58">
        <v>7707178602946</v>
      </c>
      <c r="D1499" s="55" t="s">
        <v>100</v>
      </c>
      <c r="E1499" s="55">
        <v>504</v>
      </c>
      <c r="F1499" s="55">
        <v>6</v>
      </c>
      <c r="G1499" s="55">
        <v>3024</v>
      </c>
      <c r="H1499" s="131" t="s">
        <v>3004</v>
      </c>
    </row>
    <row r="1500" spans="1:8">
      <c r="A1500" s="61">
        <v>9007418</v>
      </c>
      <c r="B1500" s="54" t="s">
        <v>3005</v>
      </c>
      <c r="C1500" s="57">
        <v>7707178602953</v>
      </c>
      <c r="D1500" s="54" t="s">
        <v>100</v>
      </c>
      <c r="E1500" s="54">
        <v>300</v>
      </c>
      <c r="F1500" s="54">
        <v>5</v>
      </c>
      <c r="G1500" s="54">
        <v>1500</v>
      </c>
      <c r="H1500" s="131" t="s">
        <v>3006</v>
      </c>
    </row>
    <row r="1501" spans="1:8">
      <c r="A1501" s="62">
        <v>9007419</v>
      </c>
      <c r="B1501" s="55" t="s">
        <v>3007</v>
      </c>
      <c r="C1501" s="58">
        <v>7707178602960</v>
      </c>
      <c r="D1501" s="55" t="s">
        <v>100</v>
      </c>
      <c r="E1501" s="55">
        <v>180</v>
      </c>
      <c r="F1501" s="55">
        <v>7</v>
      </c>
      <c r="G1501" s="55">
        <v>1260</v>
      </c>
      <c r="H1501" s="131" t="s">
        <v>3008</v>
      </c>
    </row>
    <row r="1502" spans="1:8">
      <c r="A1502" s="61">
        <v>9007466</v>
      </c>
      <c r="B1502" s="54" t="s">
        <v>3009</v>
      </c>
      <c r="C1502" s="57">
        <v>7750243081740</v>
      </c>
      <c r="D1502" s="54" t="s">
        <v>100</v>
      </c>
      <c r="E1502" s="54">
        <v>168</v>
      </c>
      <c r="F1502" s="54">
        <v>4</v>
      </c>
      <c r="G1502" s="54">
        <v>672</v>
      </c>
      <c r="H1502" s="131" t="s">
        <v>3010</v>
      </c>
    </row>
    <row r="1503" spans="1:8">
      <c r="A1503" s="62">
        <v>9007467</v>
      </c>
      <c r="B1503" s="55" t="s">
        <v>3011</v>
      </c>
      <c r="C1503" s="58">
        <v>7750243081757</v>
      </c>
      <c r="D1503" s="55" t="s">
        <v>100</v>
      </c>
      <c r="E1503" s="55">
        <v>384</v>
      </c>
      <c r="F1503" s="55">
        <v>6</v>
      </c>
      <c r="G1503" s="55">
        <v>2304</v>
      </c>
      <c r="H1503" s="131" t="s">
        <v>3012</v>
      </c>
    </row>
    <row r="1504" spans="1:8">
      <c r="A1504" s="61">
        <v>9007468</v>
      </c>
      <c r="B1504" s="54" t="s">
        <v>3013</v>
      </c>
      <c r="C1504" s="57">
        <v>7750243081764</v>
      </c>
      <c r="D1504" s="54" t="s">
        <v>100</v>
      </c>
      <c r="E1504" s="54">
        <v>252</v>
      </c>
      <c r="F1504" s="54">
        <v>5</v>
      </c>
      <c r="G1504" s="54">
        <v>1260</v>
      </c>
      <c r="H1504" s="131" t="s">
        <v>3014</v>
      </c>
    </row>
    <row r="1505" spans="1:8">
      <c r="A1505" s="62">
        <v>9007469</v>
      </c>
      <c r="B1505" s="55" t="s">
        <v>3015</v>
      </c>
      <c r="C1505" s="58">
        <v>7750243081771</v>
      </c>
      <c r="D1505" s="55" t="s">
        <v>100</v>
      </c>
      <c r="E1505" s="55">
        <v>168</v>
      </c>
      <c r="F1505" s="55">
        <v>4</v>
      </c>
      <c r="G1505" s="55">
        <v>672</v>
      </c>
      <c r="H1505" s="131" t="s">
        <v>3016</v>
      </c>
    </row>
    <row r="1506" spans="1:8">
      <c r="A1506" s="61">
        <v>9350310</v>
      </c>
      <c r="B1506" s="54" t="s">
        <v>3017</v>
      </c>
      <c r="C1506" s="57">
        <v>17750243047132</v>
      </c>
      <c r="D1506" s="54" t="s">
        <v>9</v>
      </c>
      <c r="E1506" s="54">
        <v>8</v>
      </c>
      <c r="F1506" s="54">
        <v>3</v>
      </c>
      <c r="G1506" s="54">
        <v>24</v>
      </c>
      <c r="H1506" s="131" t="s">
        <v>3018</v>
      </c>
    </row>
    <row r="1507" spans="1:8">
      <c r="A1507" s="62">
        <v>9350334</v>
      </c>
      <c r="B1507" s="55" t="s">
        <v>3019</v>
      </c>
      <c r="C1507" s="58">
        <v>17750243052624</v>
      </c>
      <c r="D1507" s="55" t="s">
        <v>9</v>
      </c>
      <c r="E1507" s="55">
        <v>10</v>
      </c>
      <c r="F1507" s="55">
        <v>4</v>
      </c>
      <c r="G1507" s="55">
        <v>40</v>
      </c>
      <c r="H1507" s="131" t="s">
        <v>3020</v>
      </c>
    </row>
    <row r="1508" spans="1:8">
      <c r="A1508" s="61">
        <v>9350351</v>
      </c>
      <c r="B1508" s="54" t="s">
        <v>3021</v>
      </c>
      <c r="C1508" s="57">
        <v>17750243057889</v>
      </c>
      <c r="D1508" s="54" t="s">
        <v>9</v>
      </c>
      <c r="E1508" s="54">
        <v>14</v>
      </c>
      <c r="F1508" s="54">
        <v>4</v>
      </c>
      <c r="G1508" s="54">
        <v>56</v>
      </c>
      <c r="H1508" s="131" t="s">
        <v>3022</v>
      </c>
    </row>
    <row r="1509" spans="1:8">
      <c r="A1509" s="62">
        <v>9350352</v>
      </c>
      <c r="B1509" s="55" t="s">
        <v>3023</v>
      </c>
      <c r="C1509" s="58">
        <v>17750243058282</v>
      </c>
      <c r="D1509" s="55" t="s">
        <v>9</v>
      </c>
      <c r="E1509" s="55">
        <v>10</v>
      </c>
      <c r="F1509" s="55">
        <v>4</v>
      </c>
      <c r="G1509" s="55">
        <v>40</v>
      </c>
      <c r="H1509" s="131" t="s">
        <v>3024</v>
      </c>
    </row>
    <row r="1510" spans="1:8">
      <c r="A1510" s="61">
        <v>9350353</v>
      </c>
      <c r="B1510" s="54" t="s">
        <v>3025</v>
      </c>
      <c r="C1510" s="57">
        <v>17750243058299</v>
      </c>
      <c r="D1510" s="54" t="s">
        <v>9</v>
      </c>
      <c r="E1510" s="54">
        <v>14</v>
      </c>
      <c r="F1510" s="54">
        <v>4</v>
      </c>
      <c r="G1510" s="54">
        <v>56</v>
      </c>
      <c r="H1510" s="131" t="s">
        <v>3026</v>
      </c>
    </row>
    <row r="1511" spans="1:8">
      <c r="A1511" s="62">
        <v>9350355</v>
      </c>
      <c r="B1511" s="55" t="s">
        <v>3027</v>
      </c>
      <c r="C1511" s="58">
        <v>17750243058312</v>
      </c>
      <c r="D1511" s="55" t="s">
        <v>9</v>
      </c>
      <c r="E1511" s="55">
        <v>8</v>
      </c>
      <c r="F1511" s="55">
        <v>3</v>
      </c>
      <c r="G1511" s="55">
        <v>24</v>
      </c>
      <c r="H1511" s="131" t="s">
        <v>3028</v>
      </c>
    </row>
    <row r="1512" spans="1:8">
      <c r="A1512" s="61">
        <v>9350356</v>
      </c>
      <c r="B1512" s="54" t="s">
        <v>3029</v>
      </c>
      <c r="C1512" s="57">
        <v>17750243058329</v>
      </c>
      <c r="D1512" s="54" t="s">
        <v>9</v>
      </c>
      <c r="E1512" s="54">
        <v>9</v>
      </c>
      <c r="F1512" s="54">
        <v>3</v>
      </c>
      <c r="G1512" s="54">
        <v>27</v>
      </c>
      <c r="H1512" s="131" t="s">
        <v>3030</v>
      </c>
    </row>
    <row r="1513" spans="1:8">
      <c r="A1513" s="62">
        <v>9350357</v>
      </c>
      <c r="B1513" s="55" t="s">
        <v>3031</v>
      </c>
      <c r="C1513" s="58">
        <v>17750243058336</v>
      </c>
      <c r="D1513" s="55" t="s">
        <v>9</v>
      </c>
      <c r="E1513" s="55">
        <v>10</v>
      </c>
      <c r="F1513" s="55">
        <v>4</v>
      </c>
      <c r="G1513" s="55">
        <v>40</v>
      </c>
      <c r="H1513" s="131" t="s">
        <v>3032</v>
      </c>
    </row>
    <row r="1514" spans="1:8">
      <c r="A1514" s="61">
        <v>9350359</v>
      </c>
      <c r="B1514" s="54" t="s">
        <v>3033</v>
      </c>
      <c r="C1514" s="57">
        <v>17750243058350</v>
      </c>
      <c r="D1514" s="54" t="s">
        <v>9</v>
      </c>
      <c r="E1514" s="54">
        <v>14</v>
      </c>
      <c r="F1514" s="54">
        <v>4</v>
      </c>
      <c r="G1514" s="54">
        <v>56</v>
      </c>
      <c r="H1514" s="131" t="s">
        <v>3034</v>
      </c>
    </row>
    <row r="1515" spans="1:8">
      <c r="A1515" s="62">
        <v>9350361</v>
      </c>
      <c r="B1515" s="55" t="s">
        <v>3035</v>
      </c>
      <c r="C1515" s="58">
        <v>17750243058374</v>
      </c>
      <c r="D1515" s="55" t="s">
        <v>9</v>
      </c>
      <c r="E1515" s="55">
        <v>8</v>
      </c>
      <c r="F1515" s="55">
        <v>3</v>
      </c>
      <c r="G1515" s="55">
        <v>24</v>
      </c>
      <c r="H1515" s="131" t="s">
        <v>3036</v>
      </c>
    </row>
    <row r="1516" spans="1:8">
      <c r="A1516" s="61">
        <v>9350362</v>
      </c>
      <c r="B1516" s="54" t="s">
        <v>3037</v>
      </c>
      <c r="C1516" s="57">
        <v>17750243058381</v>
      </c>
      <c r="D1516" s="54" t="s">
        <v>9</v>
      </c>
      <c r="E1516" s="54">
        <v>10</v>
      </c>
      <c r="F1516" s="54">
        <v>4</v>
      </c>
      <c r="G1516" s="54">
        <v>40</v>
      </c>
      <c r="H1516" s="131" t="s">
        <v>3038</v>
      </c>
    </row>
    <row r="1517" spans="1:8">
      <c r="A1517" s="62">
        <v>9350363</v>
      </c>
      <c r="B1517" s="55" t="s">
        <v>3039</v>
      </c>
      <c r="C1517" s="58">
        <v>17750243058398</v>
      </c>
      <c r="D1517" s="55" t="s">
        <v>9</v>
      </c>
      <c r="E1517" s="55">
        <v>8</v>
      </c>
      <c r="F1517" s="55">
        <v>3</v>
      </c>
      <c r="G1517" s="55">
        <v>24</v>
      </c>
      <c r="H1517" s="131" t="s">
        <v>3040</v>
      </c>
    </row>
    <row r="1518" spans="1:8">
      <c r="A1518" s="61">
        <v>9350365</v>
      </c>
      <c r="B1518" s="54" t="s">
        <v>3041</v>
      </c>
      <c r="C1518" s="57">
        <v>17750243058558</v>
      </c>
      <c r="D1518" s="54" t="s">
        <v>9</v>
      </c>
      <c r="E1518" s="54">
        <v>10</v>
      </c>
      <c r="F1518" s="54">
        <v>4</v>
      </c>
      <c r="G1518" s="54">
        <v>40</v>
      </c>
      <c r="H1518" s="131" t="s">
        <v>3042</v>
      </c>
    </row>
    <row r="1519" spans="1:8">
      <c r="A1519" s="62">
        <v>9350366</v>
      </c>
      <c r="B1519" s="55" t="s">
        <v>3043</v>
      </c>
      <c r="C1519" s="58">
        <v>17750243058565</v>
      </c>
      <c r="D1519" s="55" t="s">
        <v>9</v>
      </c>
      <c r="E1519" s="55">
        <v>14</v>
      </c>
      <c r="F1519" s="55">
        <v>4</v>
      </c>
      <c r="G1519" s="55">
        <v>56</v>
      </c>
      <c r="H1519" s="131" t="s">
        <v>3044</v>
      </c>
    </row>
    <row r="1520" spans="1:8">
      <c r="A1520" s="61">
        <v>9350368</v>
      </c>
      <c r="B1520" s="54" t="s">
        <v>3045</v>
      </c>
      <c r="C1520" s="57">
        <v>17750243058589</v>
      </c>
      <c r="D1520" s="54" t="s">
        <v>9</v>
      </c>
      <c r="E1520" s="54">
        <v>10</v>
      </c>
      <c r="F1520" s="54">
        <v>4</v>
      </c>
      <c r="G1520" s="54">
        <v>40</v>
      </c>
      <c r="H1520" s="131" t="s">
        <v>3046</v>
      </c>
    </row>
    <row r="1521" spans="1:8">
      <c r="A1521" s="62">
        <v>9350369</v>
      </c>
      <c r="B1521" s="55" t="s">
        <v>3047</v>
      </c>
      <c r="C1521" s="58">
        <v>17750243058596</v>
      </c>
      <c r="D1521" s="55" t="s">
        <v>9</v>
      </c>
      <c r="E1521" s="55">
        <v>14</v>
      </c>
      <c r="F1521" s="55">
        <v>4</v>
      </c>
      <c r="G1521" s="55">
        <v>56</v>
      </c>
      <c r="H1521" s="131" t="s">
        <v>3048</v>
      </c>
    </row>
    <row r="1522" spans="1:8">
      <c r="A1522" s="61">
        <v>9350372</v>
      </c>
      <c r="B1522" s="54" t="s">
        <v>3049</v>
      </c>
      <c r="C1522" s="57">
        <v>17750243058909</v>
      </c>
      <c r="D1522" s="54" t="s">
        <v>9</v>
      </c>
      <c r="E1522" s="54">
        <v>20</v>
      </c>
      <c r="F1522" s="54">
        <v>5</v>
      </c>
      <c r="G1522" s="54">
        <v>100</v>
      </c>
      <c r="H1522" s="131" t="s">
        <v>3050</v>
      </c>
    </row>
    <row r="1523" spans="1:8">
      <c r="A1523" s="62">
        <v>9350373</v>
      </c>
      <c r="B1523" s="55" t="s">
        <v>3051</v>
      </c>
      <c r="C1523" s="58">
        <v>17750243058916</v>
      </c>
      <c r="D1523" s="55" t="s">
        <v>9</v>
      </c>
      <c r="E1523" s="55">
        <v>20</v>
      </c>
      <c r="F1523" s="55">
        <v>5</v>
      </c>
      <c r="G1523" s="55">
        <v>100</v>
      </c>
      <c r="H1523" s="131" t="s">
        <v>3052</v>
      </c>
    </row>
    <row r="1524" spans="1:8">
      <c r="A1524" s="61">
        <v>9350382</v>
      </c>
      <c r="B1524" s="54" t="s">
        <v>3053</v>
      </c>
      <c r="C1524" s="57">
        <v>17750243059883</v>
      </c>
      <c r="D1524" s="54" t="s">
        <v>9</v>
      </c>
      <c r="E1524" s="54">
        <v>8</v>
      </c>
      <c r="F1524" s="54">
        <v>3</v>
      </c>
      <c r="G1524" s="54">
        <v>24</v>
      </c>
      <c r="H1524" s="131" t="s">
        <v>3054</v>
      </c>
    </row>
    <row r="1525" spans="1:8">
      <c r="A1525" s="62">
        <v>9350383</v>
      </c>
      <c r="B1525" s="55" t="s">
        <v>3055</v>
      </c>
      <c r="C1525" s="58">
        <v>17750243060056</v>
      </c>
      <c r="D1525" s="55" t="s">
        <v>9</v>
      </c>
      <c r="E1525" s="55">
        <v>10</v>
      </c>
      <c r="F1525" s="55">
        <v>3</v>
      </c>
      <c r="G1525" s="55">
        <v>30</v>
      </c>
      <c r="H1525" s="131" t="s">
        <v>3056</v>
      </c>
    </row>
    <row r="1526" spans="1:8">
      <c r="A1526" s="61">
        <v>9350385</v>
      </c>
      <c r="B1526" s="54" t="s">
        <v>3057</v>
      </c>
      <c r="C1526" s="57">
        <v>17750243061633</v>
      </c>
      <c r="D1526" s="54" t="s">
        <v>9</v>
      </c>
      <c r="E1526" s="54">
        <v>14</v>
      </c>
      <c r="F1526" s="54">
        <v>4</v>
      </c>
      <c r="G1526" s="54">
        <v>56</v>
      </c>
      <c r="H1526" s="131" t="s">
        <v>3058</v>
      </c>
    </row>
    <row r="1527" spans="1:8">
      <c r="A1527" s="62">
        <v>9350388</v>
      </c>
      <c r="B1527" s="55" t="s">
        <v>3059</v>
      </c>
      <c r="C1527" s="58">
        <v>17750243062203</v>
      </c>
      <c r="D1527" s="55" t="s">
        <v>9</v>
      </c>
      <c r="E1527" s="55">
        <v>10</v>
      </c>
      <c r="F1527" s="55">
        <v>4</v>
      </c>
      <c r="G1527" s="55">
        <v>40</v>
      </c>
      <c r="H1527" s="131" t="s">
        <v>3060</v>
      </c>
    </row>
    <row r="1528" spans="1:8">
      <c r="A1528" s="61">
        <v>9350392</v>
      </c>
      <c r="B1528" s="54" t="s">
        <v>3061</v>
      </c>
      <c r="C1528" s="57">
        <v>17750243065488</v>
      </c>
      <c r="D1528" s="54" t="s">
        <v>9</v>
      </c>
      <c r="E1528" s="54">
        <v>8</v>
      </c>
      <c r="F1528" s="54">
        <v>3</v>
      </c>
      <c r="G1528" s="54">
        <v>24</v>
      </c>
      <c r="H1528" s="131" t="s">
        <v>3062</v>
      </c>
    </row>
    <row r="1529" spans="1:8">
      <c r="A1529" s="62">
        <v>9350393</v>
      </c>
      <c r="B1529" s="55" t="s">
        <v>3063</v>
      </c>
      <c r="C1529" s="58">
        <v>17750243065495</v>
      </c>
      <c r="D1529" s="55" t="s">
        <v>9</v>
      </c>
      <c r="E1529" s="55">
        <v>10</v>
      </c>
      <c r="F1529" s="55">
        <v>3</v>
      </c>
      <c r="G1529" s="55">
        <v>30</v>
      </c>
      <c r="H1529" s="131" t="s">
        <v>3064</v>
      </c>
    </row>
    <row r="1530" spans="1:8">
      <c r="A1530" s="61">
        <v>9350397</v>
      </c>
      <c r="B1530" s="54" t="s">
        <v>3065</v>
      </c>
      <c r="C1530" s="57">
        <v>17750243072042</v>
      </c>
      <c r="D1530" s="54" t="s">
        <v>9</v>
      </c>
      <c r="E1530" s="54">
        <v>8</v>
      </c>
      <c r="F1530" s="54">
        <v>3</v>
      </c>
      <c r="G1530" s="54">
        <v>24</v>
      </c>
      <c r="H1530" s="131" t="s">
        <v>3066</v>
      </c>
    </row>
    <row r="1531" spans="1:8">
      <c r="A1531" s="62">
        <v>9350399</v>
      </c>
      <c r="B1531" s="55" t="s">
        <v>3067</v>
      </c>
      <c r="C1531" s="58">
        <v>17750243072066</v>
      </c>
      <c r="D1531" s="55" t="s">
        <v>9</v>
      </c>
      <c r="E1531" s="55">
        <v>10</v>
      </c>
      <c r="F1531" s="55">
        <v>4</v>
      </c>
      <c r="G1531" s="55">
        <v>40</v>
      </c>
      <c r="H1531" s="131" t="s">
        <v>3068</v>
      </c>
    </row>
    <row r="1532" spans="1:8">
      <c r="A1532" s="61">
        <v>9350406</v>
      </c>
      <c r="B1532" s="54" t="s">
        <v>3069</v>
      </c>
      <c r="C1532" s="57">
        <v>17750243083031</v>
      </c>
      <c r="D1532" s="54" t="s">
        <v>9</v>
      </c>
      <c r="E1532" s="54">
        <v>14</v>
      </c>
      <c r="F1532" s="54">
        <v>4</v>
      </c>
      <c r="G1532" s="54">
        <v>56</v>
      </c>
      <c r="H1532" s="131" t="s">
        <v>3070</v>
      </c>
    </row>
    <row r="1533" spans="1:8">
      <c r="A1533" s="62">
        <v>9350407</v>
      </c>
      <c r="B1533" s="55" t="s">
        <v>3071</v>
      </c>
      <c r="C1533" s="58">
        <v>17750243083048</v>
      </c>
      <c r="D1533" s="55" t="s">
        <v>9</v>
      </c>
      <c r="E1533" s="55">
        <v>10</v>
      </c>
      <c r="F1533" s="55">
        <v>3</v>
      </c>
      <c r="G1533" s="55">
        <v>30</v>
      </c>
      <c r="H1533" s="131" t="s">
        <v>3072</v>
      </c>
    </row>
    <row r="1534" spans="1:8">
      <c r="A1534" s="61">
        <v>9350408</v>
      </c>
      <c r="B1534" s="54" t="s">
        <v>3073</v>
      </c>
      <c r="C1534" s="57">
        <v>17750243083055</v>
      </c>
      <c r="D1534" s="54" t="s">
        <v>9</v>
      </c>
      <c r="E1534" s="54">
        <v>9</v>
      </c>
      <c r="F1534" s="54">
        <v>3</v>
      </c>
      <c r="G1534" s="54">
        <v>27</v>
      </c>
      <c r="H1534" s="131" t="s">
        <v>3074</v>
      </c>
    </row>
    <row r="1535" spans="1:8">
      <c r="A1535" s="62">
        <v>9350409</v>
      </c>
      <c r="B1535" s="55" t="s">
        <v>3075</v>
      </c>
      <c r="C1535" s="58">
        <v>17750243083062</v>
      </c>
      <c r="D1535" s="55" t="s">
        <v>9</v>
      </c>
      <c r="E1535" s="55">
        <v>20</v>
      </c>
      <c r="F1535" s="55">
        <v>5</v>
      </c>
      <c r="G1535" s="55">
        <v>100</v>
      </c>
      <c r="H1535" s="131" t="s">
        <v>3076</v>
      </c>
    </row>
    <row r="1536" spans="1:8">
      <c r="A1536" s="61">
        <v>9350410</v>
      </c>
      <c r="B1536" s="54" t="s">
        <v>3077</v>
      </c>
      <c r="C1536" s="57">
        <v>17750243083079</v>
      </c>
      <c r="D1536" s="54" t="s">
        <v>9</v>
      </c>
      <c r="E1536" s="54">
        <v>10</v>
      </c>
      <c r="F1536" s="54">
        <v>4</v>
      </c>
      <c r="G1536" s="54">
        <v>40</v>
      </c>
      <c r="H1536" s="131" t="s">
        <v>3078</v>
      </c>
    </row>
    <row r="1537" spans="1:8">
      <c r="A1537" s="62">
        <v>9350411</v>
      </c>
      <c r="B1537" s="55" t="s">
        <v>3079</v>
      </c>
      <c r="C1537" s="58">
        <v>17750243083475</v>
      </c>
      <c r="D1537" s="55" t="s">
        <v>9</v>
      </c>
      <c r="E1537" s="55">
        <v>8</v>
      </c>
      <c r="F1537" s="55">
        <v>3</v>
      </c>
      <c r="G1537" s="55">
        <v>24</v>
      </c>
      <c r="H1537" s="131" t="s">
        <v>3080</v>
      </c>
    </row>
    <row r="1538" spans="1:8">
      <c r="A1538" s="61">
        <v>9350412</v>
      </c>
      <c r="B1538" s="54" t="s">
        <v>3081</v>
      </c>
      <c r="C1538" s="57">
        <v>17750243083505</v>
      </c>
      <c r="D1538" s="54" t="s">
        <v>9</v>
      </c>
      <c r="E1538" s="54">
        <v>20</v>
      </c>
      <c r="F1538" s="54">
        <v>5</v>
      </c>
      <c r="G1538" s="54">
        <v>100</v>
      </c>
      <c r="H1538" s="131" t="s">
        <v>3082</v>
      </c>
    </row>
    <row r="1539" spans="1:8">
      <c r="A1539" s="62">
        <v>9350413</v>
      </c>
      <c r="B1539" s="55" t="s">
        <v>3083</v>
      </c>
      <c r="C1539" s="58">
        <v>17750243083512</v>
      </c>
      <c r="D1539" s="55" t="s">
        <v>9</v>
      </c>
      <c r="E1539" s="55">
        <v>10</v>
      </c>
      <c r="F1539" s="55">
        <v>3</v>
      </c>
      <c r="G1539" s="55">
        <v>30</v>
      </c>
      <c r="H1539" s="131" t="s">
        <v>3084</v>
      </c>
    </row>
    <row r="1540" spans="1:8">
      <c r="A1540" s="61">
        <v>9350414</v>
      </c>
      <c r="B1540" s="54" t="s">
        <v>3085</v>
      </c>
      <c r="C1540" s="57">
        <v>17750243083529</v>
      </c>
      <c r="D1540" s="54" t="s">
        <v>9</v>
      </c>
      <c r="E1540" s="54">
        <v>8</v>
      </c>
      <c r="F1540" s="54">
        <v>3</v>
      </c>
      <c r="G1540" s="54">
        <v>24</v>
      </c>
      <c r="H1540" s="131" t="s">
        <v>3086</v>
      </c>
    </row>
    <row r="1541" spans="1:8">
      <c r="A1541" s="62">
        <v>9350415</v>
      </c>
      <c r="B1541" s="55" t="s">
        <v>3087</v>
      </c>
      <c r="C1541" s="58">
        <v>17750243083536</v>
      </c>
      <c r="D1541" s="55" t="s">
        <v>9</v>
      </c>
      <c r="E1541" s="55">
        <v>8</v>
      </c>
      <c r="F1541" s="55">
        <v>3</v>
      </c>
      <c r="G1541" s="55">
        <v>24</v>
      </c>
      <c r="H1541" s="131" t="s">
        <v>3088</v>
      </c>
    </row>
    <row r="1542" spans="1:8">
      <c r="A1542" s="61">
        <v>9350416</v>
      </c>
      <c r="B1542" s="54" t="s">
        <v>3089</v>
      </c>
      <c r="C1542" s="57">
        <v>17750243083543</v>
      </c>
      <c r="D1542" s="54" t="s">
        <v>9</v>
      </c>
      <c r="E1542" s="54">
        <v>8</v>
      </c>
      <c r="F1542" s="54">
        <v>3</v>
      </c>
      <c r="G1542" s="54">
        <v>24</v>
      </c>
      <c r="H1542" s="131" t="s">
        <v>3090</v>
      </c>
    </row>
    <row r="1543" spans="1:8">
      <c r="A1543" s="62">
        <v>9350417</v>
      </c>
      <c r="B1543" s="55" t="s">
        <v>3091</v>
      </c>
      <c r="C1543" s="58">
        <v>17750243083550</v>
      </c>
      <c r="D1543" s="55" t="s">
        <v>9</v>
      </c>
      <c r="E1543" s="55">
        <v>10</v>
      </c>
      <c r="F1543" s="55">
        <v>4</v>
      </c>
      <c r="G1543" s="55">
        <v>40</v>
      </c>
      <c r="H1543" s="131" t="s">
        <v>3092</v>
      </c>
    </row>
    <row r="1544" spans="1:8">
      <c r="A1544" s="61">
        <v>9350418</v>
      </c>
      <c r="B1544" s="54" t="s">
        <v>3093</v>
      </c>
      <c r="C1544" s="57">
        <v>17750243083567</v>
      </c>
      <c r="D1544" s="54" t="s">
        <v>9</v>
      </c>
      <c r="E1544" s="54">
        <v>10</v>
      </c>
      <c r="F1544" s="54">
        <v>4</v>
      </c>
      <c r="G1544" s="54">
        <v>40</v>
      </c>
      <c r="H1544" s="131" t="s">
        <v>3094</v>
      </c>
    </row>
    <row r="1545" spans="1:8">
      <c r="A1545" s="62">
        <v>9350420</v>
      </c>
      <c r="B1545" s="55" t="s">
        <v>3095</v>
      </c>
      <c r="C1545" s="58">
        <v>17750243084335</v>
      </c>
      <c r="D1545" s="55" t="s">
        <v>9</v>
      </c>
      <c r="E1545" s="55">
        <v>14</v>
      </c>
      <c r="F1545" s="55">
        <v>4</v>
      </c>
      <c r="G1545" s="55">
        <v>56</v>
      </c>
      <c r="H1545" s="131" t="s">
        <v>3096</v>
      </c>
    </row>
    <row r="1546" spans="1:8">
      <c r="A1546" s="61">
        <v>9350421</v>
      </c>
      <c r="B1546" s="54" t="s">
        <v>3097</v>
      </c>
      <c r="C1546" s="57">
        <v>17750243084342</v>
      </c>
      <c r="D1546" s="54" t="s">
        <v>9</v>
      </c>
      <c r="E1546" s="54">
        <v>14</v>
      </c>
      <c r="F1546" s="54">
        <v>4</v>
      </c>
      <c r="G1546" s="54">
        <v>56</v>
      </c>
      <c r="H1546" s="131" t="s">
        <v>3098</v>
      </c>
    </row>
    <row r="1547" spans="1:8">
      <c r="A1547" s="62">
        <v>9350422</v>
      </c>
      <c r="B1547" s="55" t="s">
        <v>3099</v>
      </c>
      <c r="C1547" s="58">
        <v>17750243084359</v>
      </c>
      <c r="D1547" s="55" t="s">
        <v>9</v>
      </c>
      <c r="E1547" s="55">
        <v>10</v>
      </c>
      <c r="F1547" s="55">
        <v>4</v>
      </c>
      <c r="G1547" s="55">
        <v>40</v>
      </c>
      <c r="H1547" s="131" t="s">
        <v>3100</v>
      </c>
    </row>
    <row r="1548" spans="1:8">
      <c r="A1548" s="61">
        <v>9350423</v>
      </c>
      <c r="B1548" s="54" t="s">
        <v>3101</v>
      </c>
      <c r="C1548" s="57">
        <v>17750243084649</v>
      </c>
      <c r="D1548" s="54" t="s">
        <v>9</v>
      </c>
      <c r="E1548" s="54">
        <v>9</v>
      </c>
      <c r="F1548" s="54">
        <v>4</v>
      </c>
      <c r="G1548" s="54">
        <v>36</v>
      </c>
      <c r="H1548" s="131" t="s">
        <v>3102</v>
      </c>
    </row>
    <row r="1549" spans="1:8">
      <c r="A1549" s="62">
        <v>9350424</v>
      </c>
      <c r="B1549" s="55" t="s">
        <v>3103</v>
      </c>
      <c r="C1549" s="58">
        <v>27750243086831</v>
      </c>
      <c r="D1549" s="55" t="s">
        <v>9</v>
      </c>
      <c r="E1549" s="55">
        <v>20</v>
      </c>
      <c r="F1549" s="55">
        <v>5</v>
      </c>
      <c r="G1549" s="55">
        <v>100</v>
      </c>
      <c r="H1549" s="131" t="s">
        <v>3104</v>
      </c>
    </row>
    <row r="1550" spans="1:8">
      <c r="A1550" s="61">
        <v>9350425</v>
      </c>
      <c r="B1550" s="54" t="s">
        <v>3105</v>
      </c>
      <c r="C1550" s="57">
        <v>27750243086848</v>
      </c>
      <c r="D1550" s="54" t="s">
        <v>9</v>
      </c>
      <c r="E1550" s="54">
        <v>20</v>
      </c>
      <c r="F1550" s="54">
        <v>5</v>
      </c>
      <c r="G1550" s="54">
        <v>100</v>
      </c>
      <c r="H1550" s="131" t="s">
        <v>3106</v>
      </c>
    </row>
    <row r="1551" spans="1:8">
      <c r="A1551" s="62">
        <v>9550014</v>
      </c>
      <c r="B1551" s="55" t="s">
        <v>3107</v>
      </c>
      <c r="C1551" s="58">
        <v>27750243056728</v>
      </c>
      <c r="D1551" s="55" t="s">
        <v>9</v>
      </c>
      <c r="E1551" s="55">
        <v>19</v>
      </c>
      <c r="F1551" s="55">
        <v>6</v>
      </c>
      <c r="G1551" s="55">
        <v>114</v>
      </c>
      <c r="H1551" s="131" t="s">
        <v>3108</v>
      </c>
    </row>
    <row r="1552" spans="1:8">
      <c r="A1552" s="61">
        <v>9550016</v>
      </c>
      <c r="B1552" s="54" t="s">
        <v>3109</v>
      </c>
      <c r="C1552" s="57">
        <v>37750243056732</v>
      </c>
      <c r="D1552" s="54" t="s">
        <v>9</v>
      </c>
      <c r="E1552" s="54">
        <v>26</v>
      </c>
      <c r="F1552" s="54">
        <v>5</v>
      </c>
      <c r="G1552" s="54">
        <v>130</v>
      </c>
      <c r="H1552" s="131" t="s">
        <v>3110</v>
      </c>
    </row>
    <row r="1553" spans="1:8">
      <c r="A1553" s="62">
        <v>9550017</v>
      </c>
      <c r="B1553" s="55" t="s">
        <v>3111</v>
      </c>
      <c r="C1553" s="58">
        <v>37750243056749</v>
      </c>
      <c r="D1553" s="55" t="s">
        <v>9</v>
      </c>
      <c r="E1553" s="55">
        <v>17</v>
      </c>
      <c r="F1553" s="55">
        <v>4</v>
      </c>
      <c r="G1553" s="55">
        <v>68</v>
      </c>
      <c r="H1553" s="131" t="s">
        <v>3112</v>
      </c>
    </row>
    <row r="1554" spans="1:8">
      <c r="A1554" s="61">
        <v>9550019</v>
      </c>
      <c r="B1554" s="54" t="s">
        <v>3113</v>
      </c>
      <c r="C1554" s="57">
        <v>47750243056739</v>
      </c>
      <c r="D1554" s="54" t="s">
        <v>9</v>
      </c>
      <c r="E1554" s="54">
        <v>26</v>
      </c>
      <c r="F1554" s="54">
        <v>5</v>
      </c>
      <c r="G1554" s="54">
        <v>130</v>
      </c>
      <c r="H1554" s="131" t="s">
        <v>3114</v>
      </c>
    </row>
    <row r="1555" spans="1:8">
      <c r="A1555" s="62">
        <v>9550021</v>
      </c>
      <c r="B1555" s="55" t="s">
        <v>3115</v>
      </c>
      <c r="C1555" s="58">
        <v>37750243057661</v>
      </c>
      <c r="D1555" s="55" t="s">
        <v>9</v>
      </c>
      <c r="E1555" s="55">
        <v>16</v>
      </c>
      <c r="F1555" s="55">
        <v>4</v>
      </c>
      <c r="G1555" s="55">
        <v>64</v>
      </c>
      <c r="H1555" s="131" t="s">
        <v>3116</v>
      </c>
    </row>
    <row r="1556" spans="1:8">
      <c r="A1556" s="68">
        <v>9550026</v>
      </c>
      <c r="B1556" s="69" t="s">
        <v>3117</v>
      </c>
      <c r="C1556" s="70">
        <v>17750243060094</v>
      </c>
      <c r="D1556" s="69" t="s">
        <v>9</v>
      </c>
      <c r="E1556" s="69">
        <v>12</v>
      </c>
      <c r="F1556" s="69">
        <v>3</v>
      </c>
      <c r="G1556" s="69">
        <v>36</v>
      </c>
      <c r="H1556" s="131" t="s">
        <v>3118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C6FB-A30D-48E9-ABBA-50A595B51056}">
  <dimension ref="A1:P427"/>
  <sheetViews>
    <sheetView topLeftCell="A7" workbookViewId="0">
      <selection activeCell="A2" sqref="A2"/>
    </sheetView>
  </sheetViews>
  <sheetFormatPr defaultRowHeight="15"/>
  <cols>
    <col min="1" max="1" width="12.140625" customWidth="1"/>
    <col min="2" max="2" width="15.28515625" bestFit="1" customWidth="1"/>
    <col min="3" max="3" width="11.5703125" bestFit="1" customWidth="1"/>
    <col min="4" max="4" width="49.140625" bestFit="1" customWidth="1"/>
    <col min="5" max="5" width="15.140625" customWidth="1"/>
    <col min="6" max="6" width="24.42578125" style="117" bestFit="1" customWidth="1"/>
    <col min="7" max="7" width="15.5703125" bestFit="1" customWidth="1"/>
    <col min="8" max="8" width="21.85546875" bestFit="1" customWidth="1"/>
    <col min="9" max="9" width="21" bestFit="1" customWidth="1"/>
    <col min="10" max="10" width="8.42578125" bestFit="1" customWidth="1"/>
    <col min="11" max="11" width="12.140625" bestFit="1" customWidth="1"/>
    <col min="12" max="12" width="13.7109375" bestFit="1" customWidth="1"/>
    <col min="13" max="13" width="22.28515625" bestFit="1" customWidth="1"/>
    <col min="14" max="14" width="19.85546875" bestFit="1" customWidth="1"/>
    <col min="15" max="15" width="16.140625" bestFit="1" customWidth="1"/>
  </cols>
  <sheetData>
    <row r="1" spans="1:16">
      <c r="A1" s="81" t="s">
        <v>3119</v>
      </c>
      <c r="B1" s="80" t="s">
        <v>3120</v>
      </c>
      <c r="C1" s="82" t="s">
        <v>3121</v>
      </c>
      <c r="D1" s="82" t="s">
        <v>3122</v>
      </c>
      <c r="E1" s="82" t="s">
        <v>3123</v>
      </c>
      <c r="F1" s="116" t="s">
        <v>3124</v>
      </c>
      <c r="G1" s="82" t="s">
        <v>3125</v>
      </c>
      <c r="H1" s="82" t="s">
        <v>3126</v>
      </c>
      <c r="I1" s="82" t="s">
        <v>3127</v>
      </c>
      <c r="J1" s="82" t="s">
        <v>3128</v>
      </c>
      <c r="K1" s="82" t="s">
        <v>3129</v>
      </c>
      <c r="L1" s="82" t="s">
        <v>3130</v>
      </c>
      <c r="M1" s="82" t="s">
        <v>3131</v>
      </c>
      <c r="N1" s="82" t="s">
        <v>3132</v>
      </c>
      <c r="O1" s="83" t="s">
        <v>3133</v>
      </c>
      <c r="P1" s="138" t="s">
        <v>7</v>
      </c>
    </row>
    <row r="2" spans="1:16">
      <c r="A2" s="37" t="s">
        <v>3134</v>
      </c>
      <c r="B2" s="75" t="s">
        <v>3135</v>
      </c>
      <c r="C2" s="11">
        <v>8300013</v>
      </c>
      <c r="D2" s="11" t="s">
        <v>99</v>
      </c>
      <c r="E2" s="11">
        <v>2608045060</v>
      </c>
      <c r="F2" s="15">
        <v>46485</v>
      </c>
      <c r="G2" s="11" t="s">
        <v>3136</v>
      </c>
      <c r="H2" s="11">
        <v>19</v>
      </c>
      <c r="I2" s="11" t="s">
        <v>100</v>
      </c>
      <c r="J2" s="11">
        <v>19</v>
      </c>
      <c r="K2" s="11" t="s">
        <v>3137</v>
      </c>
      <c r="L2" s="26"/>
      <c r="M2" s="26"/>
      <c r="N2" s="26"/>
      <c r="O2" s="78">
        <v>395.27600000000001</v>
      </c>
      <c r="P2" s="127" t="s">
        <v>3138</v>
      </c>
    </row>
    <row r="3" spans="1:16">
      <c r="A3" s="38" t="s">
        <v>3139</v>
      </c>
      <c r="B3" s="76" t="s">
        <v>3135</v>
      </c>
      <c r="C3" s="13">
        <v>8300041</v>
      </c>
      <c r="D3" s="13" t="s">
        <v>113</v>
      </c>
      <c r="E3" s="13">
        <v>2607275060</v>
      </c>
      <c r="F3" s="16" t="s">
        <v>3140</v>
      </c>
      <c r="G3" s="13" t="s">
        <v>3136</v>
      </c>
      <c r="H3" s="13">
        <v>22</v>
      </c>
      <c r="I3" s="13" t="s">
        <v>9</v>
      </c>
      <c r="J3" s="13">
        <v>88</v>
      </c>
      <c r="K3" s="14" t="s">
        <v>3141</v>
      </c>
      <c r="L3" s="25"/>
      <c r="M3" s="25"/>
      <c r="N3" s="25"/>
      <c r="O3" s="79">
        <v>467.94</v>
      </c>
      <c r="P3" s="127" t="s">
        <v>3142</v>
      </c>
    </row>
    <row r="4" spans="1:16">
      <c r="A4" s="39" t="s">
        <v>3143</v>
      </c>
      <c r="B4" s="77" t="s">
        <v>3135</v>
      </c>
      <c r="C4" s="11">
        <v>8300110</v>
      </c>
      <c r="D4" s="11" t="s">
        <v>153</v>
      </c>
      <c r="E4" s="11">
        <v>2605275060</v>
      </c>
      <c r="F4" s="15" t="s">
        <v>3144</v>
      </c>
      <c r="G4" s="11" t="s">
        <v>3136</v>
      </c>
      <c r="H4" s="11">
        <v>36</v>
      </c>
      <c r="I4" s="11" t="s">
        <v>9</v>
      </c>
      <c r="J4" s="11">
        <v>540</v>
      </c>
      <c r="K4" s="11" t="s">
        <v>3141</v>
      </c>
      <c r="L4" s="26"/>
      <c r="M4" s="26"/>
      <c r="N4" s="26"/>
      <c r="O4" s="78">
        <v>219.56399999999999</v>
      </c>
      <c r="P4" s="127" t="s">
        <v>3145</v>
      </c>
    </row>
    <row r="5" spans="1:16">
      <c r="A5" s="38" t="s">
        <v>3146</v>
      </c>
      <c r="B5" s="76" t="s">
        <v>3135</v>
      </c>
      <c r="C5" s="13">
        <v>8300111</v>
      </c>
      <c r="D5" s="13" t="s">
        <v>155</v>
      </c>
      <c r="E5" s="13">
        <v>2608245060</v>
      </c>
      <c r="F5" s="16" t="s">
        <v>3147</v>
      </c>
      <c r="G5" s="13" t="s">
        <v>3136</v>
      </c>
      <c r="H5" s="13">
        <v>61</v>
      </c>
      <c r="I5" s="13" t="s">
        <v>9</v>
      </c>
      <c r="J5" s="13">
        <v>732</v>
      </c>
      <c r="K5" s="14" t="s">
        <v>3148</v>
      </c>
      <c r="L5" s="25"/>
      <c r="M5" s="25"/>
      <c r="N5" s="25"/>
      <c r="O5" s="79">
        <v>511.851</v>
      </c>
      <c r="P5" s="127" t="s">
        <v>3149</v>
      </c>
    </row>
    <row r="6" spans="1:16">
      <c r="A6" s="39" t="s">
        <v>3150</v>
      </c>
      <c r="B6" s="77" t="s">
        <v>3135</v>
      </c>
      <c r="C6" s="11">
        <v>8300112</v>
      </c>
      <c r="D6" s="11" t="s">
        <v>157</v>
      </c>
      <c r="E6" s="11">
        <v>2607075060</v>
      </c>
      <c r="F6" s="15">
        <v>46575</v>
      </c>
      <c r="G6" s="11" t="s">
        <v>3136</v>
      </c>
      <c r="H6" s="11">
        <v>44</v>
      </c>
      <c r="I6" s="11" t="s">
        <v>9</v>
      </c>
      <c r="J6" s="11">
        <v>528</v>
      </c>
      <c r="K6" s="11" t="s">
        <v>3141</v>
      </c>
      <c r="L6" s="26"/>
      <c r="M6" s="26"/>
      <c r="N6" s="26"/>
      <c r="O6" s="78">
        <v>564.96</v>
      </c>
      <c r="P6" s="127" t="s">
        <v>3151</v>
      </c>
    </row>
    <row r="7" spans="1:16">
      <c r="A7" s="38" t="s">
        <v>3152</v>
      </c>
      <c r="B7" s="76" t="s">
        <v>3135</v>
      </c>
      <c r="C7" s="13">
        <v>8300113</v>
      </c>
      <c r="D7" s="13" t="s">
        <v>159</v>
      </c>
      <c r="E7" s="13">
        <v>2608105060</v>
      </c>
      <c r="F7" s="16">
        <v>46668</v>
      </c>
      <c r="G7" s="13" t="s">
        <v>3136</v>
      </c>
      <c r="H7" s="13">
        <v>16</v>
      </c>
      <c r="I7" s="13" t="s">
        <v>9</v>
      </c>
      <c r="J7" s="13">
        <v>240</v>
      </c>
      <c r="K7" s="14" t="s">
        <v>3153</v>
      </c>
      <c r="L7" s="25"/>
      <c r="M7" s="25"/>
      <c r="N7" s="25"/>
      <c r="O7" s="79">
        <v>104.78400000000001</v>
      </c>
      <c r="P7" s="129" t="s">
        <v>3154</v>
      </c>
    </row>
    <row r="8" spans="1:16">
      <c r="A8" s="39" t="s">
        <v>3155</v>
      </c>
      <c r="B8" s="77" t="s">
        <v>3135</v>
      </c>
      <c r="C8" s="11">
        <v>8300115</v>
      </c>
      <c r="D8" s="11" t="s">
        <v>163</v>
      </c>
      <c r="E8" s="11">
        <v>2608065060</v>
      </c>
      <c r="F8" s="15">
        <v>46546</v>
      </c>
      <c r="G8" s="11" t="s">
        <v>3136</v>
      </c>
      <c r="H8" s="11">
        <v>32</v>
      </c>
      <c r="I8" s="11" t="s">
        <v>9</v>
      </c>
      <c r="J8" s="11">
        <v>384</v>
      </c>
      <c r="K8" s="11" t="s">
        <v>3156</v>
      </c>
      <c r="L8" s="26"/>
      <c r="M8" s="26"/>
      <c r="N8" s="26"/>
      <c r="O8" s="78">
        <v>473.47199999999998</v>
      </c>
      <c r="P8" s="127" t="s">
        <v>3157</v>
      </c>
    </row>
    <row r="9" spans="1:16">
      <c r="A9" s="38" t="s">
        <v>3158</v>
      </c>
      <c r="B9" s="76" t="s">
        <v>3135</v>
      </c>
      <c r="C9" s="13">
        <v>8300115</v>
      </c>
      <c r="D9" s="13" t="s">
        <v>163</v>
      </c>
      <c r="E9" s="13">
        <v>2608055060</v>
      </c>
      <c r="F9" s="16">
        <v>46515</v>
      </c>
      <c r="G9" s="13" t="s">
        <v>3136</v>
      </c>
      <c r="H9" s="13">
        <v>11</v>
      </c>
      <c r="I9" s="13" t="s">
        <v>9</v>
      </c>
      <c r="J9" s="13">
        <v>132</v>
      </c>
      <c r="K9" s="14" t="s">
        <v>3156</v>
      </c>
      <c r="L9" s="25"/>
      <c r="M9" s="25"/>
      <c r="N9" s="25"/>
      <c r="O9" s="79">
        <v>162.756</v>
      </c>
      <c r="P9" s="127" t="s">
        <v>3159</v>
      </c>
    </row>
    <row r="10" spans="1:16">
      <c r="A10" s="39" t="s">
        <v>3160</v>
      </c>
      <c r="B10" s="77" t="s">
        <v>3135</v>
      </c>
      <c r="C10" s="11">
        <v>8300116</v>
      </c>
      <c r="D10" s="11" t="s">
        <v>165</v>
      </c>
      <c r="E10" s="11">
        <v>2608155060</v>
      </c>
      <c r="F10" s="15" t="s">
        <v>3161</v>
      </c>
      <c r="G10" s="11" t="s">
        <v>3136</v>
      </c>
      <c r="H10" s="11">
        <v>6</v>
      </c>
      <c r="I10" s="11" t="s">
        <v>9</v>
      </c>
      <c r="J10" s="11">
        <v>36</v>
      </c>
      <c r="K10" s="11" t="s">
        <v>3162</v>
      </c>
      <c r="L10" s="26"/>
      <c r="M10" s="26"/>
      <c r="N10" s="26"/>
      <c r="O10" s="78">
        <v>95.784000000000006</v>
      </c>
      <c r="P10" s="127" t="s">
        <v>3163</v>
      </c>
    </row>
    <row r="11" spans="1:16">
      <c r="A11" s="38" t="s">
        <v>3164</v>
      </c>
      <c r="B11" s="76" t="s">
        <v>3135</v>
      </c>
      <c r="C11" s="13">
        <v>8300117</v>
      </c>
      <c r="D11" s="13" t="s">
        <v>167</v>
      </c>
      <c r="E11" s="13">
        <v>2608215060</v>
      </c>
      <c r="F11" s="16" t="s">
        <v>3165</v>
      </c>
      <c r="G11" s="13" t="s">
        <v>3136</v>
      </c>
      <c r="H11" s="13">
        <v>9</v>
      </c>
      <c r="I11" s="13" t="s">
        <v>9</v>
      </c>
      <c r="J11" s="13">
        <v>36</v>
      </c>
      <c r="K11" s="14" t="s">
        <v>3166</v>
      </c>
      <c r="L11" s="25"/>
      <c r="M11" s="25"/>
      <c r="N11" s="25"/>
      <c r="O11" s="79">
        <v>183.73500000000001</v>
      </c>
      <c r="P11" s="127" t="s">
        <v>3167</v>
      </c>
    </row>
    <row r="12" spans="1:16">
      <c r="A12" s="39" t="s">
        <v>3168</v>
      </c>
      <c r="B12" s="77" t="s">
        <v>3135</v>
      </c>
      <c r="C12" s="11">
        <v>8300117</v>
      </c>
      <c r="D12" s="11" t="s">
        <v>167</v>
      </c>
      <c r="E12" s="11">
        <v>2608225060</v>
      </c>
      <c r="F12" s="15" t="s">
        <v>3169</v>
      </c>
      <c r="G12" s="11" t="s">
        <v>3136</v>
      </c>
      <c r="H12" s="11">
        <v>27</v>
      </c>
      <c r="I12" s="11" t="s">
        <v>9</v>
      </c>
      <c r="J12" s="11">
        <v>108</v>
      </c>
      <c r="K12" s="11" t="s">
        <v>3170</v>
      </c>
      <c r="L12" s="26"/>
      <c r="M12" s="26"/>
      <c r="N12" s="26"/>
      <c r="O12" s="78">
        <v>551.20500000000004</v>
      </c>
      <c r="P12" s="127" t="s">
        <v>3171</v>
      </c>
    </row>
    <row r="13" spans="1:16">
      <c r="A13" s="38" t="s">
        <v>3172</v>
      </c>
      <c r="B13" s="76" t="s">
        <v>3135</v>
      </c>
      <c r="C13" s="13">
        <v>8300120</v>
      </c>
      <c r="D13" s="13" t="s">
        <v>173</v>
      </c>
      <c r="E13" s="13">
        <v>2608135060</v>
      </c>
      <c r="F13" s="16" t="s">
        <v>3173</v>
      </c>
      <c r="G13" s="13" t="s">
        <v>3136</v>
      </c>
      <c r="H13" s="13">
        <v>46</v>
      </c>
      <c r="I13" s="13" t="s">
        <v>9</v>
      </c>
      <c r="J13" s="13">
        <v>690</v>
      </c>
      <c r="K13" s="14" t="s">
        <v>3174</v>
      </c>
      <c r="L13" s="25"/>
      <c r="M13" s="25"/>
      <c r="N13" s="25"/>
      <c r="O13" s="79">
        <v>584.61400000000003</v>
      </c>
      <c r="P13" s="127" t="s">
        <v>3175</v>
      </c>
    </row>
    <row r="14" spans="1:16">
      <c r="A14" s="39" t="s">
        <v>3176</v>
      </c>
      <c r="B14" s="77" t="s">
        <v>3135</v>
      </c>
      <c r="C14" s="11">
        <v>8300120</v>
      </c>
      <c r="D14" s="11" t="s">
        <v>173</v>
      </c>
      <c r="E14" s="11">
        <v>2608055060</v>
      </c>
      <c r="F14" s="15">
        <v>46515</v>
      </c>
      <c r="G14" s="11" t="s">
        <v>3136</v>
      </c>
      <c r="H14" s="11">
        <v>25</v>
      </c>
      <c r="I14" s="11" t="s">
        <v>9</v>
      </c>
      <c r="J14" s="11">
        <v>375</v>
      </c>
      <c r="K14" s="11" t="s">
        <v>3177</v>
      </c>
      <c r="L14" s="26"/>
      <c r="M14" s="26"/>
      <c r="N14" s="26"/>
      <c r="O14" s="78">
        <v>317.72500000000002</v>
      </c>
      <c r="P14" s="127" t="s">
        <v>3178</v>
      </c>
    </row>
    <row r="15" spans="1:16">
      <c r="A15" s="38" t="s">
        <v>3179</v>
      </c>
      <c r="B15" s="76" t="s">
        <v>3135</v>
      </c>
      <c r="C15" s="13">
        <v>8301100</v>
      </c>
      <c r="D15" s="13" t="s">
        <v>203</v>
      </c>
      <c r="E15" s="13">
        <v>2605125060</v>
      </c>
      <c r="F15" s="16">
        <v>47457</v>
      </c>
      <c r="G15" s="13" t="s">
        <v>3136</v>
      </c>
      <c r="H15" s="13">
        <v>45</v>
      </c>
      <c r="I15" s="13" t="s">
        <v>9</v>
      </c>
      <c r="J15" s="40">
        <v>3780</v>
      </c>
      <c r="K15" s="14" t="s">
        <v>3141</v>
      </c>
      <c r="L15" s="25"/>
      <c r="M15" s="25"/>
      <c r="N15" s="25"/>
      <c r="O15" s="79">
        <v>103.95</v>
      </c>
      <c r="P15" s="129" t="s">
        <v>3180</v>
      </c>
    </row>
    <row r="16" spans="1:16">
      <c r="A16" s="39" t="s">
        <v>3181</v>
      </c>
      <c r="B16" s="77" t="s">
        <v>3135</v>
      </c>
      <c r="C16" s="11">
        <v>8301101</v>
      </c>
      <c r="D16" s="11" t="s">
        <v>205</v>
      </c>
      <c r="E16" s="11">
        <v>2608125060</v>
      </c>
      <c r="F16" s="15">
        <v>47460</v>
      </c>
      <c r="G16" s="11" t="s">
        <v>3136</v>
      </c>
      <c r="H16" s="11">
        <v>68</v>
      </c>
      <c r="I16" s="11" t="s">
        <v>9</v>
      </c>
      <c r="J16" s="17">
        <v>5712</v>
      </c>
      <c r="K16" s="11" t="s">
        <v>3174</v>
      </c>
      <c r="L16" s="26"/>
      <c r="M16" s="26"/>
      <c r="N16" s="26"/>
      <c r="O16" s="78">
        <v>157.08000000000001</v>
      </c>
      <c r="P16" s="127" t="s">
        <v>3182</v>
      </c>
    </row>
    <row r="17" spans="1:16">
      <c r="A17" s="38" t="s">
        <v>3183</v>
      </c>
      <c r="B17" s="76" t="s">
        <v>3135</v>
      </c>
      <c r="C17" s="13">
        <v>8301102</v>
      </c>
      <c r="D17" s="13" t="s">
        <v>207</v>
      </c>
      <c r="E17" s="13">
        <v>2608145060</v>
      </c>
      <c r="F17" s="16" t="s">
        <v>3184</v>
      </c>
      <c r="G17" s="13" t="s">
        <v>3136</v>
      </c>
      <c r="H17" s="13">
        <v>48</v>
      </c>
      <c r="I17" s="13" t="s">
        <v>9</v>
      </c>
      <c r="J17" s="40">
        <v>4032</v>
      </c>
      <c r="K17" s="14" t="s">
        <v>3185</v>
      </c>
      <c r="L17" s="25"/>
      <c r="M17" s="25"/>
      <c r="N17" s="25"/>
      <c r="O17" s="79">
        <v>110.88</v>
      </c>
      <c r="P17" s="127" t="s">
        <v>3186</v>
      </c>
    </row>
    <row r="18" spans="1:16">
      <c r="A18" s="39" t="s">
        <v>3187</v>
      </c>
      <c r="B18" s="77" t="s">
        <v>3135</v>
      </c>
      <c r="C18" s="11">
        <v>8301104</v>
      </c>
      <c r="D18" s="11" t="s">
        <v>211</v>
      </c>
      <c r="E18" s="11">
        <v>2608175060</v>
      </c>
      <c r="F18" s="15" t="s">
        <v>3188</v>
      </c>
      <c r="G18" s="11" t="s">
        <v>3136</v>
      </c>
      <c r="H18" s="11">
        <v>53</v>
      </c>
      <c r="I18" s="11" t="s">
        <v>9</v>
      </c>
      <c r="J18" s="17">
        <v>4452</v>
      </c>
      <c r="K18" s="11" t="s">
        <v>3189</v>
      </c>
      <c r="L18" s="26"/>
      <c r="M18" s="26"/>
      <c r="N18" s="26"/>
      <c r="O18" s="78">
        <v>106</v>
      </c>
      <c r="P18" s="127" t="s">
        <v>3190</v>
      </c>
    </row>
    <row r="19" spans="1:16">
      <c r="A19" s="38" t="s">
        <v>3191</v>
      </c>
      <c r="B19" s="76" t="s">
        <v>3135</v>
      </c>
      <c r="C19" s="13">
        <v>8301105</v>
      </c>
      <c r="D19" s="13" t="s">
        <v>213</v>
      </c>
      <c r="E19" s="13">
        <v>2608205070</v>
      </c>
      <c r="F19" s="16" t="s">
        <v>3192</v>
      </c>
      <c r="G19" s="13" t="s">
        <v>3136</v>
      </c>
      <c r="H19" s="13">
        <v>13</v>
      </c>
      <c r="I19" s="13" t="s">
        <v>9</v>
      </c>
      <c r="J19" s="13">
        <v>156</v>
      </c>
      <c r="K19" s="14" t="s">
        <v>3148</v>
      </c>
      <c r="L19" s="25"/>
      <c r="M19" s="25"/>
      <c r="N19" s="25"/>
      <c r="O19" s="79">
        <v>48.1</v>
      </c>
      <c r="P19" s="127" t="s">
        <v>3193</v>
      </c>
    </row>
    <row r="20" spans="1:16">
      <c r="A20" s="39" t="s">
        <v>3194</v>
      </c>
      <c r="B20" s="77" t="s">
        <v>3135</v>
      </c>
      <c r="C20" s="11">
        <v>8301106</v>
      </c>
      <c r="D20" s="11" t="s">
        <v>215</v>
      </c>
      <c r="E20" s="11">
        <v>2608085070</v>
      </c>
      <c r="F20" s="15">
        <v>47338</v>
      </c>
      <c r="G20" s="11" t="s">
        <v>3136</v>
      </c>
      <c r="H20" s="11">
        <v>139</v>
      </c>
      <c r="I20" s="11" t="s">
        <v>9</v>
      </c>
      <c r="J20" s="17">
        <v>1668</v>
      </c>
      <c r="K20" s="11" t="s">
        <v>3185</v>
      </c>
      <c r="L20" s="26"/>
      <c r="M20" s="26"/>
      <c r="N20" s="26"/>
      <c r="O20" s="78">
        <v>514.29999999999995</v>
      </c>
      <c r="P20" s="127" t="s">
        <v>3195</v>
      </c>
    </row>
    <row r="21" spans="1:16">
      <c r="A21" s="38" t="s">
        <v>3196</v>
      </c>
      <c r="B21" s="76" t="s">
        <v>3135</v>
      </c>
      <c r="C21" s="13">
        <v>8301108</v>
      </c>
      <c r="D21" s="13" t="s">
        <v>219</v>
      </c>
      <c r="E21" s="13">
        <v>2608015070</v>
      </c>
      <c r="F21" s="16">
        <v>47126</v>
      </c>
      <c r="G21" s="13" t="s">
        <v>3136</v>
      </c>
      <c r="H21" s="13">
        <v>25</v>
      </c>
      <c r="I21" s="13" t="s">
        <v>9</v>
      </c>
      <c r="J21" s="13">
        <v>300</v>
      </c>
      <c r="K21" s="14" t="s">
        <v>3197</v>
      </c>
      <c r="L21" s="25"/>
      <c r="M21" s="25"/>
      <c r="N21" s="25"/>
      <c r="O21" s="79">
        <v>92.5</v>
      </c>
      <c r="P21" s="127" t="s">
        <v>3198</v>
      </c>
    </row>
    <row r="22" spans="1:16">
      <c r="A22" s="39" t="s">
        <v>3199</v>
      </c>
      <c r="B22" s="77" t="s">
        <v>3135</v>
      </c>
      <c r="C22" s="11">
        <v>8301109</v>
      </c>
      <c r="D22" s="11" t="s">
        <v>221</v>
      </c>
      <c r="E22" s="11">
        <v>2605215070</v>
      </c>
      <c r="F22" s="15" t="s">
        <v>3200</v>
      </c>
      <c r="G22" s="11" t="s">
        <v>3136</v>
      </c>
      <c r="H22" s="11">
        <v>40</v>
      </c>
      <c r="I22" s="11" t="s">
        <v>9</v>
      </c>
      <c r="J22" s="11">
        <v>480</v>
      </c>
      <c r="K22" s="11" t="s">
        <v>3201</v>
      </c>
      <c r="L22" s="26"/>
      <c r="M22" s="26"/>
      <c r="N22" s="26"/>
      <c r="O22" s="78">
        <v>148</v>
      </c>
      <c r="P22" s="127" t="s">
        <v>3202</v>
      </c>
    </row>
    <row r="23" spans="1:16">
      <c r="A23" s="38" t="s">
        <v>3203</v>
      </c>
      <c r="B23" s="76" t="s">
        <v>3135</v>
      </c>
      <c r="C23" s="13">
        <v>8301256</v>
      </c>
      <c r="D23" s="13" t="s">
        <v>251</v>
      </c>
      <c r="E23" s="13">
        <v>2607275060</v>
      </c>
      <c r="F23" s="16" t="s">
        <v>3204</v>
      </c>
      <c r="G23" s="13" t="s">
        <v>3136</v>
      </c>
      <c r="H23" s="13">
        <v>40</v>
      </c>
      <c r="I23" s="13" t="s">
        <v>9</v>
      </c>
      <c r="J23" s="40">
        <v>3360</v>
      </c>
      <c r="K23" s="14" t="s">
        <v>3205</v>
      </c>
      <c r="L23" s="25"/>
      <c r="M23" s="25"/>
      <c r="N23" s="25"/>
      <c r="O23" s="79">
        <v>92.4</v>
      </c>
      <c r="P23" s="127" t="s">
        <v>3206</v>
      </c>
    </row>
    <row r="24" spans="1:16">
      <c r="A24" s="39" t="s">
        <v>3207</v>
      </c>
      <c r="B24" s="77" t="s">
        <v>3135</v>
      </c>
      <c r="C24" s="11">
        <v>8301260</v>
      </c>
      <c r="D24" s="11" t="s">
        <v>253</v>
      </c>
      <c r="E24" s="11">
        <v>2608045060</v>
      </c>
      <c r="F24" s="15">
        <v>47216</v>
      </c>
      <c r="G24" s="11" t="s">
        <v>3136</v>
      </c>
      <c r="H24" s="11">
        <v>49</v>
      </c>
      <c r="I24" s="11" t="s">
        <v>9</v>
      </c>
      <c r="J24" s="17">
        <v>4116</v>
      </c>
      <c r="K24" s="11" t="s">
        <v>3208</v>
      </c>
      <c r="L24" s="26"/>
      <c r="M24" s="26"/>
      <c r="N24" s="26"/>
      <c r="O24" s="78">
        <v>113.19</v>
      </c>
      <c r="P24" s="127" t="s">
        <v>3209</v>
      </c>
    </row>
    <row r="25" spans="1:16">
      <c r="A25" s="38" t="s">
        <v>3210</v>
      </c>
      <c r="B25" s="76" t="s">
        <v>3135</v>
      </c>
      <c r="C25" s="13">
        <v>8301271</v>
      </c>
      <c r="D25" s="13" t="s">
        <v>261</v>
      </c>
      <c r="E25" s="13">
        <v>2606225060</v>
      </c>
      <c r="F25" s="16" t="s">
        <v>3211</v>
      </c>
      <c r="G25" s="13" t="s">
        <v>3136</v>
      </c>
      <c r="H25" s="13">
        <v>11</v>
      </c>
      <c r="I25" s="13" t="s">
        <v>9</v>
      </c>
      <c r="J25" s="13">
        <v>528</v>
      </c>
      <c r="K25" s="14" t="s">
        <v>3212</v>
      </c>
      <c r="L25" s="25"/>
      <c r="M25" s="25"/>
      <c r="N25" s="25"/>
      <c r="O25" s="79">
        <v>37.488</v>
      </c>
      <c r="P25" s="127" t="s">
        <v>3213</v>
      </c>
    </row>
    <row r="26" spans="1:16">
      <c r="A26" s="39" t="s">
        <v>3214</v>
      </c>
      <c r="B26" s="77" t="s">
        <v>3135</v>
      </c>
      <c r="C26" s="11">
        <v>8301272</v>
      </c>
      <c r="D26" s="11" t="s">
        <v>263</v>
      </c>
      <c r="E26" s="11">
        <v>2506235060</v>
      </c>
      <c r="F26" s="15" t="s">
        <v>3215</v>
      </c>
      <c r="G26" s="11" t="s">
        <v>3136</v>
      </c>
      <c r="H26" s="11">
        <v>12</v>
      </c>
      <c r="I26" s="11" t="s">
        <v>9</v>
      </c>
      <c r="J26" s="11">
        <v>576</v>
      </c>
      <c r="K26" s="11" t="s">
        <v>3162</v>
      </c>
      <c r="L26" s="26"/>
      <c r="M26" s="26"/>
      <c r="N26" s="26"/>
      <c r="O26" s="78">
        <v>40.896000000000001</v>
      </c>
      <c r="P26" s="127" t="s">
        <v>3216</v>
      </c>
    </row>
    <row r="27" spans="1:16">
      <c r="A27" s="38" t="s">
        <v>3217</v>
      </c>
      <c r="B27" s="76" t="s">
        <v>3135</v>
      </c>
      <c r="C27" s="13">
        <v>8301274</v>
      </c>
      <c r="D27" s="13" t="s">
        <v>265</v>
      </c>
      <c r="E27" s="13">
        <v>2603045060</v>
      </c>
      <c r="F27" s="16">
        <v>47211</v>
      </c>
      <c r="G27" s="13" t="s">
        <v>3136</v>
      </c>
      <c r="H27" s="13">
        <v>8</v>
      </c>
      <c r="I27" s="13" t="s">
        <v>9</v>
      </c>
      <c r="J27" s="13">
        <v>384</v>
      </c>
      <c r="K27" s="14" t="s">
        <v>3212</v>
      </c>
      <c r="L27" s="25"/>
      <c r="M27" s="25"/>
      <c r="N27" s="25"/>
      <c r="O27" s="79">
        <v>27.263999999999999</v>
      </c>
      <c r="P27" s="127" t="s">
        <v>3218</v>
      </c>
    </row>
    <row r="28" spans="1:16">
      <c r="A28" s="39" t="s">
        <v>3219</v>
      </c>
      <c r="B28" s="77" t="s">
        <v>3135</v>
      </c>
      <c r="C28" s="11">
        <v>8303001</v>
      </c>
      <c r="D28" s="11" t="s">
        <v>275</v>
      </c>
      <c r="E28" s="11">
        <v>2607015060</v>
      </c>
      <c r="F28" s="15">
        <v>46759</v>
      </c>
      <c r="G28" s="11" t="s">
        <v>3136</v>
      </c>
      <c r="H28" s="11">
        <v>33</v>
      </c>
      <c r="I28" s="11" t="s">
        <v>9</v>
      </c>
      <c r="J28" s="11">
        <v>396</v>
      </c>
      <c r="K28" s="11" t="s">
        <v>3141</v>
      </c>
      <c r="L28" s="26"/>
      <c r="M28" s="26"/>
      <c r="N28" s="26"/>
      <c r="O28" s="78">
        <v>448.73399999999998</v>
      </c>
      <c r="P28" s="127" t="s">
        <v>3220</v>
      </c>
    </row>
    <row r="29" spans="1:16">
      <c r="A29" s="38" t="s">
        <v>3221</v>
      </c>
      <c r="B29" s="76" t="s">
        <v>3135</v>
      </c>
      <c r="C29" s="13">
        <v>8303003</v>
      </c>
      <c r="D29" s="13" t="s">
        <v>277</v>
      </c>
      <c r="E29" s="13">
        <v>2607235060</v>
      </c>
      <c r="F29" s="16" t="s">
        <v>3222</v>
      </c>
      <c r="G29" s="13" t="s">
        <v>3136</v>
      </c>
      <c r="H29" s="13">
        <v>27</v>
      </c>
      <c r="I29" s="13" t="s">
        <v>9</v>
      </c>
      <c r="J29" s="13">
        <v>162</v>
      </c>
      <c r="K29" s="14" t="s">
        <v>3223</v>
      </c>
      <c r="L29" s="25"/>
      <c r="M29" s="25"/>
      <c r="N29" s="25"/>
      <c r="O29" s="79">
        <v>356.4</v>
      </c>
      <c r="P29" s="127" t="s">
        <v>3224</v>
      </c>
    </row>
    <row r="30" spans="1:16">
      <c r="A30" s="39" t="s">
        <v>3225</v>
      </c>
      <c r="B30" s="77" t="s">
        <v>3135</v>
      </c>
      <c r="C30" s="11">
        <v>8303004</v>
      </c>
      <c r="D30" s="11" t="s">
        <v>279</v>
      </c>
      <c r="E30" s="11">
        <v>2606085060</v>
      </c>
      <c r="F30" s="15">
        <v>46971</v>
      </c>
      <c r="G30" s="11" t="s">
        <v>3136</v>
      </c>
      <c r="H30" s="11">
        <v>2</v>
      </c>
      <c r="I30" s="11" t="s">
        <v>9</v>
      </c>
      <c r="J30" s="11">
        <v>12</v>
      </c>
      <c r="K30" s="11" t="s">
        <v>3153</v>
      </c>
      <c r="L30" s="26"/>
      <c r="M30" s="26"/>
      <c r="N30" s="26"/>
      <c r="O30" s="78">
        <v>26.556000000000001</v>
      </c>
      <c r="P30" s="127" t="s">
        <v>3226</v>
      </c>
    </row>
    <row r="31" spans="1:16">
      <c r="A31" s="38" t="s">
        <v>3227</v>
      </c>
      <c r="B31" s="76" t="s">
        <v>3135</v>
      </c>
      <c r="C31" s="13">
        <v>8303007</v>
      </c>
      <c r="D31" s="13" t="s">
        <v>283</v>
      </c>
      <c r="E31" s="13">
        <v>2606045060</v>
      </c>
      <c r="F31" s="16">
        <v>46849</v>
      </c>
      <c r="G31" s="13" t="s">
        <v>3136</v>
      </c>
      <c r="H31" s="13">
        <v>7</v>
      </c>
      <c r="I31" s="13" t="s">
        <v>9</v>
      </c>
      <c r="J31" s="13">
        <v>28</v>
      </c>
      <c r="K31" s="14" t="s">
        <v>3141</v>
      </c>
      <c r="L31" s="25"/>
      <c r="M31" s="25"/>
      <c r="N31" s="25"/>
      <c r="O31" s="79">
        <v>154.35</v>
      </c>
      <c r="P31" s="127" t="s">
        <v>3228</v>
      </c>
    </row>
    <row r="32" spans="1:16">
      <c r="A32" s="39" t="s">
        <v>3229</v>
      </c>
      <c r="B32" s="77" t="s">
        <v>3135</v>
      </c>
      <c r="C32" s="11">
        <v>8303008</v>
      </c>
      <c r="D32" s="11" t="s">
        <v>285</v>
      </c>
      <c r="E32" s="11">
        <v>2608195060</v>
      </c>
      <c r="F32" s="15" t="s">
        <v>3230</v>
      </c>
      <c r="G32" s="11" t="s">
        <v>3136</v>
      </c>
      <c r="H32" s="11">
        <v>27</v>
      </c>
      <c r="I32" s="11" t="s">
        <v>9</v>
      </c>
      <c r="J32" s="11">
        <v>108</v>
      </c>
      <c r="K32" s="11" t="s">
        <v>3148</v>
      </c>
      <c r="L32" s="26"/>
      <c r="M32" s="26"/>
      <c r="N32" s="26"/>
      <c r="O32" s="78">
        <v>602.26199999999994</v>
      </c>
      <c r="P32" s="127" t="s">
        <v>3231</v>
      </c>
    </row>
    <row r="33" spans="1:16">
      <c r="A33" s="38" t="s">
        <v>3232</v>
      </c>
      <c r="B33" s="76" t="s">
        <v>3135</v>
      </c>
      <c r="C33" s="13">
        <v>8303020</v>
      </c>
      <c r="D33" s="13" t="s">
        <v>296</v>
      </c>
      <c r="E33" s="13">
        <v>2607025030</v>
      </c>
      <c r="F33" s="16">
        <v>47156</v>
      </c>
      <c r="G33" s="13" t="s">
        <v>3136</v>
      </c>
      <c r="H33" s="13">
        <v>13</v>
      </c>
      <c r="I33" s="13" t="s">
        <v>288</v>
      </c>
      <c r="J33" s="13">
        <v>26</v>
      </c>
      <c r="K33" s="14" t="s">
        <v>3141</v>
      </c>
      <c r="L33" s="25"/>
      <c r="M33" s="25"/>
      <c r="N33" s="25"/>
      <c r="O33" s="79">
        <v>158.08000000000001</v>
      </c>
      <c r="P33" s="127" t="s">
        <v>3233</v>
      </c>
    </row>
    <row r="34" spans="1:16">
      <c r="A34" s="39" t="s">
        <v>3234</v>
      </c>
      <c r="B34" s="77" t="s">
        <v>3135</v>
      </c>
      <c r="C34" s="11">
        <v>8303023</v>
      </c>
      <c r="D34" s="11" t="s">
        <v>300</v>
      </c>
      <c r="E34" s="11">
        <v>2604115030</v>
      </c>
      <c r="F34" s="15">
        <v>47426</v>
      </c>
      <c r="G34" s="11" t="s">
        <v>3136</v>
      </c>
      <c r="H34" s="11">
        <v>13</v>
      </c>
      <c r="I34" s="11" t="s">
        <v>288</v>
      </c>
      <c r="J34" s="11">
        <v>26</v>
      </c>
      <c r="K34" s="11" t="s">
        <v>3141</v>
      </c>
      <c r="L34" s="26"/>
      <c r="M34" s="26"/>
      <c r="N34" s="26"/>
      <c r="O34" s="78">
        <v>210.548</v>
      </c>
      <c r="P34" s="127" t="s">
        <v>3235</v>
      </c>
    </row>
    <row r="35" spans="1:16">
      <c r="A35" s="38" t="s">
        <v>3236</v>
      </c>
      <c r="B35" s="76" t="s">
        <v>3135</v>
      </c>
      <c r="C35" s="13">
        <v>8303025</v>
      </c>
      <c r="D35" s="13" t="s">
        <v>302</v>
      </c>
      <c r="E35" s="13">
        <v>2608030120</v>
      </c>
      <c r="F35" s="16">
        <v>47185</v>
      </c>
      <c r="G35" s="13" t="s">
        <v>3136</v>
      </c>
      <c r="H35" s="13">
        <v>28</v>
      </c>
      <c r="I35" s="13" t="s">
        <v>288</v>
      </c>
      <c r="J35" s="13">
        <v>112</v>
      </c>
      <c r="K35" s="14" t="s">
        <v>3237</v>
      </c>
      <c r="L35" s="25"/>
      <c r="M35" s="25"/>
      <c r="N35" s="25"/>
      <c r="O35" s="79">
        <v>456.62400000000002</v>
      </c>
      <c r="P35" s="127" t="s">
        <v>3238</v>
      </c>
    </row>
    <row r="36" spans="1:16">
      <c r="A36" s="39" t="s">
        <v>3239</v>
      </c>
      <c r="B36" s="77" t="s">
        <v>3135</v>
      </c>
      <c r="C36" s="11">
        <v>8303028</v>
      </c>
      <c r="D36" s="11" t="s">
        <v>306</v>
      </c>
      <c r="E36" s="11">
        <v>2608285030</v>
      </c>
      <c r="F36" s="15" t="s">
        <v>3240</v>
      </c>
      <c r="G36" s="11" t="s">
        <v>3136</v>
      </c>
      <c r="H36" s="11">
        <v>13</v>
      </c>
      <c r="I36" s="11" t="s">
        <v>288</v>
      </c>
      <c r="J36" s="11">
        <v>52</v>
      </c>
      <c r="K36" s="11" t="s">
        <v>3162</v>
      </c>
      <c r="L36" s="26"/>
      <c r="M36" s="26"/>
      <c r="N36" s="26"/>
      <c r="O36" s="78">
        <v>211.99100000000001</v>
      </c>
      <c r="P36" s="127" t="s">
        <v>3241</v>
      </c>
    </row>
    <row r="37" spans="1:16">
      <c r="A37" s="38" t="s">
        <v>3242</v>
      </c>
      <c r="B37" s="76" t="s">
        <v>3135</v>
      </c>
      <c r="C37" s="13">
        <v>8303029</v>
      </c>
      <c r="D37" s="13" t="s">
        <v>308</v>
      </c>
      <c r="E37" s="13">
        <v>2608030120</v>
      </c>
      <c r="F37" s="16">
        <v>47185</v>
      </c>
      <c r="G37" s="13" t="s">
        <v>3136</v>
      </c>
      <c r="H37" s="13">
        <v>31</v>
      </c>
      <c r="I37" s="13" t="s">
        <v>288</v>
      </c>
      <c r="J37" s="13">
        <v>186</v>
      </c>
      <c r="K37" s="14" t="s">
        <v>3162</v>
      </c>
      <c r="L37" s="25"/>
      <c r="M37" s="25"/>
      <c r="N37" s="25"/>
      <c r="O37" s="79">
        <v>385.91899999999998</v>
      </c>
      <c r="P37" s="127" t="s">
        <v>3243</v>
      </c>
    </row>
    <row r="38" spans="1:16">
      <c r="A38" s="39" t="s">
        <v>3244</v>
      </c>
      <c r="B38" s="77" t="s">
        <v>3135</v>
      </c>
      <c r="C38" s="11">
        <v>8303031</v>
      </c>
      <c r="D38" s="11" t="s">
        <v>310</v>
      </c>
      <c r="E38" s="11">
        <v>2608275030</v>
      </c>
      <c r="F38" s="15" t="s">
        <v>3245</v>
      </c>
      <c r="G38" s="11" t="s">
        <v>3136</v>
      </c>
      <c r="H38" s="11">
        <v>33</v>
      </c>
      <c r="I38" s="11" t="s">
        <v>288</v>
      </c>
      <c r="J38" s="11">
        <v>198</v>
      </c>
      <c r="K38" s="11" t="s">
        <v>3162</v>
      </c>
      <c r="L38" s="26"/>
      <c r="M38" s="26"/>
      <c r="N38" s="26"/>
      <c r="O38" s="78">
        <v>404.25</v>
      </c>
      <c r="P38" s="127" t="s">
        <v>3246</v>
      </c>
    </row>
    <row r="39" spans="1:16">
      <c r="A39" s="38" t="s">
        <v>3247</v>
      </c>
      <c r="B39" s="76" t="s">
        <v>3135</v>
      </c>
      <c r="C39" s="13">
        <v>8303032</v>
      </c>
      <c r="D39" s="13" t="s">
        <v>312</v>
      </c>
      <c r="E39" s="13">
        <v>2608180120</v>
      </c>
      <c r="F39" s="16" t="s">
        <v>3248</v>
      </c>
      <c r="G39" s="13" t="s">
        <v>3136</v>
      </c>
      <c r="H39" s="13">
        <v>17</v>
      </c>
      <c r="I39" s="13" t="s">
        <v>288</v>
      </c>
      <c r="J39" s="13">
        <v>102</v>
      </c>
      <c r="K39" s="14" t="s">
        <v>3249</v>
      </c>
      <c r="L39" s="25"/>
      <c r="M39" s="25"/>
      <c r="N39" s="25"/>
      <c r="O39" s="79">
        <v>222.7</v>
      </c>
      <c r="P39" s="127" t="s">
        <v>3250</v>
      </c>
    </row>
    <row r="40" spans="1:16">
      <c r="A40" s="39" t="s">
        <v>3251</v>
      </c>
      <c r="B40" s="77" t="s">
        <v>3135</v>
      </c>
      <c r="C40" s="11">
        <v>8303032</v>
      </c>
      <c r="D40" s="11" t="s">
        <v>312</v>
      </c>
      <c r="E40" s="11">
        <v>2608180120</v>
      </c>
      <c r="F40" s="15" t="s">
        <v>3248</v>
      </c>
      <c r="G40" s="11" t="s">
        <v>3136</v>
      </c>
      <c r="H40" s="11">
        <v>13</v>
      </c>
      <c r="I40" s="11" t="s">
        <v>288</v>
      </c>
      <c r="J40" s="11">
        <v>78</v>
      </c>
      <c r="K40" s="11" t="s">
        <v>3249</v>
      </c>
      <c r="L40" s="26"/>
      <c r="M40" s="26"/>
      <c r="N40" s="26"/>
      <c r="O40" s="78">
        <v>170.3</v>
      </c>
      <c r="P40" s="127" t="s">
        <v>3252</v>
      </c>
    </row>
    <row r="41" spans="1:16">
      <c r="A41" s="38" t="s">
        <v>3253</v>
      </c>
      <c r="B41" s="76" t="s">
        <v>3135</v>
      </c>
      <c r="C41" s="13">
        <v>8303047</v>
      </c>
      <c r="D41" s="13" t="s">
        <v>318</v>
      </c>
      <c r="E41" s="13">
        <v>2607235060</v>
      </c>
      <c r="F41" s="16" t="s">
        <v>3254</v>
      </c>
      <c r="G41" s="13" t="s">
        <v>3136</v>
      </c>
      <c r="H41" s="13">
        <v>34</v>
      </c>
      <c r="I41" s="13" t="s">
        <v>100</v>
      </c>
      <c r="J41" s="13">
        <v>34</v>
      </c>
      <c r="K41" s="14" t="s">
        <v>3141</v>
      </c>
      <c r="L41" s="25"/>
      <c r="M41" s="25"/>
      <c r="N41" s="25"/>
      <c r="O41" s="79">
        <v>691.39</v>
      </c>
      <c r="P41" s="127" t="s">
        <v>3255</v>
      </c>
    </row>
    <row r="42" spans="1:16">
      <c r="A42" s="39" t="s">
        <v>3256</v>
      </c>
      <c r="B42" s="77" t="s">
        <v>3135</v>
      </c>
      <c r="C42" s="11">
        <v>8304003</v>
      </c>
      <c r="D42" s="11" t="s">
        <v>338</v>
      </c>
      <c r="E42" s="11">
        <v>2502045010</v>
      </c>
      <c r="F42" s="15">
        <v>46479</v>
      </c>
      <c r="G42" s="11" t="s">
        <v>3136</v>
      </c>
      <c r="H42" s="11">
        <v>1</v>
      </c>
      <c r="I42" s="11" t="s">
        <v>9</v>
      </c>
      <c r="J42" s="11">
        <v>6</v>
      </c>
      <c r="K42" s="11" t="s">
        <v>3141</v>
      </c>
      <c r="L42" s="26"/>
      <c r="M42" s="26"/>
      <c r="N42" s="26"/>
      <c r="O42" s="78">
        <v>12.875999999999999</v>
      </c>
      <c r="P42" s="127" t="s">
        <v>3257</v>
      </c>
    </row>
    <row r="43" spans="1:16">
      <c r="A43" s="38" t="s">
        <v>3258</v>
      </c>
      <c r="B43" s="76" t="s">
        <v>3135</v>
      </c>
      <c r="C43" s="13">
        <v>8304004</v>
      </c>
      <c r="D43" s="13" t="s">
        <v>340</v>
      </c>
      <c r="E43" s="13">
        <v>2606035060</v>
      </c>
      <c r="F43" s="16">
        <v>46818</v>
      </c>
      <c r="G43" s="13" t="s">
        <v>3136</v>
      </c>
      <c r="H43" s="13">
        <v>2</v>
      </c>
      <c r="I43" s="13" t="s">
        <v>9</v>
      </c>
      <c r="J43" s="13">
        <v>12</v>
      </c>
      <c r="K43" s="14" t="s">
        <v>3141</v>
      </c>
      <c r="L43" s="25"/>
      <c r="M43" s="25"/>
      <c r="N43" s="25"/>
      <c r="O43" s="79">
        <v>25.751999999999999</v>
      </c>
      <c r="P43" s="127" t="s">
        <v>3259</v>
      </c>
    </row>
    <row r="44" spans="1:16">
      <c r="A44" s="39" t="s">
        <v>3260</v>
      </c>
      <c r="B44" s="77" t="s">
        <v>3135</v>
      </c>
      <c r="C44" s="11">
        <v>8304013</v>
      </c>
      <c r="D44" s="11" t="s">
        <v>344</v>
      </c>
      <c r="E44" s="11">
        <v>2608215060</v>
      </c>
      <c r="F44" s="15" t="s">
        <v>3261</v>
      </c>
      <c r="G44" s="11" t="s">
        <v>3136</v>
      </c>
      <c r="H44" s="11">
        <v>62</v>
      </c>
      <c r="I44" s="11" t="s">
        <v>9</v>
      </c>
      <c r="J44" s="17">
        <v>4464</v>
      </c>
      <c r="K44" s="11" t="s">
        <v>3148</v>
      </c>
      <c r="L44" s="26"/>
      <c r="M44" s="26"/>
      <c r="N44" s="26"/>
      <c r="O44" s="78">
        <v>392.83199999999999</v>
      </c>
      <c r="P44" s="127" t="s">
        <v>3262</v>
      </c>
    </row>
    <row r="45" spans="1:16">
      <c r="A45" s="38" t="s">
        <v>3263</v>
      </c>
      <c r="B45" s="76" t="s">
        <v>3135</v>
      </c>
      <c r="C45" s="13">
        <v>8304019</v>
      </c>
      <c r="D45" s="13" t="s">
        <v>346</v>
      </c>
      <c r="E45" s="13">
        <v>2608205060</v>
      </c>
      <c r="F45" s="16" t="s">
        <v>3264</v>
      </c>
      <c r="G45" s="13" t="s">
        <v>3136</v>
      </c>
      <c r="H45" s="13">
        <v>47</v>
      </c>
      <c r="I45" s="13" t="s">
        <v>9</v>
      </c>
      <c r="J45" s="13">
        <v>282</v>
      </c>
      <c r="K45" s="14" t="s">
        <v>3148</v>
      </c>
      <c r="L45" s="25"/>
      <c r="M45" s="25"/>
      <c r="N45" s="25"/>
      <c r="O45" s="79">
        <v>605.17200000000003</v>
      </c>
      <c r="P45" s="127" t="s">
        <v>3265</v>
      </c>
    </row>
    <row r="46" spans="1:16">
      <c r="A46" s="39" t="s">
        <v>3266</v>
      </c>
      <c r="B46" s="77" t="s">
        <v>3135</v>
      </c>
      <c r="C46" s="11">
        <v>8304020</v>
      </c>
      <c r="D46" s="11" t="s">
        <v>348</v>
      </c>
      <c r="E46" s="11">
        <v>2607025060</v>
      </c>
      <c r="F46" s="15">
        <v>46790</v>
      </c>
      <c r="G46" s="11" t="s">
        <v>3136</v>
      </c>
      <c r="H46" s="11">
        <v>2</v>
      </c>
      <c r="I46" s="11" t="s">
        <v>9</v>
      </c>
      <c r="J46" s="11">
        <v>24</v>
      </c>
      <c r="K46" s="11" t="s">
        <v>3141</v>
      </c>
      <c r="L46" s="26"/>
      <c r="M46" s="26"/>
      <c r="N46" s="26"/>
      <c r="O46" s="78">
        <v>26.14</v>
      </c>
      <c r="P46" s="127" t="s">
        <v>3267</v>
      </c>
    </row>
    <row r="47" spans="1:16">
      <c r="A47" s="38" t="s">
        <v>3268</v>
      </c>
      <c r="B47" s="76" t="s">
        <v>3135</v>
      </c>
      <c r="C47" s="13">
        <v>8304021</v>
      </c>
      <c r="D47" s="13" t="s">
        <v>350</v>
      </c>
      <c r="E47" s="13">
        <v>2607025060</v>
      </c>
      <c r="F47" s="16">
        <v>46790</v>
      </c>
      <c r="G47" s="13" t="s">
        <v>3136</v>
      </c>
      <c r="H47" s="13">
        <v>24</v>
      </c>
      <c r="I47" s="13" t="s">
        <v>9</v>
      </c>
      <c r="J47" s="13">
        <v>288</v>
      </c>
      <c r="K47" s="14" t="s">
        <v>3141</v>
      </c>
      <c r="L47" s="25"/>
      <c r="M47" s="25"/>
      <c r="N47" s="25"/>
      <c r="O47" s="79">
        <v>313.68</v>
      </c>
      <c r="P47" s="127" t="s">
        <v>3269</v>
      </c>
    </row>
    <row r="48" spans="1:16">
      <c r="A48" s="39" t="s">
        <v>3270</v>
      </c>
      <c r="B48" s="77" t="s">
        <v>3135</v>
      </c>
      <c r="C48" s="11">
        <v>8304022</v>
      </c>
      <c r="D48" s="11" t="s">
        <v>352</v>
      </c>
      <c r="E48" s="11">
        <v>2607165060</v>
      </c>
      <c r="F48" s="15" t="s">
        <v>3271</v>
      </c>
      <c r="G48" s="11" t="s">
        <v>3136</v>
      </c>
      <c r="H48" s="11">
        <v>27</v>
      </c>
      <c r="I48" s="11" t="s">
        <v>9</v>
      </c>
      <c r="J48" s="11">
        <v>324</v>
      </c>
      <c r="K48" s="11" t="s">
        <v>3141</v>
      </c>
      <c r="L48" s="26"/>
      <c r="M48" s="26"/>
      <c r="N48" s="26"/>
      <c r="O48" s="78">
        <v>352.89</v>
      </c>
      <c r="P48" s="127" t="s">
        <v>3272</v>
      </c>
    </row>
    <row r="49" spans="1:16">
      <c r="A49" s="38" t="s">
        <v>3273</v>
      </c>
      <c r="B49" s="76" t="s">
        <v>3135</v>
      </c>
      <c r="C49" s="13">
        <v>8304033</v>
      </c>
      <c r="D49" s="13" t="s">
        <v>360</v>
      </c>
      <c r="E49" s="13">
        <v>2608205060</v>
      </c>
      <c r="F49" s="16" t="s">
        <v>3264</v>
      </c>
      <c r="G49" s="13" t="s">
        <v>3136</v>
      </c>
      <c r="H49" s="13">
        <v>22</v>
      </c>
      <c r="I49" s="13" t="s">
        <v>9</v>
      </c>
      <c r="J49" s="13">
        <v>88</v>
      </c>
      <c r="K49" s="14" t="s">
        <v>3274</v>
      </c>
      <c r="L49" s="25"/>
      <c r="M49" s="25"/>
      <c r="N49" s="25"/>
      <c r="O49" s="79">
        <v>462.35199999999998</v>
      </c>
      <c r="P49" s="127" t="s">
        <v>3275</v>
      </c>
    </row>
    <row r="50" spans="1:16">
      <c r="A50" s="39" t="s">
        <v>3276</v>
      </c>
      <c r="B50" s="77" t="s">
        <v>3135</v>
      </c>
      <c r="C50" s="11">
        <v>8304034</v>
      </c>
      <c r="D50" s="11" t="s">
        <v>362</v>
      </c>
      <c r="E50" s="11">
        <v>2607175060</v>
      </c>
      <c r="F50" s="15" t="s">
        <v>3277</v>
      </c>
      <c r="G50" s="11" t="s">
        <v>3136</v>
      </c>
      <c r="H50" s="11">
        <v>22</v>
      </c>
      <c r="I50" s="11" t="s">
        <v>9</v>
      </c>
      <c r="J50" s="11">
        <v>88</v>
      </c>
      <c r="K50" s="11" t="s">
        <v>3141</v>
      </c>
      <c r="L50" s="26"/>
      <c r="M50" s="26"/>
      <c r="N50" s="26"/>
      <c r="O50" s="78">
        <v>462.70400000000001</v>
      </c>
      <c r="P50" s="127" t="s">
        <v>3278</v>
      </c>
    </row>
    <row r="51" spans="1:16">
      <c r="A51" s="38" t="s">
        <v>3279</v>
      </c>
      <c r="B51" s="76" t="s">
        <v>3135</v>
      </c>
      <c r="C51" s="13">
        <v>8304035</v>
      </c>
      <c r="D51" s="13" t="s">
        <v>364</v>
      </c>
      <c r="E51" s="13">
        <v>2607305060</v>
      </c>
      <c r="F51" s="16" t="s">
        <v>3280</v>
      </c>
      <c r="G51" s="13" t="s">
        <v>3136</v>
      </c>
      <c r="H51" s="13">
        <v>15</v>
      </c>
      <c r="I51" s="13" t="s">
        <v>9</v>
      </c>
      <c r="J51" s="13">
        <v>60</v>
      </c>
      <c r="K51" s="14" t="s">
        <v>3249</v>
      </c>
      <c r="L51" s="25"/>
      <c r="M51" s="25"/>
      <c r="N51" s="25"/>
      <c r="O51" s="79">
        <v>317.41500000000002</v>
      </c>
      <c r="P51" s="127" t="s">
        <v>3281</v>
      </c>
    </row>
    <row r="52" spans="1:16">
      <c r="A52" s="39" t="s">
        <v>3282</v>
      </c>
      <c r="B52" s="77" t="s">
        <v>3135</v>
      </c>
      <c r="C52" s="11">
        <v>8304142</v>
      </c>
      <c r="D52" s="11" t="s">
        <v>368</v>
      </c>
      <c r="E52" s="11">
        <v>2607235060</v>
      </c>
      <c r="F52" s="15" t="s">
        <v>3283</v>
      </c>
      <c r="G52" s="11" t="s">
        <v>3136</v>
      </c>
      <c r="H52" s="11">
        <v>12</v>
      </c>
      <c r="I52" s="11" t="s">
        <v>9</v>
      </c>
      <c r="J52" s="11">
        <v>48</v>
      </c>
      <c r="K52" s="11" t="s">
        <v>3166</v>
      </c>
      <c r="L52" s="26"/>
      <c r="M52" s="26"/>
      <c r="N52" s="26"/>
      <c r="O52" s="78">
        <v>196.34399999999999</v>
      </c>
      <c r="P52" s="127" t="s">
        <v>3284</v>
      </c>
    </row>
    <row r="53" spans="1:16">
      <c r="A53" s="38" t="s">
        <v>3285</v>
      </c>
      <c r="B53" s="76" t="s">
        <v>3135</v>
      </c>
      <c r="C53" s="13">
        <v>8305190</v>
      </c>
      <c r="D53" s="13" t="s">
        <v>416</v>
      </c>
      <c r="E53" s="13">
        <v>2607155060</v>
      </c>
      <c r="F53" s="16" t="s">
        <v>3286</v>
      </c>
      <c r="G53" s="13" t="s">
        <v>3136</v>
      </c>
      <c r="H53" s="13">
        <v>3</v>
      </c>
      <c r="I53" s="13" t="s">
        <v>9</v>
      </c>
      <c r="J53" s="13">
        <v>18</v>
      </c>
      <c r="K53" s="14" t="s">
        <v>3287</v>
      </c>
      <c r="L53" s="25"/>
      <c r="M53" s="25"/>
      <c r="N53" s="25"/>
      <c r="O53" s="79">
        <v>25.553999999999998</v>
      </c>
      <c r="P53" s="127" t="s">
        <v>3288</v>
      </c>
    </row>
    <row r="54" spans="1:16">
      <c r="A54" s="39" t="s">
        <v>3289</v>
      </c>
      <c r="B54" s="77" t="s">
        <v>3135</v>
      </c>
      <c r="C54" s="11">
        <v>8305191</v>
      </c>
      <c r="D54" s="11" t="s">
        <v>418</v>
      </c>
      <c r="E54" s="11">
        <v>2509245060</v>
      </c>
      <c r="F54" s="15" t="s">
        <v>3290</v>
      </c>
      <c r="G54" s="11" t="s">
        <v>3136</v>
      </c>
      <c r="H54" s="11">
        <v>19</v>
      </c>
      <c r="I54" s="11" t="s">
        <v>9</v>
      </c>
      <c r="J54" s="11">
        <v>76</v>
      </c>
      <c r="K54" s="11" t="s">
        <v>3287</v>
      </c>
      <c r="L54" s="26"/>
      <c r="M54" s="26"/>
      <c r="N54" s="26"/>
      <c r="O54" s="78">
        <v>410.21</v>
      </c>
      <c r="P54" s="127" t="s">
        <v>3291</v>
      </c>
    </row>
    <row r="55" spans="1:16">
      <c r="A55" s="38" t="s">
        <v>3292</v>
      </c>
      <c r="B55" s="76" t="s">
        <v>3135</v>
      </c>
      <c r="C55" s="13">
        <v>8305192</v>
      </c>
      <c r="D55" s="13" t="s">
        <v>420</v>
      </c>
      <c r="E55" s="13">
        <v>2509045060</v>
      </c>
      <c r="F55" s="16">
        <v>46852</v>
      </c>
      <c r="G55" s="13" t="s">
        <v>3136</v>
      </c>
      <c r="H55" s="13">
        <v>10</v>
      </c>
      <c r="I55" s="13" t="s">
        <v>9</v>
      </c>
      <c r="J55" s="13">
        <v>40</v>
      </c>
      <c r="K55" s="14" t="s">
        <v>3287</v>
      </c>
      <c r="L55" s="25"/>
      <c r="M55" s="25"/>
      <c r="N55" s="25"/>
      <c r="O55" s="79">
        <v>215.9</v>
      </c>
      <c r="P55" s="127" t="s">
        <v>3293</v>
      </c>
    </row>
    <row r="56" spans="1:16">
      <c r="A56" s="39" t="s">
        <v>3294</v>
      </c>
      <c r="B56" s="77" t="s">
        <v>3135</v>
      </c>
      <c r="C56" s="11">
        <v>8305269</v>
      </c>
      <c r="D56" s="11" t="s">
        <v>434</v>
      </c>
      <c r="E56" s="11">
        <v>2607275060</v>
      </c>
      <c r="F56" s="15" t="s">
        <v>3204</v>
      </c>
      <c r="G56" s="11" t="s">
        <v>3136</v>
      </c>
      <c r="H56" s="11">
        <v>63</v>
      </c>
      <c r="I56" s="11" t="s">
        <v>9</v>
      </c>
      <c r="J56" s="11">
        <v>756</v>
      </c>
      <c r="K56" s="15">
        <v>46030</v>
      </c>
      <c r="L56" s="26"/>
      <c r="M56" s="26"/>
      <c r="N56" s="26"/>
      <c r="O56" s="78">
        <v>264.60000000000002</v>
      </c>
      <c r="P56" s="127" t="s">
        <v>3295</v>
      </c>
    </row>
    <row r="57" spans="1:16">
      <c r="A57" s="38" t="s">
        <v>3296</v>
      </c>
      <c r="B57" s="76" t="s">
        <v>3135</v>
      </c>
      <c r="C57" s="13">
        <v>8305271</v>
      </c>
      <c r="D57" s="13" t="s">
        <v>436</v>
      </c>
      <c r="E57" s="13">
        <v>2606125060</v>
      </c>
      <c r="F57" s="16">
        <v>47458</v>
      </c>
      <c r="G57" s="13" t="s">
        <v>3136</v>
      </c>
      <c r="H57" s="13">
        <v>21</v>
      </c>
      <c r="I57" s="13" t="s">
        <v>9</v>
      </c>
      <c r="J57" s="13">
        <v>252</v>
      </c>
      <c r="K57" s="14" t="s">
        <v>3287</v>
      </c>
      <c r="L57" s="25"/>
      <c r="M57" s="25"/>
      <c r="N57" s="25"/>
      <c r="O57" s="79">
        <v>145.25700000000001</v>
      </c>
      <c r="P57" s="127" t="s">
        <v>3297</v>
      </c>
    </row>
    <row r="58" spans="1:16">
      <c r="A58" s="39" t="s">
        <v>3298</v>
      </c>
      <c r="B58" s="77" t="s">
        <v>3135</v>
      </c>
      <c r="C58" s="11">
        <v>8305272</v>
      </c>
      <c r="D58" s="11" t="s">
        <v>438</v>
      </c>
      <c r="E58" s="11">
        <v>2607145060</v>
      </c>
      <c r="F58" s="15" t="s">
        <v>3299</v>
      </c>
      <c r="G58" s="11" t="s">
        <v>3136</v>
      </c>
      <c r="H58" s="11">
        <v>3</v>
      </c>
      <c r="I58" s="11" t="s">
        <v>9</v>
      </c>
      <c r="J58" s="11">
        <v>36</v>
      </c>
      <c r="K58" s="11" t="s">
        <v>3287</v>
      </c>
      <c r="L58" s="26"/>
      <c r="M58" s="26"/>
      <c r="N58" s="26"/>
      <c r="O58" s="78">
        <v>20.751000000000001</v>
      </c>
      <c r="P58" s="127" t="s">
        <v>3300</v>
      </c>
    </row>
    <row r="59" spans="1:16">
      <c r="A59" s="38" t="s">
        <v>3301</v>
      </c>
      <c r="B59" s="76" t="s">
        <v>3135</v>
      </c>
      <c r="C59" s="13">
        <v>8305273</v>
      </c>
      <c r="D59" s="13" t="s">
        <v>440</v>
      </c>
      <c r="E59" s="13">
        <v>2606095060</v>
      </c>
      <c r="F59" s="16">
        <v>47367</v>
      </c>
      <c r="G59" s="13" t="s">
        <v>3136</v>
      </c>
      <c r="H59" s="13">
        <v>32</v>
      </c>
      <c r="I59" s="13" t="s">
        <v>9</v>
      </c>
      <c r="J59" s="13">
        <v>384</v>
      </c>
      <c r="K59" s="14" t="s">
        <v>3287</v>
      </c>
      <c r="L59" s="25"/>
      <c r="M59" s="25"/>
      <c r="N59" s="25"/>
      <c r="O59" s="79">
        <v>221.34399999999999</v>
      </c>
      <c r="P59" s="127" t="s">
        <v>3302</v>
      </c>
    </row>
    <row r="60" spans="1:16">
      <c r="A60" s="39" t="s">
        <v>3303</v>
      </c>
      <c r="B60" s="77" t="s">
        <v>3135</v>
      </c>
      <c r="C60" s="11">
        <v>8305274</v>
      </c>
      <c r="D60" s="11" t="s">
        <v>442</v>
      </c>
      <c r="E60" s="11">
        <v>2608125060</v>
      </c>
      <c r="F60" s="15">
        <v>47460</v>
      </c>
      <c r="G60" s="11" t="s">
        <v>3136</v>
      </c>
      <c r="H60" s="11">
        <v>60</v>
      </c>
      <c r="I60" s="11" t="s">
        <v>9</v>
      </c>
      <c r="J60" s="11">
        <v>720</v>
      </c>
      <c r="K60" s="11" t="s">
        <v>3304</v>
      </c>
      <c r="L60" s="26"/>
      <c r="M60" s="26"/>
      <c r="N60" s="26"/>
      <c r="O60" s="78">
        <v>607.32000000000005</v>
      </c>
      <c r="P60" s="127" t="s">
        <v>3305</v>
      </c>
    </row>
    <row r="61" spans="1:16">
      <c r="A61" s="38" t="s">
        <v>3306</v>
      </c>
      <c r="B61" s="76" t="s">
        <v>3135</v>
      </c>
      <c r="C61" s="13">
        <v>8305274</v>
      </c>
      <c r="D61" s="13" t="s">
        <v>442</v>
      </c>
      <c r="E61" s="13">
        <v>2608125060</v>
      </c>
      <c r="F61" s="16">
        <v>47460</v>
      </c>
      <c r="G61" s="13" t="s">
        <v>3136</v>
      </c>
      <c r="H61" s="13">
        <v>4</v>
      </c>
      <c r="I61" s="13" t="s">
        <v>9</v>
      </c>
      <c r="J61" s="13">
        <v>48</v>
      </c>
      <c r="K61" s="14" t="s">
        <v>3304</v>
      </c>
      <c r="L61" s="25"/>
      <c r="M61" s="25"/>
      <c r="N61" s="25"/>
      <c r="O61" s="79">
        <v>40.488</v>
      </c>
      <c r="P61" s="127" t="s">
        <v>3307</v>
      </c>
    </row>
    <row r="62" spans="1:16">
      <c r="A62" s="39" t="s">
        <v>3308</v>
      </c>
      <c r="B62" s="77" t="s">
        <v>3135</v>
      </c>
      <c r="C62" s="11">
        <v>8305275</v>
      </c>
      <c r="D62" s="11" t="s">
        <v>444</v>
      </c>
      <c r="E62" s="11">
        <v>2608065060</v>
      </c>
      <c r="F62" s="15">
        <v>47277</v>
      </c>
      <c r="G62" s="11" t="s">
        <v>3136</v>
      </c>
      <c r="H62" s="11">
        <v>46</v>
      </c>
      <c r="I62" s="11" t="s">
        <v>9</v>
      </c>
      <c r="J62" s="11">
        <v>276</v>
      </c>
      <c r="K62" s="11" t="s">
        <v>3309</v>
      </c>
      <c r="L62" s="26"/>
      <c r="M62" s="26"/>
      <c r="N62" s="26"/>
      <c r="O62" s="78">
        <v>383.64</v>
      </c>
      <c r="P62" s="127" t="s">
        <v>3310</v>
      </c>
    </row>
    <row r="63" spans="1:16">
      <c r="A63" s="38" t="s">
        <v>3311</v>
      </c>
      <c r="B63" s="76" t="s">
        <v>3135</v>
      </c>
      <c r="C63" s="13">
        <v>8305276</v>
      </c>
      <c r="D63" s="13" t="s">
        <v>446</v>
      </c>
      <c r="E63" s="13">
        <v>2607205060</v>
      </c>
      <c r="F63" s="16" t="s">
        <v>3312</v>
      </c>
      <c r="G63" s="13" t="s">
        <v>3136</v>
      </c>
      <c r="H63" s="13">
        <v>26</v>
      </c>
      <c r="I63" s="13" t="s">
        <v>9</v>
      </c>
      <c r="J63" s="13">
        <v>156</v>
      </c>
      <c r="K63" s="14" t="s">
        <v>3313</v>
      </c>
      <c r="L63" s="25"/>
      <c r="M63" s="25"/>
      <c r="N63" s="25"/>
      <c r="O63" s="79">
        <v>216.84</v>
      </c>
      <c r="P63" s="127" t="s">
        <v>3314</v>
      </c>
    </row>
    <row r="64" spans="1:16">
      <c r="A64" s="39" t="s">
        <v>3315</v>
      </c>
      <c r="B64" s="77" t="s">
        <v>3135</v>
      </c>
      <c r="C64" s="11">
        <v>8305277</v>
      </c>
      <c r="D64" s="11" t="s">
        <v>448</v>
      </c>
      <c r="E64" s="11">
        <v>2607155060</v>
      </c>
      <c r="F64" s="15" t="s">
        <v>3286</v>
      </c>
      <c r="G64" s="11" t="s">
        <v>3136</v>
      </c>
      <c r="H64" s="11">
        <v>29</v>
      </c>
      <c r="I64" s="11" t="s">
        <v>9</v>
      </c>
      <c r="J64" s="11">
        <v>174</v>
      </c>
      <c r="K64" s="11" t="s">
        <v>3287</v>
      </c>
      <c r="L64" s="26"/>
      <c r="M64" s="26"/>
      <c r="N64" s="26"/>
      <c r="O64" s="78">
        <v>241.86</v>
      </c>
      <c r="P64" s="127" t="s">
        <v>3316</v>
      </c>
    </row>
    <row r="65" spans="1:16">
      <c r="A65" s="38" t="s">
        <v>3317</v>
      </c>
      <c r="B65" s="76" t="s">
        <v>3135</v>
      </c>
      <c r="C65" s="13">
        <v>8305290</v>
      </c>
      <c r="D65" s="13" t="s">
        <v>462</v>
      </c>
      <c r="E65" s="13">
        <v>2606135060</v>
      </c>
      <c r="F65" s="16" t="s">
        <v>3318</v>
      </c>
      <c r="G65" s="13" t="s">
        <v>3136</v>
      </c>
      <c r="H65" s="13">
        <v>38</v>
      </c>
      <c r="I65" s="13" t="s">
        <v>9</v>
      </c>
      <c r="J65" s="13">
        <v>456</v>
      </c>
      <c r="K65" s="14" t="s">
        <v>3287</v>
      </c>
      <c r="L65" s="25"/>
      <c r="M65" s="25"/>
      <c r="N65" s="25"/>
      <c r="O65" s="79">
        <v>387.904</v>
      </c>
      <c r="P65" s="127" t="s">
        <v>3319</v>
      </c>
    </row>
    <row r="66" spans="1:16">
      <c r="A66" s="39" t="s">
        <v>3320</v>
      </c>
      <c r="B66" s="77" t="s">
        <v>3135</v>
      </c>
      <c r="C66" s="11">
        <v>8305322</v>
      </c>
      <c r="D66" s="11" t="s">
        <v>494</v>
      </c>
      <c r="E66" s="11">
        <v>2608105030</v>
      </c>
      <c r="F66" s="15">
        <v>47034</v>
      </c>
      <c r="G66" s="11" t="s">
        <v>3136</v>
      </c>
      <c r="H66" s="11">
        <v>20</v>
      </c>
      <c r="I66" s="11" t="s">
        <v>9</v>
      </c>
      <c r="J66" s="11">
        <v>480</v>
      </c>
      <c r="K66" s="11" t="s">
        <v>3321</v>
      </c>
      <c r="L66" s="26"/>
      <c r="M66" s="26"/>
      <c r="N66" s="26"/>
      <c r="O66" s="78">
        <v>105.24</v>
      </c>
      <c r="P66" s="127" t="s">
        <v>3322</v>
      </c>
    </row>
    <row r="67" spans="1:16">
      <c r="A67" s="38" t="s">
        <v>3323</v>
      </c>
      <c r="B67" s="76" t="s">
        <v>3135</v>
      </c>
      <c r="C67" s="13">
        <v>8305323</v>
      </c>
      <c r="D67" s="13" t="s">
        <v>496</v>
      </c>
      <c r="E67" s="13">
        <v>2607235030</v>
      </c>
      <c r="F67" s="16" t="s">
        <v>3222</v>
      </c>
      <c r="G67" s="13" t="s">
        <v>3136</v>
      </c>
      <c r="H67" s="13">
        <v>14</v>
      </c>
      <c r="I67" s="13" t="s">
        <v>9</v>
      </c>
      <c r="J67" s="13">
        <v>168</v>
      </c>
      <c r="K67" s="14" t="s">
        <v>3313</v>
      </c>
      <c r="L67" s="25"/>
      <c r="M67" s="25"/>
      <c r="N67" s="25"/>
      <c r="O67" s="79">
        <v>64.414000000000001</v>
      </c>
      <c r="P67" s="127" t="s">
        <v>3324</v>
      </c>
    </row>
    <row r="68" spans="1:16">
      <c r="A68" s="39" t="s">
        <v>3325</v>
      </c>
      <c r="B68" s="77" t="s">
        <v>3135</v>
      </c>
      <c r="C68" s="11">
        <v>8305323</v>
      </c>
      <c r="D68" s="11" t="s">
        <v>496</v>
      </c>
      <c r="E68" s="11">
        <v>2607235030</v>
      </c>
      <c r="F68" s="15" t="s">
        <v>3222</v>
      </c>
      <c r="G68" s="11" t="s">
        <v>3136</v>
      </c>
      <c r="H68" s="11">
        <v>19</v>
      </c>
      <c r="I68" s="11" t="s">
        <v>9</v>
      </c>
      <c r="J68" s="11">
        <v>228</v>
      </c>
      <c r="K68" s="11" t="s">
        <v>3313</v>
      </c>
      <c r="L68" s="26"/>
      <c r="M68" s="26"/>
      <c r="N68" s="26"/>
      <c r="O68" s="78">
        <v>87.418999999999997</v>
      </c>
      <c r="P68" s="127" t="s">
        <v>3326</v>
      </c>
    </row>
    <row r="69" spans="1:16">
      <c r="A69" s="38" t="s">
        <v>3327</v>
      </c>
      <c r="B69" s="76" t="s">
        <v>3135</v>
      </c>
      <c r="C69" s="13">
        <v>8305324</v>
      </c>
      <c r="D69" s="13" t="s">
        <v>498</v>
      </c>
      <c r="E69" s="13">
        <v>2608125030</v>
      </c>
      <c r="F69" s="16">
        <v>47095</v>
      </c>
      <c r="G69" s="13" t="s">
        <v>3136</v>
      </c>
      <c r="H69" s="13">
        <v>20</v>
      </c>
      <c r="I69" s="13" t="s">
        <v>9</v>
      </c>
      <c r="J69" s="13">
        <v>120</v>
      </c>
      <c r="K69" s="14" t="s">
        <v>3328</v>
      </c>
      <c r="L69" s="25"/>
      <c r="M69" s="25"/>
      <c r="N69" s="25"/>
      <c r="O69" s="79">
        <v>104.28</v>
      </c>
      <c r="P69" s="127" t="s">
        <v>3329</v>
      </c>
    </row>
    <row r="70" spans="1:16">
      <c r="A70" s="39" t="s">
        <v>3330</v>
      </c>
      <c r="B70" s="77" t="s">
        <v>3135</v>
      </c>
      <c r="C70" s="11">
        <v>8305324</v>
      </c>
      <c r="D70" s="11" t="s">
        <v>498</v>
      </c>
      <c r="E70" s="11">
        <v>2608125030</v>
      </c>
      <c r="F70" s="15">
        <v>47095</v>
      </c>
      <c r="G70" s="11" t="s">
        <v>3136</v>
      </c>
      <c r="H70" s="11">
        <v>19</v>
      </c>
      <c r="I70" s="11" t="s">
        <v>9</v>
      </c>
      <c r="J70" s="11">
        <v>114</v>
      </c>
      <c r="K70" s="11" t="s">
        <v>3321</v>
      </c>
      <c r="L70" s="26"/>
      <c r="M70" s="26"/>
      <c r="N70" s="26"/>
      <c r="O70" s="78">
        <v>99.066000000000003</v>
      </c>
      <c r="P70" s="127" t="s">
        <v>3331</v>
      </c>
    </row>
    <row r="71" spans="1:16">
      <c r="A71" s="38" t="s">
        <v>3332</v>
      </c>
      <c r="B71" s="76" t="s">
        <v>3135</v>
      </c>
      <c r="C71" s="13">
        <v>8305325</v>
      </c>
      <c r="D71" s="13" t="s">
        <v>500</v>
      </c>
      <c r="E71" s="13">
        <v>2607225030</v>
      </c>
      <c r="F71" s="16" t="s">
        <v>3333</v>
      </c>
      <c r="G71" s="13" t="s">
        <v>3136</v>
      </c>
      <c r="H71" s="13">
        <v>17</v>
      </c>
      <c r="I71" s="13" t="s">
        <v>9</v>
      </c>
      <c r="J71" s="13">
        <v>102</v>
      </c>
      <c r="K71" s="14" t="s">
        <v>3334</v>
      </c>
      <c r="L71" s="25"/>
      <c r="M71" s="25"/>
      <c r="N71" s="25"/>
      <c r="O71" s="79">
        <v>88.638000000000005</v>
      </c>
      <c r="P71" s="127" t="s">
        <v>3335</v>
      </c>
    </row>
    <row r="72" spans="1:16">
      <c r="A72" s="39" t="s">
        <v>3336</v>
      </c>
      <c r="B72" s="77" t="s">
        <v>3135</v>
      </c>
      <c r="C72" s="11">
        <v>8305326</v>
      </c>
      <c r="D72" s="11" t="s">
        <v>502</v>
      </c>
      <c r="E72" s="11">
        <v>2606135030</v>
      </c>
      <c r="F72" s="15" t="s">
        <v>3337</v>
      </c>
      <c r="G72" s="11" t="s">
        <v>3136</v>
      </c>
      <c r="H72" s="11">
        <v>35</v>
      </c>
      <c r="I72" s="11" t="s">
        <v>9</v>
      </c>
      <c r="J72" s="11">
        <v>210</v>
      </c>
      <c r="K72" s="11" t="s">
        <v>3338</v>
      </c>
      <c r="L72" s="26"/>
      <c r="M72" s="26"/>
      <c r="N72" s="26"/>
      <c r="O72" s="78">
        <v>224.49</v>
      </c>
      <c r="P72" s="127" t="s">
        <v>3339</v>
      </c>
    </row>
    <row r="73" spans="1:16">
      <c r="A73" s="38" t="s">
        <v>3340</v>
      </c>
      <c r="B73" s="76" t="s">
        <v>3135</v>
      </c>
      <c r="C73" s="13">
        <v>8305327</v>
      </c>
      <c r="D73" s="13" t="s">
        <v>430</v>
      </c>
      <c r="E73" s="13">
        <v>2607225030</v>
      </c>
      <c r="F73" s="16" t="s">
        <v>3333</v>
      </c>
      <c r="G73" s="13" t="s">
        <v>3136</v>
      </c>
      <c r="H73" s="13">
        <v>40</v>
      </c>
      <c r="I73" s="13" t="s">
        <v>9</v>
      </c>
      <c r="J73" s="13">
        <v>240</v>
      </c>
      <c r="K73" s="41">
        <v>46120</v>
      </c>
      <c r="L73" s="25"/>
      <c r="M73" s="25"/>
      <c r="N73" s="25"/>
      <c r="O73" s="79">
        <v>211.36</v>
      </c>
      <c r="P73" s="127" t="s">
        <v>3341</v>
      </c>
    </row>
    <row r="74" spans="1:16">
      <c r="A74" s="39" t="s">
        <v>3342</v>
      </c>
      <c r="B74" s="77" t="s">
        <v>3135</v>
      </c>
      <c r="C74" s="11">
        <v>8305328</v>
      </c>
      <c r="D74" s="11" t="s">
        <v>505</v>
      </c>
      <c r="E74" s="11">
        <v>2608145030</v>
      </c>
      <c r="F74" s="15" t="s">
        <v>3343</v>
      </c>
      <c r="G74" s="11" t="s">
        <v>3136</v>
      </c>
      <c r="H74" s="11">
        <v>80</v>
      </c>
      <c r="I74" s="11" t="s">
        <v>9</v>
      </c>
      <c r="J74" s="11">
        <v>480</v>
      </c>
      <c r="K74" s="11" t="s">
        <v>3344</v>
      </c>
      <c r="L74" s="26"/>
      <c r="M74" s="26"/>
      <c r="N74" s="26"/>
      <c r="O74" s="78">
        <v>517.6</v>
      </c>
      <c r="P74" s="127" t="s">
        <v>3345</v>
      </c>
    </row>
    <row r="75" spans="1:16">
      <c r="A75" s="38" t="s">
        <v>3346</v>
      </c>
      <c r="B75" s="76" t="s">
        <v>3135</v>
      </c>
      <c r="C75" s="13">
        <v>8305328</v>
      </c>
      <c r="D75" s="13" t="s">
        <v>505</v>
      </c>
      <c r="E75" s="13">
        <v>2608145030</v>
      </c>
      <c r="F75" s="16" t="s">
        <v>3343</v>
      </c>
      <c r="G75" s="13" t="s">
        <v>3136</v>
      </c>
      <c r="H75" s="13">
        <v>56</v>
      </c>
      <c r="I75" s="13" t="s">
        <v>9</v>
      </c>
      <c r="J75" s="13">
        <v>336</v>
      </c>
      <c r="K75" s="14" t="s">
        <v>3344</v>
      </c>
      <c r="L75" s="25"/>
      <c r="M75" s="25"/>
      <c r="N75" s="25"/>
      <c r="O75" s="79">
        <v>362.32</v>
      </c>
      <c r="P75" s="127" t="s">
        <v>3347</v>
      </c>
    </row>
    <row r="76" spans="1:16">
      <c r="A76" s="39" t="s">
        <v>3348</v>
      </c>
      <c r="B76" s="77" t="s">
        <v>3135</v>
      </c>
      <c r="C76" s="11">
        <v>8305329</v>
      </c>
      <c r="D76" s="11" t="s">
        <v>507</v>
      </c>
      <c r="E76" s="11">
        <v>2608065030</v>
      </c>
      <c r="F76" s="15">
        <v>46912</v>
      </c>
      <c r="G76" s="11" t="s">
        <v>3136</v>
      </c>
      <c r="H76" s="11">
        <v>22</v>
      </c>
      <c r="I76" s="11" t="s">
        <v>9</v>
      </c>
      <c r="J76" s="11">
        <v>132</v>
      </c>
      <c r="K76" s="15">
        <v>46364</v>
      </c>
      <c r="L76" s="26"/>
      <c r="M76" s="26"/>
      <c r="N76" s="26"/>
      <c r="O76" s="78">
        <v>142.82400000000001</v>
      </c>
      <c r="P76" s="127" t="s">
        <v>3349</v>
      </c>
    </row>
    <row r="77" spans="1:16">
      <c r="A77" s="38" t="s">
        <v>3350</v>
      </c>
      <c r="B77" s="76" t="s">
        <v>3135</v>
      </c>
      <c r="C77" s="13">
        <v>8305332</v>
      </c>
      <c r="D77" s="13" t="s">
        <v>511</v>
      </c>
      <c r="E77" s="13">
        <v>2608125060</v>
      </c>
      <c r="F77" s="16">
        <v>47460</v>
      </c>
      <c r="G77" s="13" t="s">
        <v>3136</v>
      </c>
      <c r="H77" s="13">
        <v>20</v>
      </c>
      <c r="I77" s="13" t="s">
        <v>9</v>
      </c>
      <c r="J77" s="13">
        <v>80</v>
      </c>
      <c r="K77" s="14" t="s">
        <v>3338</v>
      </c>
      <c r="L77" s="25"/>
      <c r="M77" s="25"/>
      <c r="N77" s="25"/>
      <c r="O77" s="79">
        <v>347.76</v>
      </c>
      <c r="P77" s="127" t="s">
        <v>3351</v>
      </c>
    </row>
    <row r="78" spans="1:16">
      <c r="A78" s="39" t="s">
        <v>3352</v>
      </c>
      <c r="B78" s="77" t="s">
        <v>3135</v>
      </c>
      <c r="C78" s="11">
        <v>8305334</v>
      </c>
      <c r="D78" s="11" t="s">
        <v>515</v>
      </c>
      <c r="E78" s="11">
        <v>2607075030</v>
      </c>
      <c r="F78" s="15">
        <v>46941</v>
      </c>
      <c r="G78" s="11" t="s">
        <v>3136</v>
      </c>
      <c r="H78" s="11">
        <v>51</v>
      </c>
      <c r="I78" s="11" t="s">
        <v>9</v>
      </c>
      <c r="J78" s="11">
        <v>306</v>
      </c>
      <c r="K78" s="11" t="s">
        <v>3353</v>
      </c>
      <c r="L78" s="26"/>
      <c r="M78" s="26"/>
      <c r="N78" s="26"/>
      <c r="O78" s="78">
        <v>329.97</v>
      </c>
      <c r="P78" s="127" t="s">
        <v>3354</v>
      </c>
    </row>
    <row r="79" spans="1:16">
      <c r="A79" s="38" t="s">
        <v>3355</v>
      </c>
      <c r="B79" s="76" t="s">
        <v>3135</v>
      </c>
      <c r="C79" s="13">
        <v>8305337</v>
      </c>
      <c r="D79" s="13" t="s">
        <v>521</v>
      </c>
      <c r="E79" s="13">
        <v>2606165060</v>
      </c>
      <c r="F79" s="16" t="s">
        <v>3356</v>
      </c>
      <c r="G79" s="13" t="s">
        <v>3136</v>
      </c>
      <c r="H79" s="13">
        <v>42</v>
      </c>
      <c r="I79" s="13" t="s">
        <v>9</v>
      </c>
      <c r="J79" s="13">
        <v>504</v>
      </c>
      <c r="K79" s="14" t="s">
        <v>3287</v>
      </c>
      <c r="L79" s="25"/>
      <c r="M79" s="25"/>
      <c r="N79" s="25"/>
      <c r="O79" s="79">
        <v>423.40199999999999</v>
      </c>
      <c r="P79" s="127" t="s">
        <v>3357</v>
      </c>
    </row>
    <row r="80" spans="1:16">
      <c r="A80" s="39" t="s">
        <v>3358</v>
      </c>
      <c r="B80" s="77" t="s">
        <v>3135</v>
      </c>
      <c r="C80" s="11">
        <v>8305338</v>
      </c>
      <c r="D80" s="11" t="s">
        <v>523</v>
      </c>
      <c r="E80" s="11">
        <v>210932</v>
      </c>
      <c r="F80" s="15">
        <v>46664</v>
      </c>
      <c r="G80" s="11" t="s">
        <v>3136</v>
      </c>
      <c r="H80" s="11">
        <v>10</v>
      </c>
      <c r="I80" s="11" t="s">
        <v>9</v>
      </c>
      <c r="J80" s="11">
        <v>360</v>
      </c>
      <c r="K80" s="11" t="s">
        <v>3287</v>
      </c>
      <c r="L80" s="26"/>
      <c r="M80" s="26"/>
      <c r="N80" s="26"/>
      <c r="O80" s="78">
        <v>68.67</v>
      </c>
      <c r="P80" s="127" t="s">
        <v>3359</v>
      </c>
    </row>
    <row r="81" spans="1:16">
      <c r="A81" s="38" t="s">
        <v>3360</v>
      </c>
      <c r="B81" s="76" t="s">
        <v>3135</v>
      </c>
      <c r="C81" s="13">
        <v>8305339</v>
      </c>
      <c r="D81" s="13" t="s">
        <v>525</v>
      </c>
      <c r="E81" s="13">
        <v>260508000</v>
      </c>
      <c r="F81" s="16">
        <v>46970</v>
      </c>
      <c r="G81" s="13" t="s">
        <v>3136</v>
      </c>
      <c r="H81" s="13">
        <v>48</v>
      </c>
      <c r="I81" s="13" t="s">
        <v>9</v>
      </c>
      <c r="J81" s="13">
        <v>576</v>
      </c>
      <c r="K81" s="14" t="s">
        <v>3361</v>
      </c>
      <c r="L81" s="25"/>
      <c r="M81" s="25"/>
      <c r="N81" s="25"/>
      <c r="O81" s="79">
        <v>421.05599999999998</v>
      </c>
      <c r="P81" s="127" t="s">
        <v>3362</v>
      </c>
    </row>
    <row r="82" spans="1:16">
      <c r="A82" s="39" t="s">
        <v>3363</v>
      </c>
      <c r="B82" s="77" t="s">
        <v>3135</v>
      </c>
      <c r="C82" s="11">
        <v>8305343</v>
      </c>
      <c r="D82" s="11" t="s">
        <v>527</v>
      </c>
      <c r="E82" s="11">
        <v>228442</v>
      </c>
      <c r="F82" s="15" t="s">
        <v>3364</v>
      </c>
      <c r="G82" s="11" t="s">
        <v>3136</v>
      </c>
      <c r="H82" s="11">
        <v>36</v>
      </c>
      <c r="I82" s="11" t="s">
        <v>9</v>
      </c>
      <c r="J82" s="11">
        <v>432</v>
      </c>
      <c r="K82" s="11" t="s">
        <v>3287</v>
      </c>
      <c r="L82" s="26"/>
      <c r="M82" s="26"/>
      <c r="N82" s="26"/>
      <c r="O82" s="78">
        <v>315.79199999999997</v>
      </c>
      <c r="P82" s="127" t="s">
        <v>3365</v>
      </c>
    </row>
    <row r="83" spans="1:16">
      <c r="A83" s="38" t="s">
        <v>3366</v>
      </c>
      <c r="B83" s="76" t="s">
        <v>3135</v>
      </c>
      <c r="C83" s="13">
        <v>8305344</v>
      </c>
      <c r="D83" s="13" t="s">
        <v>529</v>
      </c>
      <c r="E83" s="13">
        <v>230709</v>
      </c>
      <c r="F83" s="16" t="s">
        <v>3215</v>
      </c>
      <c r="G83" s="13" t="s">
        <v>3136</v>
      </c>
      <c r="H83" s="13">
        <v>23</v>
      </c>
      <c r="I83" s="13" t="s">
        <v>9</v>
      </c>
      <c r="J83" s="13">
        <v>276</v>
      </c>
      <c r="K83" s="14" t="s">
        <v>3367</v>
      </c>
      <c r="L83" s="25"/>
      <c r="M83" s="25"/>
      <c r="N83" s="25"/>
      <c r="O83" s="79">
        <v>201.756</v>
      </c>
      <c r="P83" s="127" t="s">
        <v>3368</v>
      </c>
    </row>
    <row r="84" spans="1:16">
      <c r="A84" s="39" t="s">
        <v>3369</v>
      </c>
      <c r="B84" s="77" t="s">
        <v>3135</v>
      </c>
      <c r="C84" s="11">
        <v>8305345</v>
      </c>
      <c r="D84" s="11" t="s">
        <v>531</v>
      </c>
      <c r="E84" s="11">
        <v>231073</v>
      </c>
      <c r="F84" s="15">
        <v>46759</v>
      </c>
      <c r="G84" s="11" t="s">
        <v>3136</v>
      </c>
      <c r="H84" s="11">
        <v>22</v>
      </c>
      <c r="I84" s="11" t="s">
        <v>9</v>
      </c>
      <c r="J84" s="11">
        <v>264</v>
      </c>
      <c r="K84" s="11" t="s">
        <v>3370</v>
      </c>
      <c r="L84" s="26"/>
      <c r="M84" s="26"/>
      <c r="N84" s="26"/>
      <c r="O84" s="78">
        <v>232.584</v>
      </c>
      <c r="P84" s="127" t="s">
        <v>3371</v>
      </c>
    </row>
    <row r="85" spans="1:16">
      <c r="A85" s="38" t="s">
        <v>3372</v>
      </c>
      <c r="B85" s="76" t="s">
        <v>3135</v>
      </c>
      <c r="C85" s="13">
        <v>8305347</v>
      </c>
      <c r="D85" s="13" t="s">
        <v>535</v>
      </c>
      <c r="E85" s="13">
        <v>228781</v>
      </c>
      <c r="F85" s="16">
        <v>46970</v>
      </c>
      <c r="G85" s="13" t="s">
        <v>3136</v>
      </c>
      <c r="H85" s="13">
        <v>40</v>
      </c>
      <c r="I85" s="13" t="s">
        <v>9</v>
      </c>
      <c r="J85" s="13">
        <v>480</v>
      </c>
      <c r="K85" s="14" t="s">
        <v>3287</v>
      </c>
      <c r="L85" s="25"/>
      <c r="M85" s="25"/>
      <c r="N85" s="25"/>
      <c r="O85" s="79">
        <v>422.88</v>
      </c>
      <c r="P85" s="127" t="s">
        <v>3373</v>
      </c>
    </row>
    <row r="86" spans="1:16">
      <c r="A86" s="39" t="s">
        <v>3374</v>
      </c>
      <c r="B86" s="77" t="s">
        <v>3135</v>
      </c>
      <c r="C86" s="11">
        <v>8305349</v>
      </c>
      <c r="D86" s="11" t="s">
        <v>539</v>
      </c>
      <c r="E86" s="11">
        <v>228834</v>
      </c>
      <c r="F86" s="15">
        <v>47062</v>
      </c>
      <c r="G86" s="11" t="s">
        <v>3136</v>
      </c>
      <c r="H86" s="11">
        <v>22</v>
      </c>
      <c r="I86" s="11" t="s">
        <v>9</v>
      </c>
      <c r="J86" s="11">
        <v>264</v>
      </c>
      <c r="K86" s="11" t="s">
        <v>3287</v>
      </c>
      <c r="L86" s="26"/>
      <c r="M86" s="26"/>
      <c r="N86" s="26"/>
      <c r="O86" s="78">
        <v>232.584</v>
      </c>
      <c r="P86" s="129" t="s">
        <v>3375</v>
      </c>
    </row>
    <row r="87" spans="1:16">
      <c r="A87" s="38" t="s">
        <v>3376</v>
      </c>
      <c r="B87" s="76" t="s">
        <v>3135</v>
      </c>
      <c r="C87" s="13">
        <v>8305350</v>
      </c>
      <c r="D87" s="13" t="s">
        <v>541</v>
      </c>
      <c r="E87" s="13">
        <v>223514</v>
      </c>
      <c r="F87" s="16" t="s">
        <v>3377</v>
      </c>
      <c r="G87" s="13" t="s">
        <v>3136</v>
      </c>
      <c r="H87" s="13">
        <v>24</v>
      </c>
      <c r="I87" s="13" t="s">
        <v>9</v>
      </c>
      <c r="J87" s="13">
        <v>288</v>
      </c>
      <c r="K87" s="14" t="s">
        <v>3287</v>
      </c>
      <c r="L87" s="25"/>
      <c r="M87" s="25"/>
      <c r="N87" s="25"/>
      <c r="O87" s="79">
        <v>92.447999999999993</v>
      </c>
      <c r="P87" s="127" t="s">
        <v>3378</v>
      </c>
    </row>
    <row r="88" spans="1:16">
      <c r="A88" s="39" t="s">
        <v>3379</v>
      </c>
      <c r="B88" s="77" t="s">
        <v>3135</v>
      </c>
      <c r="C88" s="11">
        <v>8305351</v>
      </c>
      <c r="D88" s="11" t="s">
        <v>543</v>
      </c>
      <c r="E88" s="11">
        <v>230597</v>
      </c>
      <c r="F88" s="15" t="s">
        <v>3380</v>
      </c>
      <c r="G88" s="11" t="s">
        <v>3136</v>
      </c>
      <c r="H88" s="11">
        <v>44</v>
      </c>
      <c r="I88" s="11" t="s">
        <v>9</v>
      </c>
      <c r="J88" s="11">
        <v>264</v>
      </c>
      <c r="K88" s="15">
        <v>46030</v>
      </c>
      <c r="L88" s="26"/>
      <c r="M88" s="26"/>
      <c r="N88" s="26"/>
      <c r="O88" s="78">
        <v>404.8</v>
      </c>
      <c r="P88" s="127" t="s">
        <v>3381</v>
      </c>
    </row>
    <row r="89" spans="1:16">
      <c r="A89" s="38" t="s">
        <v>3382</v>
      </c>
      <c r="B89" s="76" t="s">
        <v>3135</v>
      </c>
      <c r="C89" s="13">
        <v>8305352</v>
      </c>
      <c r="D89" s="13" t="s">
        <v>545</v>
      </c>
      <c r="E89" s="13">
        <v>230600</v>
      </c>
      <c r="F89" s="16" t="s">
        <v>3380</v>
      </c>
      <c r="G89" s="13" t="s">
        <v>3136</v>
      </c>
      <c r="H89" s="13">
        <v>42</v>
      </c>
      <c r="I89" s="13" t="s">
        <v>9</v>
      </c>
      <c r="J89" s="13">
        <v>252</v>
      </c>
      <c r="K89" s="14" t="s">
        <v>3287</v>
      </c>
      <c r="L89" s="25"/>
      <c r="M89" s="25"/>
      <c r="N89" s="25"/>
      <c r="O89" s="79">
        <v>386.4</v>
      </c>
      <c r="P89" s="127" t="s">
        <v>3383</v>
      </c>
    </row>
    <row r="90" spans="1:16">
      <c r="A90" s="39" t="s">
        <v>3384</v>
      </c>
      <c r="B90" s="77" t="s">
        <v>3135</v>
      </c>
      <c r="C90" s="11">
        <v>8305353</v>
      </c>
      <c r="D90" s="11" t="s">
        <v>547</v>
      </c>
      <c r="E90" s="11">
        <v>251103000</v>
      </c>
      <c r="F90" s="15">
        <v>46457</v>
      </c>
      <c r="G90" s="11" t="s">
        <v>3136</v>
      </c>
      <c r="H90" s="11">
        <v>7</v>
      </c>
      <c r="I90" s="11" t="s">
        <v>9</v>
      </c>
      <c r="J90" s="11">
        <v>84</v>
      </c>
      <c r="K90" s="11" t="s">
        <v>3287</v>
      </c>
      <c r="L90" s="26"/>
      <c r="M90" s="26"/>
      <c r="N90" s="26"/>
      <c r="O90" s="78">
        <v>38.92</v>
      </c>
      <c r="P90" s="127" t="s">
        <v>3385</v>
      </c>
    </row>
    <row r="91" spans="1:16">
      <c r="A91" s="38" t="s">
        <v>3386</v>
      </c>
      <c r="B91" s="76" t="s">
        <v>3135</v>
      </c>
      <c r="C91" s="13">
        <v>8305354</v>
      </c>
      <c r="D91" s="13" t="s">
        <v>549</v>
      </c>
      <c r="E91" s="13">
        <v>223333</v>
      </c>
      <c r="F91" s="16" t="s">
        <v>3387</v>
      </c>
      <c r="G91" s="13" t="s">
        <v>3136</v>
      </c>
      <c r="H91" s="13">
        <v>50</v>
      </c>
      <c r="I91" s="13" t="s">
        <v>9</v>
      </c>
      <c r="J91" s="13">
        <v>600</v>
      </c>
      <c r="K91" s="14" t="s">
        <v>3287</v>
      </c>
      <c r="L91" s="25"/>
      <c r="M91" s="25"/>
      <c r="N91" s="25"/>
      <c r="O91" s="79">
        <v>278</v>
      </c>
      <c r="P91" s="127" t="s">
        <v>3388</v>
      </c>
    </row>
    <row r="92" spans="1:16">
      <c r="A92" s="39" t="s">
        <v>3389</v>
      </c>
      <c r="B92" s="77" t="s">
        <v>3135</v>
      </c>
      <c r="C92" s="11">
        <v>8305355</v>
      </c>
      <c r="D92" s="11" t="s">
        <v>551</v>
      </c>
      <c r="E92" s="11">
        <v>251009002</v>
      </c>
      <c r="F92" s="15">
        <v>46640</v>
      </c>
      <c r="G92" s="11" t="s">
        <v>3136</v>
      </c>
      <c r="H92" s="11">
        <v>16</v>
      </c>
      <c r="I92" s="11" t="s">
        <v>9</v>
      </c>
      <c r="J92" s="11">
        <v>224</v>
      </c>
      <c r="K92" s="11" t="s">
        <v>3287</v>
      </c>
      <c r="L92" s="26"/>
      <c r="M92" s="26"/>
      <c r="N92" s="26"/>
      <c r="O92" s="78">
        <v>143.82400000000001</v>
      </c>
      <c r="P92" s="127" t="s">
        <v>3390</v>
      </c>
    </row>
    <row r="93" spans="1:16">
      <c r="A93" s="38" t="s">
        <v>3391</v>
      </c>
      <c r="B93" s="76" t="s">
        <v>3135</v>
      </c>
      <c r="C93" s="13">
        <v>8305356</v>
      </c>
      <c r="D93" s="13" t="s">
        <v>553</v>
      </c>
      <c r="E93" s="13">
        <v>251010002</v>
      </c>
      <c r="F93" s="16">
        <v>46670</v>
      </c>
      <c r="G93" s="13" t="s">
        <v>3136</v>
      </c>
      <c r="H93" s="13">
        <v>8</v>
      </c>
      <c r="I93" s="13" t="s">
        <v>9</v>
      </c>
      <c r="J93" s="13">
        <v>112</v>
      </c>
      <c r="K93" s="14" t="s">
        <v>3287</v>
      </c>
      <c r="L93" s="25"/>
      <c r="M93" s="25"/>
      <c r="N93" s="25"/>
      <c r="O93" s="79">
        <v>71.912000000000006</v>
      </c>
      <c r="P93" s="127" t="s">
        <v>3392</v>
      </c>
    </row>
    <row r="94" spans="1:16">
      <c r="A94" s="39" t="s">
        <v>3393</v>
      </c>
      <c r="B94" s="77" t="s">
        <v>3135</v>
      </c>
      <c r="C94" s="11">
        <v>8305357</v>
      </c>
      <c r="D94" s="11" t="s">
        <v>555</v>
      </c>
      <c r="E94" s="11">
        <v>221299</v>
      </c>
      <c r="F94" s="15">
        <v>46785</v>
      </c>
      <c r="G94" s="11" t="s">
        <v>3136</v>
      </c>
      <c r="H94" s="11">
        <v>9</v>
      </c>
      <c r="I94" s="11" t="s">
        <v>9</v>
      </c>
      <c r="J94" s="11">
        <v>324</v>
      </c>
      <c r="K94" s="11" t="s">
        <v>3287</v>
      </c>
      <c r="L94" s="26"/>
      <c r="M94" s="26"/>
      <c r="N94" s="26"/>
      <c r="O94" s="78">
        <v>70.632000000000005</v>
      </c>
      <c r="P94" s="127" t="s">
        <v>3394</v>
      </c>
    </row>
    <row r="95" spans="1:16">
      <c r="A95" s="38" t="s">
        <v>3395</v>
      </c>
      <c r="B95" s="76" t="s">
        <v>3135</v>
      </c>
      <c r="C95" s="13">
        <v>8305358</v>
      </c>
      <c r="D95" s="13" t="s">
        <v>557</v>
      </c>
      <c r="E95" s="13">
        <v>250710002</v>
      </c>
      <c r="F95" s="16">
        <v>46667</v>
      </c>
      <c r="G95" s="13" t="s">
        <v>3136</v>
      </c>
      <c r="H95" s="13">
        <v>22</v>
      </c>
      <c r="I95" s="13" t="s">
        <v>9</v>
      </c>
      <c r="J95" s="13">
        <v>396</v>
      </c>
      <c r="K95" s="14" t="s">
        <v>3396</v>
      </c>
      <c r="L95" s="25"/>
      <c r="M95" s="25"/>
      <c r="N95" s="25"/>
      <c r="O95" s="79">
        <v>167.464</v>
      </c>
      <c r="P95" s="127" t="s">
        <v>3397</v>
      </c>
    </row>
    <row r="96" spans="1:16">
      <c r="A96" s="39" t="s">
        <v>3398</v>
      </c>
      <c r="B96" s="77" t="s">
        <v>3135</v>
      </c>
      <c r="C96" s="11">
        <v>8305360</v>
      </c>
      <c r="D96" s="11" t="s">
        <v>561</v>
      </c>
      <c r="E96" s="11">
        <v>220685</v>
      </c>
      <c r="F96" s="15" t="s">
        <v>3399</v>
      </c>
      <c r="G96" s="11" t="s">
        <v>3136</v>
      </c>
      <c r="H96" s="11">
        <v>30</v>
      </c>
      <c r="I96" s="11" t="s">
        <v>9</v>
      </c>
      <c r="J96" s="11">
        <v>360</v>
      </c>
      <c r="K96" s="11" t="s">
        <v>3287</v>
      </c>
      <c r="L96" s="26"/>
      <c r="M96" s="26"/>
      <c r="N96" s="26"/>
      <c r="O96" s="78">
        <v>317.16000000000003</v>
      </c>
      <c r="P96" s="127" t="s">
        <v>3400</v>
      </c>
    </row>
    <row r="97" spans="1:16">
      <c r="A97" s="38" t="s">
        <v>3401</v>
      </c>
      <c r="B97" s="76" t="s">
        <v>3135</v>
      </c>
      <c r="C97" s="13">
        <v>8305361</v>
      </c>
      <c r="D97" s="13" t="s">
        <v>563</v>
      </c>
      <c r="E97" s="13">
        <v>227564</v>
      </c>
      <c r="F97" s="16">
        <v>46969</v>
      </c>
      <c r="G97" s="13" t="s">
        <v>3136</v>
      </c>
      <c r="H97" s="13">
        <v>8</v>
      </c>
      <c r="I97" s="13" t="s">
        <v>9</v>
      </c>
      <c r="J97" s="13">
        <v>120</v>
      </c>
      <c r="K97" s="14" t="s">
        <v>3287</v>
      </c>
      <c r="L97" s="25"/>
      <c r="M97" s="25"/>
      <c r="N97" s="25"/>
      <c r="O97" s="79">
        <v>22.815999999999999</v>
      </c>
      <c r="P97" s="127" t="s">
        <v>3402</v>
      </c>
    </row>
    <row r="98" spans="1:16">
      <c r="A98" s="39" t="s">
        <v>3403</v>
      </c>
      <c r="B98" s="77" t="s">
        <v>3135</v>
      </c>
      <c r="C98" s="11">
        <v>8305362</v>
      </c>
      <c r="D98" s="11" t="s">
        <v>565</v>
      </c>
      <c r="E98" s="11">
        <v>230402</v>
      </c>
      <c r="F98" s="15" t="s">
        <v>3404</v>
      </c>
      <c r="G98" s="11" t="s">
        <v>3136</v>
      </c>
      <c r="H98" s="11">
        <v>64</v>
      </c>
      <c r="I98" s="11" t="s">
        <v>9</v>
      </c>
      <c r="J98" s="11">
        <v>960</v>
      </c>
      <c r="K98" s="11" t="s">
        <v>3287</v>
      </c>
      <c r="L98" s="26"/>
      <c r="M98" s="26"/>
      <c r="N98" s="26"/>
      <c r="O98" s="78">
        <v>182.52799999999999</v>
      </c>
      <c r="P98" s="127" t="s">
        <v>3405</v>
      </c>
    </row>
    <row r="99" spans="1:16">
      <c r="A99" s="38" t="s">
        <v>3406</v>
      </c>
      <c r="B99" s="76" t="s">
        <v>3135</v>
      </c>
      <c r="C99" s="13">
        <v>8305363</v>
      </c>
      <c r="D99" s="13" t="s">
        <v>567</v>
      </c>
      <c r="E99" s="13">
        <v>260410001</v>
      </c>
      <c r="F99" s="16">
        <v>47030</v>
      </c>
      <c r="G99" s="13" t="s">
        <v>3136</v>
      </c>
      <c r="H99" s="13">
        <v>1</v>
      </c>
      <c r="I99" s="13" t="s">
        <v>9</v>
      </c>
      <c r="J99" s="13">
        <v>15</v>
      </c>
      <c r="K99" s="14" t="s">
        <v>3287</v>
      </c>
      <c r="L99" s="25"/>
      <c r="M99" s="25"/>
      <c r="N99" s="25"/>
      <c r="O99" s="79">
        <v>2.8519999999999999</v>
      </c>
      <c r="P99" s="129" t="s">
        <v>3407</v>
      </c>
    </row>
    <row r="100" spans="1:16">
      <c r="A100" s="39" t="s">
        <v>3408</v>
      </c>
      <c r="B100" s="77" t="s">
        <v>3135</v>
      </c>
      <c r="C100" s="11">
        <v>8305365</v>
      </c>
      <c r="D100" s="11" t="s">
        <v>569</v>
      </c>
      <c r="E100" s="11">
        <v>224261</v>
      </c>
      <c r="F100" s="15">
        <v>46787</v>
      </c>
      <c r="G100" s="11" t="s">
        <v>3136</v>
      </c>
      <c r="H100" s="11">
        <v>25</v>
      </c>
      <c r="I100" s="11" t="s">
        <v>9</v>
      </c>
      <c r="J100" s="11">
        <v>300</v>
      </c>
      <c r="K100" s="11" t="s">
        <v>3287</v>
      </c>
      <c r="L100" s="26"/>
      <c r="M100" s="26"/>
      <c r="N100" s="26"/>
      <c r="O100" s="78">
        <v>96.3</v>
      </c>
      <c r="P100" s="127" t="s">
        <v>3409</v>
      </c>
    </row>
    <row r="101" spans="1:16">
      <c r="A101" s="38" t="s">
        <v>3410</v>
      </c>
      <c r="B101" s="76" t="s">
        <v>3135</v>
      </c>
      <c r="C101" s="13">
        <v>8305366</v>
      </c>
      <c r="D101" s="13" t="s">
        <v>571</v>
      </c>
      <c r="E101" s="13">
        <v>2603185060</v>
      </c>
      <c r="F101" s="16" t="s">
        <v>3411</v>
      </c>
      <c r="G101" s="13" t="s">
        <v>3136</v>
      </c>
      <c r="H101" s="13">
        <v>18</v>
      </c>
      <c r="I101" s="13" t="s">
        <v>9</v>
      </c>
      <c r="J101" s="13">
        <v>216</v>
      </c>
      <c r="K101" s="14" t="s">
        <v>3287</v>
      </c>
      <c r="L101" s="25"/>
      <c r="M101" s="25"/>
      <c r="N101" s="25"/>
      <c r="O101" s="79">
        <v>181.458</v>
      </c>
      <c r="P101" s="127" t="s">
        <v>3412</v>
      </c>
    </row>
    <row r="102" spans="1:16">
      <c r="A102" s="39" t="s">
        <v>3413</v>
      </c>
      <c r="B102" s="77" t="s">
        <v>3135</v>
      </c>
      <c r="C102" s="11">
        <v>8305373</v>
      </c>
      <c r="D102" s="11" t="s">
        <v>583</v>
      </c>
      <c r="E102" s="11">
        <v>221574</v>
      </c>
      <c r="F102" s="15">
        <v>46936</v>
      </c>
      <c r="G102" s="11" t="s">
        <v>3136</v>
      </c>
      <c r="H102" s="11">
        <v>3</v>
      </c>
      <c r="I102" s="11" t="s">
        <v>9</v>
      </c>
      <c r="J102" s="11">
        <v>3</v>
      </c>
      <c r="K102" s="11" t="s">
        <v>3287</v>
      </c>
      <c r="L102" s="26"/>
      <c r="M102" s="26"/>
      <c r="N102" s="26"/>
      <c r="O102" s="78">
        <v>33.840000000000003</v>
      </c>
      <c r="P102" s="129" t="s">
        <v>3414</v>
      </c>
    </row>
    <row r="103" spans="1:16">
      <c r="A103" s="38" t="s">
        <v>3415</v>
      </c>
      <c r="B103" s="76" t="s">
        <v>3135</v>
      </c>
      <c r="C103" s="13">
        <v>8306007</v>
      </c>
      <c r="D103" s="13" t="s">
        <v>589</v>
      </c>
      <c r="E103" s="13">
        <v>2607255060</v>
      </c>
      <c r="F103" s="16" t="s">
        <v>3416</v>
      </c>
      <c r="G103" s="13" t="s">
        <v>3136</v>
      </c>
      <c r="H103" s="13">
        <v>31</v>
      </c>
      <c r="I103" s="13" t="s">
        <v>9</v>
      </c>
      <c r="J103" s="13">
        <v>124</v>
      </c>
      <c r="K103" s="14" t="s">
        <v>3313</v>
      </c>
      <c r="L103" s="25"/>
      <c r="M103" s="25"/>
      <c r="N103" s="25"/>
      <c r="O103" s="79">
        <v>515.84</v>
      </c>
      <c r="P103" s="127" t="s">
        <v>3417</v>
      </c>
    </row>
    <row r="104" spans="1:16">
      <c r="A104" s="39" t="s">
        <v>3418</v>
      </c>
      <c r="B104" s="77" t="s">
        <v>3135</v>
      </c>
      <c r="C104" s="11">
        <v>8306030</v>
      </c>
      <c r="D104" s="11" t="s">
        <v>591</v>
      </c>
      <c r="E104" s="11">
        <v>2607245060</v>
      </c>
      <c r="F104" s="15" t="s">
        <v>3254</v>
      </c>
      <c r="G104" s="11" t="s">
        <v>3136</v>
      </c>
      <c r="H104" s="11">
        <v>27</v>
      </c>
      <c r="I104" s="11" t="s">
        <v>9</v>
      </c>
      <c r="J104" s="11">
        <v>108</v>
      </c>
      <c r="K104" s="11" t="s">
        <v>3287</v>
      </c>
      <c r="L104" s="26"/>
      <c r="M104" s="26"/>
      <c r="N104" s="26"/>
      <c r="O104" s="78">
        <v>445.851</v>
      </c>
      <c r="P104" s="127" t="s">
        <v>3419</v>
      </c>
    </row>
    <row r="105" spans="1:16">
      <c r="A105" s="38" t="s">
        <v>3420</v>
      </c>
      <c r="B105" s="76" t="s">
        <v>3135</v>
      </c>
      <c r="C105" s="13">
        <v>8306031</v>
      </c>
      <c r="D105" s="13" t="s">
        <v>593</v>
      </c>
      <c r="E105" s="13">
        <v>2608055060</v>
      </c>
      <c r="F105" s="16">
        <v>46881</v>
      </c>
      <c r="G105" s="13" t="s">
        <v>3136</v>
      </c>
      <c r="H105" s="13">
        <v>30</v>
      </c>
      <c r="I105" s="13" t="s">
        <v>288</v>
      </c>
      <c r="J105" s="13">
        <v>720</v>
      </c>
      <c r="K105" s="41">
        <v>46334</v>
      </c>
      <c r="L105" s="25"/>
      <c r="M105" s="25"/>
      <c r="N105" s="25"/>
      <c r="O105" s="79">
        <v>216.6</v>
      </c>
      <c r="P105" s="127" t="s">
        <v>3421</v>
      </c>
    </row>
    <row r="106" spans="1:16">
      <c r="A106" s="39" t="s">
        <v>3422</v>
      </c>
      <c r="B106" s="77" t="s">
        <v>3135</v>
      </c>
      <c r="C106" s="11">
        <v>8306032</v>
      </c>
      <c r="D106" s="11" t="s">
        <v>595</v>
      </c>
      <c r="E106" s="11" t="s">
        <v>3423</v>
      </c>
      <c r="F106" s="15" t="s">
        <v>3424</v>
      </c>
      <c r="G106" s="11" t="s">
        <v>3136</v>
      </c>
      <c r="H106" s="11">
        <v>16</v>
      </c>
      <c r="I106" s="11" t="s">
        <v>9</v>
      </c>
      <c r="J106" s="11">
        <v>192</v>
      </c>
      <c r="K106" s="11" t="s">
        <v>3353</v>
      </c>
      <c r="L106" s="26"/>
      <c r="M106" s="26"/>
      <c r="N106" s="26"/>
      <c r="O106" s="78">
        <v>118.288</v>
      </c>
      <c r="P106" s="127" t="s">
        <v>3425</v>
      </c>
    </row>
    <row r="107" spans="1:16">
      <c r="A107" s="38" t="s">
        <v>3426</v>
      </c>
      <c r="B107" s="76" t="s">
        <v>3135</v>
      </c>
      <c r="C107" s="13">
        <v>8306034</v>
      </c>
      <c r="D107" s="13" t="s">
        <v>597</v>
      </c>
      <c r="E107" s="13" t="s">
        <v>3427</v>
      </c>
      <c r="F107" s="16" t="s">
        <v>3343</v>
      </c>
      <c r="G107" s="13" t="s">
        <v>3136</v>
      </c>
      <c r="H107" s="13">
        <v>19</v>
      </c>
      <c r="I107" s="13" t="s">
        <v>9</v>
      </c>
      <c r="J107" s="13">
        <v>114</v>
      </c>
      <c r="K107" s="14" t="s">
        <v>3396</v>
      </c>
      <c r="L107" s="25"/>
      <c r="M107" s="25"/>
      <c r="N107" s="25"/>
      <c r="O107" s="79">
        <v>225.68199999999999</v>
      </c>
      <c r="P107" s="127" t="s">
        <v>3428</v>
      </c>
    </row>
    <row r="108" spans="1:16">
      <c r="A108" s="39" t="s">
        <v>3429</v>
      </c>
      <c r="B108" s="77" t="s">
        <v>3135</v>
      </c>
      <c r="C108" s="11">
        <v>8306034</v>
      </c>
      <c r="D108" s="11" t="s">
        <v>597</v>
      </c>
      <c r="E108" s="11" t="s">
        <v>3427</v>
      </c>
      <c r="F108" s="15" t="s">
        <v>3343</v>
      </c>
      <c r="G108" s="11" t="s">
        <v>3136</v>
      </c>
      <c r="H108" s="11">
        <v>14</v>
      </c>
      <c r="I108" s="11" t="s">
        <v>9</v>
      </c>
      <c r="J108" s="11">
        <v>84</v>
      </c>
      <c r="K108" s="11" t="s">
        <v>3396</v>
      </c>
      <c r="L108" s="26"/>
      <c r="M108" s="26"/>
      <c r="N108" s="26"/>
      <c r="O108" s="78">
        <v>166.292</v>
      </c>
      <c r="P108" s="127" t="s">
        <v>3430</v>
      </c>
    </row>
    <row r="109" spans="1:16">
      <c r="A109" s="38" t="s">
        <v>3431</v>
      </c>
      <c r="B109" s="76" t="s">
        <v>3135</v>
      </c>
      <c r="C109" s="13">
        <v>8306037</v>
      </c>
      <c r="D109" s="13" t="s">
        <v>601</v>
      </c>
      <c r="E109" s="13" t="s">
        <v>3432</v>
      </c>
      <c r="F109" s="16" t="s">
        <v>3433</v>
      </c>
      <c r="G109" s="13" t="s">
        <v>3136</v>
      </c>
      <c r="H109" s="13">
        <v>44</v>
      </c>
      <c r="I109" s="13" t="s">
        <v>9</v>
      </c>
      <c r="J109" s="13">
        <v>528</v>
      </c>
      <c r="K109" s="14" t="s">
        <v>3361</v>
      </c>
      <c r="L109" s="25"/>
      <c r="M109" s="25"/>
      <c r="N109" s="25"/>
      <c r="O109" s="79">
        <v>539.26400000000001</v>
      </c>
      <c r="P109" s="127" t="s">
        <v>3434</v>
      </c>
    </row>
    <row r="110" spans="1:16">
      <c r="A110" s="39" t="s">
        <v>3435</v>
      </c>
      <c r="B110" s="77" t="s">
        <v>3135</v>
      </c>
      <c r="C110" s="11">
        <v>8306037</v>
      </c>
      <c r="D110" s="11" t="s">
        <v>601</v>
      </c>
      <c r="E110" s="11" t="s">
        <v>3436</v>
      </c>
      <c r="F110" s="15" t="s">
        <v>3261</v>
      </c>
      <c r="G110" s="11" t="s">
        <v>3136</v>
      </c>
      <c r="H110" s="11">
        <v>31</v>
      </c>
      <c r="I110" s="11" t="s">
        <v>9</v>
      </c>
      <c r="J110" s="11">
        <v>372</v>
      </c>
      <c r="K110" s="11" t="s">
        <v>3361</v>
      </c>
      <c r="L110" s="26"/>
      <c r="M110" s="26"/>
      <c r="N110" s="26"/>
      <c r="O110" s="78">
        <v>379.93599999999998</v>
      </c>
      <c r="P110" s="127" t="s">
        <v>3437</v>
      </c>
    </row>
    <row r="111" spans="1:16">
      <c r="A111" s="38" t="s">
        <v>3438</v>
      </c>
      <c r="B111" s="76" t="s">
        <v>3439</v>
      </c>
      <c r="C111" s="13">
        <v>8309027</v>
      </c>
      <c r="D111" s="13" t="s">
        <v>625</v>
      </c>
      <c r="E111" s="13">
        <v>2608145060</v>
      </c>
      <c r="F111" s="16" t="s">
        <v>3184</v>
      </c>
      <c r="G111" s="13" t="s">
        <v>3136</v>
      </c>
      <c r="H111" s="13">
        <v>45</v>
      </c>
      <c r="I111" s="13" t="s">
        <v>9</v>
      </c>
      <c r="J111" s="13">
        <v>540</v>
      </c>
      <c r="K111" s="14" t="s">
        <v>3440</v>
      </c>
      <c r="L111" s="25"/>
      <c r="M111" s="25"/>
      <c r="N111" s="25"/>
      <c r="O111" s="79">
        <v>155.69999999999999</v>
      </c>
      <c r="P111" s="127" t="s">
        <v>3441</v>
      </c>
    </row>
    <row r="112" spans="1:16">
      <c r="A112" s="39" t="s">
        <v>3442</v>
      </c>
      <c r="B112" s="77" t="s">
        <v>3439</v>
      </c>
      <c r="C112" s="11">
        <v>8309028</v>
      </c>
      <c r="D112" s="11" t="s">
        <v>627</v>
      </c>
      <c r="E112" s="11">
        <v>2607205060</v>
      </c>
      <c r="F112" s="15" t="s">
        <v>3312</v>
      </c>
      <c r="G112" s="11" t="s">
        <v>3136</v>
      </c>
      <c r="H112" s="11">
        <v>43</v>
      </c>
      <c r="I112" s="11" t="s">
        <v>9</v>
      </c>
      <c r="J112" s="11">
        <v>516</v>
      </c>
      <c r="K112" s="15">
        <v>46030</v>
      </c>
      <c r="L112" s="26"/>
      <c r="M112" s="26"/>
      <c r="N112" s="26"/>
      <c r="O112" s="78">
        <v>130.97800000000001</v>
      </c>
      <c r="P112" s="127" t="s">
        <v>3443</v>
      </c>
    </row>
    <row r="113" spans="1:16">
      <c r="A113" s="38" t="s">
        <v>3444</v>
      </c>
      <c r="B113" s="76" t="s">
        <v>3439</v>
      </c>
      <c r="C113" s="13">
        <v>8309033</v>
      </c>
      <c r="D113" s="13" t="s">
        <v>633</v>
      </c>
      <c r="E113" s="13">
        <v>2607205060</v>
      </c>
      <c r="F113" s="16" t="s">
        <v>3312</v>
      </c>
      <c r="G113" s="13" t="s">
        <v>3136</v>
      </c>
      <c r="H113" s="13">
        <v>50</v>
      </c>
      <c r="I113" s="13" t="s">
        <v>9</v>
      </c>
      <c r="J113" s="13">
        <v>600</v>
      </c>
      <c r="K113" s="14" t="s">
        <v>3361</v>
      </c>
      <c r="L113" s="25"/>
      <c r="M113" s="25"/>
      <c r="N113" s="25"/>
      <c r="O113" s="79">
        <v>173</v>
      </c>
      <c r="P113" s="127" t="s">
        <v>3445</v>
      </c>
    </row>
    <row r="114" spans="1:16">
      <c r="A114" s="39" t="s">
        <v>3446</v>
      </c>
      <c r="B114" s="77" t="s">
        <v>3439</v>
      </c>
      <c r="C114" s="11">
        <v>8309119</v>
      </c>
      <c r="D114" s="11" t="s">
        <v>663</v>
      </c>
      <c r="E114" s="11">
        <v>2608195060</v>
      </c>
      <c r="F114" s="15" t="s">
        <v>3447</v>
      </c>
      <c r="G114" s="11" t="s">
        <v>3136</v>
      </c>
      <c r="H114" s="11">
        <v>94</v>
      </c>
      <c r="I114" s="11" t="s">
        <v>9</v>
      </c>
      <c r="J114" s="17">
        <v>1128</v>
      </c>
      <c r="K114" s="11" t="s">
        <v>3344</v>
      </c>
      <c r="L114" s="26"/>
      <c r="M114" s="26"/>
      <c r="N114" s="26"/>
      <c r="O114" s="78">
        <v>391.98</v>
      </c>
      <c r="P114" s="127" t="s">
        <v>3448</v>
      </c>
    </row>
    <row r="115" spans="1:16">
      <c r="A115" s="38" t="s">
        <v>3449</v>
      </c>
      <c r="B115" s="76" t="s">
        <v>3450</v>
      </c>
      <c r="C115" s="13">
        <v>8309119</v>
      </c>
      <c r="D115" s="13" t="s">
        <v>663</v>
      </c>
      <c r="E115" s="13">
        <v>2608195060</v>
      </c>
      <c r="F115" s="16" t="s">
        <v>3447</v>
      </c>
      <c r="G115" s="13" t="s">
        <v>3136</v>
      </c>
      <c r="H115" s="13">
        <v>4</v>
      </c>
      <c r="I115" s="13" t="s">
        <v>9</v>
      </c>
      <c r="J115" s="13">
        <v>48</v>
      </c>
      <c r="K115" s="14" t="s">
        <v>3361</v>
      </c>
      <c r="L115" s="25"/>
      <c r="M115" s="25"/>
      <c r="N115" s="25"/>
      <c r="O115" s="79">
        <v>16.68</v>
      </c>
      <c r="P115" s="127" t="s">
        <v>3451</v>
      </c>
    </row>
    <row r="116" spans="1:16">
      <c r="A116" s="39" t="s">
        <v>3452</v>
      </c>
      <c r="B116" s="77" t="s">
        <v>3439</v>
      </c>
      <c r="C116" s="11">
        <v>8309120</v>
      </c>
      <c r="D116" s="11" t="s">
        <v>665</v>
      </c>
      <c r="E116" s="11">
        <v>2608125060</v>
      </c>
      <c r="F116" s="15">
        <v>47460</v>
      </c>
      <c r="G116" s="11" t="s">
        <v>3136</v>
      </c>
      <c r="H116" s="11">
        <v>9</v>
      </c>
      <c r="I116" s="11" t="s">
        <v>9</v>
      </c>
      <c r="J116" s="11">
        <v>108</v>
      </c>
      <c r="K116" s="11" t="s">
        <v>3328</v>
      </c>
      <c r="L116" s="26"/>
      <c r="M116" s="26"/>
      <c r="N116" s="26"/>
      <c r="O116" s="78">
        <v>37.53</v>
      </c>
      <c r="P116" s="127" t="s">
        <v>3453</v>
      </c>
    </row>
    <row r="117" spans="1:16">
      <c r="A117" s="38" t="s">
        <v>3454</v>
      </c>
      <c r="B117" s="76" t="s">
        <v>3439</v>
      </c>
      <c r="C117" s="13">
        <v>8309121</v>
      </c>
      <c r="D117" s="13" t="s">
        <v>667</v>
      </c>
      <c r="E117" s="13">
        <v>2608205060</v>
      </c>
      <c r="F117" s="16" t="s">
        <v>3192</v>
      </c>
      <c r="G117" s="13" t="s">
        <v>3136</v>
      </c>
      <c r="H117" s="13">
        <v>14</v>
      </c>
      <c r="I117" s="13" t="s">
        <v>9</v>
      </c>
      <c r="J117" s="13">
        <v>168</v>
      </c>
      <c r="K117" s="14" t="s">
        <v>3321</v>
      </c>
      <c r="L117" s="25"/>
      <c r="M117" s="25"/>
      <c r="N117" s="25"/>
      <c r="O117" s="79">
        <v>58.38</v>
      </c>
      <c r="P117" s="127" t="s">
        <v>3455</v>
      </c>
    </row>
    <row r="118" spans="1:16">
      <c r="A118" s="39" t="s">
        <v>3456</v>
      </c>
      <c r="B118" s="77" t="s">
        <v>3439</v>
      </c>
      <c r="C118" s="11">
        <v>8309126</v>
      </c>
      <c r="D118" s="11" t="s">
        <v>675</v>
      </c>
      <c r="E118" s="11">
        <v>2608145060</v>
      </c>
      <c r="F118" s="15" t="s">
        <v>3184</v>
      </c>
      <c r="G118" s="11" t="s">
        <v>3136</v>
      </c>
      <c r="H118" s="11">
        <v>22</v>
      </c>
      <c r="I118" s="11" t="s">
        <v>9</v>
      </c>
      <c r="J118" s="11">
        <v>264</v>
      </c>
      <c r="K118" s="11" t="s">
        <v>3321</v>
      </c>
      <c r="L118" s="26"/>
      <c r="M118" s="26"/>
      <c r="N118" s="26"/>
      <c r="O118" s="78">
        <v>91.74</v>
      </c>
      <c r="P118" s="127" t="s">
        <v>3457</v>
      </c>
    </row>
    <row r="119" spans="1:16">
      <c r="A119" s="38" t="s">
        <v>3458</v>
      </c>
      <c r="B119" s="76" t="s">
        <v>3439</v>
      </c>
      <c r="C119" s="13">
        <v>8309128</v>
      </c>
      <c r="D119" s="13" t="s">
        <v>679</v>
      </c>
      <c r="E119" s="13">
        <v>2608135060</v>
      </c>
      <c r="F119" s="16" t="s">
        <v>3459</v>
      </c>
      <c r="G119" s="13" t="s">
        <v>3136</v>
      </c>
      <c r="H119" s="13">
        <v>17</v>
      </c>
      <c r="I119" s="13" t="s">
        <v>9</v>
      </c>
      <c r="J119" s="13">
        <v>204</v>
      </c>
      <c r="K119" s="14" t="s">
        <v>3370</v>
      </c>
      <c r="L119" s="25"/>
      <c r="M119" s="25"/>
      <c r="N119" s="25"/>
      <c r="O119" s="79">
        <v>70.89</v>
      </c>
      <c r="P119" s="127" t="s">
        <v>3460</v>
      </c>
    </row>
    <row r="120" spans="1:16">
      <c r="A120" s="39" t="s">
        <v>3449</v>
      </c>
      <c r="B120" s="77" t="s">
        <v>3450</v>
      </c>
      <c r="C120" s="11">
        <v>8309128</v>
      </c>
      <c r="D120" s="11" t="s">
        <v>679</v>
      </c>
      <c r="E120" s="11">
        <v>2608185060</v>
      </c>
      <c r="F120" s="15" t="s">
        <v>3248</v>
      </c>
      <c r="G120" s="11" t="s">
        <v>3136</v>
      </c>
      <c r="H120" s="11">
        <v>4</v>
      </c>
      <c r="I120" s="11" t="s">
        <v>9</v>
      </c>
      <c r="J120" s="11">
        <v>48</v>
      </c>
      <c r="K120" s="15">
        <v>46031</v>
      </c>
      <c r="L120" s="26"/>
      <c r="M120" s="26"/>
      <c r="N120" s="26"/>
      <c r="O120" s="78">
        <v>16.68</v>
      </c>
      <c r="P120" s="127" t="s">
        <v>3461</v>
      </c>
    </row>
    <row r="121" spans="1:16">
      <c r="A121" s="38" t="s">
        <v>3462</v>
      </c>
      <c r="B121" s="76" t="s">
        <v>3439</v>
      </c>
      <c r="C121" s="13">
        <v>8309129</v>
      </c>
      <c r="D121" s="13" t="s">
        <v>681</v>
      </c>
      <c r="E121" s="13">
        <v>2607245060</v>
      </c>
      <c r="F121" s="16" t="s">
        <v>3254</v>
      </c>
      <c r="G121" s="13" t="s">
        <v>3136</v>
      </c>
      <c r="H121" s="13">
        <v>35</v>
      </c>
      <c r="I121" s="13" t="s">
        <v>9</v>
      </c>
      <c r="J121" s="13">
        <v>420</v>
      </c>
      <c r="K121" s="41">
        <v>46030</v>
      </c>
      <c r="L121" s="25"/>
      <c r="M121" s="25"/>
      <c r="N121" s="25"/>
      <c r="O121" s="79">
        <v>145.94999999999999</v>
      </c>
      <c r="P121" s="127" t="s">
        <v>3463</v>
      </c>
    </row>
    <row r="122" spans="1:16">
      <c r="A122" s="39" t="s">
        <v>3464</v>
      </c>
      <c r="B122" s="77" t="s">
        <v>3439</v>
      </c>
      <c r="C122" s="11">
        <v>8309130</v>
      </c>
      <c r="D122" s="11" t="s">
        <v>683</v>
      </c>
      <c r="E122" s="11">
        <v>2607155060</v>
      </c>
      <c r="F122" s="15" t="s">
        <v>3286</v>
      </c>
      <c r="G122" s="11" t="s">
        <v>3136</v>
      </c>
      <c r="H122" s="11">
        <v>38</v>
      </c>
      <c r="I122" s="11" t="s">
        <v>9</v>
      </c>
      <c r="J122" s="11">
        <v>456</v>
      </c>
      <c r="K122" s="11" t="s">
        <v>3287</v>
      </c>
      <c r="L122" s="26"/>
      <c r="M122" s="26"/>
      <c r="N122" s="26"/>
      <c r="O122" s="78">
        <v>158.46</v>
      </c>
      <c r="P122" s="127" t="s">
        <v>3465</v>
      </c>
    </row>
    <row r="123" spans="1:16">
      <c r="A123" s="38" t="s">
        <v>3449</v>
      </c>
      <c r="B123" s="76" t="s">
        <v>3450</v>
      </c>
      <c r="C123" s="13">
        <v>8309130</v>
      </c>
      <c r="D123" s="13" t="s">
        <v>683</v>
      </c>
      <c r="E123" s="13">
        <v>2606155060</v>
      </c>
      <c r="F123" s="16" t="s">
        <v>3466</v>
      </c>
      <c r="G123" s="13" t="s">
        <v>3136</v>
      </c>
      <c r="H123" s="13">
        <v>10</v>
      </c>
      <c r="I123" s="13" t="s">
        <v>9</v>
      </c>
      <c r="J123" s="13">
        <v>120</v>
      </c>
      <c r="K123" s="14" t="s">
        <v>3353</v>
      </c>
      <c r="L123" s="25"/>
      <c r="M123" s="25"/>
      <c r="N123" s="25"/>
      <c r="O123" s="79">
        <v>41.7</v>
      </c>
      <c r="P123" s="127" t="s">
        <v>3467</v>
      </c>
    </row>
    <row r="124" spans="1:16">
      <c r="A124" s="39" t="s">
        <v>3468</v>
      </c>
      <c r="B124" s="77" t="s">
        <v>3439</v>
      </c>
      <c r="C124" s="11">
        <v>8309131</v>
      </c>
      <c r="D124" s="11" t="s">
        <v>685</v>
      </c>
      <c r="E124" s="11">
        <v>2607225060</v>
      </c>
      <c r="F124" s="15" t="s">
        <v>3469</v>
      </c>
      <c r="G124" s="11" t="s">
        <v>3136</v>
      </c>
      <c r="H124" s="11">
        <v>19</v>
      </c>
      <c r="I124" s="11" t="s">
        <v>9</v>
      </c>
      <c r="J124" s="11">
        <v>228</v>
      </c>
      <c r="K124" s="11" t="s">
        <v>3287</v>
      </c>
      <c r="L124" s="26"/>
      <c r="M124" s="26"/>
      <c r="N124" s="26"/>
      <c r="O124" s="78">
        <v>79.23</v>
      </c>
      <c r="P124" s="127" t="s">
        <v>3470</v>
      </c>
    </row>
    <row r="125" spans="1:16">
      <c r="A125" s="38" t="s">
        <v>3471</v>
      </c>
      <c r="B125" s="76" t="s">
        <v>3439</v>
      </c>
      <c r="C125" s="13">
        <v>8309194</v>
      </c>
      <c r="D125" s="13" t="s">
        <v>703</v>
      </c>
      <c r="E125" s="13">
        <v>2608105060</v>
      </c>
      <c r="F125" s="16">
        <v>47399</v>
      </c>
      <c r="G125" s="13" t="s">
        <v>3136</v>
      </c>
      <c r="H125" s="13">
        <v>17</v>
      </c>
      <c r="I125" s="13" t="s">
        <v>9</v>
      </c>
      <c r="J125" s="13">
        <v>204</v>
      </c>
      <c r="K125" s="41">
        <v>46364</v>
      </c>
      <c r="L125" s="25"/>
      <c r="M125" s="25"/>
      <c r="N125" s="25"/>
      <c r="O125" s="79">
        <v>70.89</v>
      </c>
      <c r="P125" s="127" t="s">
        <v>3472</v>
      </c>
    </row>
    <row r="126" spans="1:16">
      <c r="A126" s="39" t="s">
        <v>3473</v>
      </c>
      <c r="B126" s="77" t="s">
        <v>3135</v>
      </c>
      <c r="C126" s="11">
        <v>8312005</v>
      </c>
      <c r="D126" s="11" t="s">
        <v>737</v>
      </c>
      <c r="E126" s="11">
        <v>2607165060</v>
      </c>
      <c r="F126" s="15" t="s">
        <v>3474</v>
      </c>
      <c r="G126" s="11" t="s">
        <v>3136</v>
      </c>
      <c r="H126" s="11">
        <v>13</v>
      </c>
      <c r="I126" s="11" t="s">
        <v>9</v>
      </c>
      <c r="J126" s="11">
        <v>468</v>
      </c>
      <c r="K126" s="11" t="s">
        <v>3287</v>
      </c>
      <c r="L126" s="26"/>
      <c r="M126" s="26"/>
      <c r="N126" s="26"/>
      <c r="O126" s="78">
        <v>119.45699999999999</v>
      </c>
      <c r="P126" s="127" t="s">
        <v>3475</v>
      </c>
    </row>
    <row r="127" spans="1:16">
      <c r="A127" s="38" t="s">
        <v>3476</v>
      </c>
      <c r="B127" s="76" t="s">
        <v>3135</v>
      </c>
      <c r="C127" s="13">
        <v>8312006</v>
      </c>
      <c r="D127" s="13" t="s">
        <v>739</v>
      </c>
      <c r="E127" s="13">
        <v>2607315060</v>
      </c>
      <c r="F127" s="16" t="s">
        <v>3477</v>
      </c>
      <c r="G127" s="13" t="s">
        <v>3136</v>
      </c>
      <c r="H127" s="13">
        <v>17</v>
      </c>
      <c r="I127" s="13" t="s">
        <v>9</v>
      </c>
      <c r="J127" s="13">
        <v>612</v>
      </c>
      <c r="K127" s="41">
        <v>46211</v>
      </c>
      <c r="L127" s="25"/>
      <c r="M127" s="25"/>
      <c r="N127" s="25"/>
      <c r="O127" s="79">
        <v>157.53899999999999</v>
      </c>
      <c r="P127" s="127" t="s">
        <v>3478</v>
      </c>
    </row>
    <row r="128" spans="1:16">
      <c r="A128" s="39" t="s">
        <v>3479</v>
      </c>
      <c r="B128" s="77" t="s">
        <v>3135</v>
      </c>
      <c r="C128" s="11">
        <v>8312007</v>
      </c>
      <c r="D128" s="11" t="s">
        <v>741</v>
      </c>
      <c r="E128" s="11">
        <v>2606165060</v>
      </c>
      <c r="F128" s="15" t="s">
        <v>3356</v>
      </c>
      <c r="G128" s="11" t="s">
        <v>3136</v>
      </c>
      <c r="H128" s="11">
        <v>19</v>
      </c>
      <c r="I128" s="11" t="s">
        <v>9</v>
      </c>
      <c r="J128" s="11">
        <v>684</v>
      </c>
      <c r="K128" s="11" t="s">
        <v>3287</v>
      </c>
      <c r="L128" s="26"/>
      <c r="M128" s="26"/>
      <c r="N128" s="26"/>
      <c r="O128" s="78">
        <v>173.869</v>
      </c>
      <c r="P128" s="127" t="s">
        <v>3480</v>
      </c>
    </row>
    <row r="129" spans="1:16">
      <c r="A129" s="38" t="s">
        <v>3481</v>
      </c>
      <c r="B129" s="76" t="s">
        <v>3135</v>
      </c>
      <c r="C129" s="13">
        <v>8312008</v>
      </c>
      <c r="D129" s="13" t="s">
        <v>743</v>
      </c>
      <c r="E129" s="13">
        <v>2607225060</v>
      </c>
      <c r="F129" s="16" t="s">
        <v>3469</v>
      </c>
      <c r="G129" s="13" t="s">
        <v>3136</v>
      </c>
      <c r="H129" s="13">
        <v>42</v>
      </c>
      <c r="I129" s="13" t="s">
        <v>9</v>
      </c>
      <c r="J129" s="40">
        <v>1512</v>
      </c>
      <c r="K129" s="41">
        <v>46061</v>
      </c>
      <c r="L129" s="25"/>
      <c r="M129" s="25"/>
      <c r="N129" s="25"/>
      <c r="O129" s="79">
        <v>389.42399999999998</v>
      </c>
      <c r="P129" s="127" t="s">
        <v>3482</v>
      </c>
    </row>
    <row r="130" spans="1:16">
      <c r="A130" s="39" t="s">
        <v>3483</v>
      </c>
      <c r="B130" s="77" t="s">
        <v>3135</v>
      </c>
      <c r="C130" s="11">
        <v>8312015</v>
      </c>
      <c r="D130" s="11" t="s">
        <v>747</v>
      </c>
      <c r="E130" s="11">
        <v>2608035060</v>
      </c>
      <c r="F130" s="15">
        <v>47185</v>
      </c>
      <c r="G130" s="11" t="s">
        <v>3136</v>
      </c>
      <c r="H130" s="11">
        <v>1</v>
      </c>
      <c r="I130" s="11" t="s">
        <v>9</v>
      </c>
      <c r="J130" s="11">
        <v>36</v>
      </c>
      <c r="K130" s="15">
        <v>46211</v>
      </c>
      <c r="L130" s="26"/>
      <c r="M130" s="26"/>
      <c r="N130" s="26"/>
      <c r="O130" s="78">
        <v>11.387</v>
      </c>
      <c r="P130" s="127" t="s">
        <v>3484</v>
      </c>
    </row>
    <row r="131" spans="1:16">
      <c r="A131" s="38" t="s">
        <v>3485</v>
      </c>
      <c r="B131" s="76" t="s">
        <v>3135</v>
      </c>
      <c r="C131" s="13">
        <v>8312016</v>
      </c>
      <c r="D131" s="13" t="s">
        <v>749</v>
      </c>
      <c r="E131" s="13">
        <v>2509115010</v>
      </c>
      <c r="F131" s="16">
        <v>47066</v>
      </c>
      <c r="G131" s="13" t="s">
        <v>3136</v>
      </c>
      <c r="H131" s="13">
        <v>48</v>
      </c>
      <c r="I131" s="13" t="s">
        <v>9</v>
      </c>
      <c r="J131" s="40">
        <v>1728</v>
      </c>
      <c r="K131" s="41">
        <v>46150</v>
      </c>
      <c r="L131" s="25"/>
      <c r="M131" s="25"/>
      <c r="N131" s="25"/>
      <c r="O131" s="79">
        <v>552</v>
      </c>
      <c r="P131" s="127" t="s">
        <v>3486</v>
      </c>
    </row>
    <row r="132" spans="1:16">
      <c r="A132" s="39" t="s">
        <v>3487</v>
      </c>
      <c r="B132" s="77" t="s">
        <v>3135</v>
      </c>
      <c r="C132" s="11">
        <v>8312017</v>
      </c>
      <c r="D132" s="11" t="s">
        <v>751</v>
      </c>
      <c r="E132" s="11">
        <v>2607225060</v>
      </c>
      <c r="F132" s="15" t="s">
        <v>3469</v>
      </c>
      <c r="G132" s="11" t="s">
        <v>3136</v>
      </c>
      <c r="H132" s="11">
        <v>4</v>
      </c>
      <c r="I132" s="11" t="s">
        <v>9</v>
      </c>
      <c r="J132" s="11">
        <v>144</v>
      </c>
      <c r="K132" s="15">
        <v>46061</v>
      </c>
      <c r="L132" s="26"/>
      <c r="M132" s="26"/>
      <c r="N132" s="26"/>
      <c r="O132" s="78">
        <v>46.136000000000003</v>
      </c>
      <c r="P132" s="127" t="s">
        <v>3488</v>
      </c>
    </row>
    <row r="133" spans="1:16">
      <c r="A133" s="38" t="s">
        <v>3489</v>
      </c>
      <c r="B133" s="76" t="s">
        <v>3439</v>
      </c>
      <c r="C133" s="13">
        <v>8315000</v>
      </c>
      <c r="D133" s="13" t="s">
        <v>763</v>
      </c>
      <c r="E133" s="13">
        <v>2608175060</v>
      </c>
      <c r="F133" s="16" t="s">
        <v>3490</v>
      </c>
      <c r="G133" s="13" t="s">
        <v>3136</v>
      </c>
      <c r="H133" s="13">
        <v>15</v>
      </c>
      <c r="I133" s="13" t="s">
        <v>9</v>
      </c>
      <c r="J133" s="13">
        <v>180</v>
      </c>
      <c r="K133" s="14" t="s">
        <v>3440</v>
      </c>
      <c r="L133" s="25"/>
      <c r="M133" s="25"/>
      <c r="N133" s="25"/>
      <c r="O133" s="79">
        <v>81</v>
      </c>
      <c r="P133" s="127" t="s">
        <v>3491</v>
      </c>
    </row>
    <row r="134" spans="1:16">
      <c r="A134" s="39" t="s">
        <v>3449</v>
      </c>
      <c r="B134" s="77" t="s">
        <v>3450</v>
      </c>
      <c r="C134" s="11">
        <v>8315000</v>
      </c>
      <c r="D134" s="11" t="s">
        <v>763</v>
      </c>
      <c r="E134" s="11">
        <v>2608045060</v>
      </c>
      <c r="F134" s="15">
        <v>46851</v>
      </c>
      <c r="G134" s="11" t="s">
        <v>3136</v>
      </c>
      <c r="H134" s="11">
        <v>5</v>
      </c>
      <c r="I134" s="11" t="s">
        <v>9</v>
      </c>
      <c r="J134" s="11">
        <v>60</v>
      </c>
      <c r="K134" s="11" t="s">
        <v>3440</v>
      </c>
      <c r="L134" s="26"/>
      <c r="M134" s="26"/>
      <c r="N134" s="26"/>
      <c r="O134" s="78">
        <v>27</v>
      </c>
      <c r="P134" s="127" t="s">
        <v>3492</v>
      </c>
    </row>
    <row r="135" spans="1:16">
      <c r="A135" s="38" t="s">
        <v>3493</v>
      </c>
      <c r="B135" s="76" t="s">
        <v>3439</v>
      </c>
      <c r="C135" s="13">
        <v>8315001</v>
      </c>
      <c r="D135" s="13" t="s">
        <v>765</v>
      </c>
      <c r="E135" s="13">
        <v>2608045060</v>
      </c>
      <c r="F135" s="16">
        <v>46851</v>
      </c>
      <c r="G135" s="13" t="s">
        <v>3136</v>
      </c>
      <c r="H135" s="13">
        <v>57</v>
      </c>
      <c r="I135" s="13" t="s">
        <v>9</v>
      </c>
      <c r="J135" s="13">
        <v>684</v>
      </c>
      <c r="K135" s="14" t="s">
        <v>3494</v>
      </c>
      <c r="L135" s="25"/>
      <c r="M135" s="25"/>
      <c r="N135" s="25"/>
      <c r="O135" s="79">
        <v>307.8</v>
      </c>
      <c r="P135" s="127" t="s">
        <v>3495</v>
      </c>
    </row>
    <row r="136" spans="1:16">
      <c r="A136" s="39" t="s">
        <v>3496</v>
      </c>
      <c r="B136" s="77" t="s">
        <v>3135</v>
      </c>
      <c r="C136" s="11">
        <v>8315003</v>
      </c>
      <c r="D136" s="11" t="s">
        <v>769</v>
      </c>
      <c r="E136" s="11">
        <v>2509255010</v>
      </c>
      <c r="F136" s="15" t="s">
        <v>3497</v>
      </c>
      <c r="G136" s="11" t="s">
        <v>3136</v>
      </c>
      <c r="H136" s="11">
        <v>50</v>
      </c>
      <c r="I136" s="11" t="s">
        <v>9</v>
      </c>
      <c r="J136" s="11">
        <v>600</v>
      </c>
      <c r="K136" s="11" t="s">
        <v>3361</v>
      </c>
      <c r="L136" s="26"/>
      <c r="M136" s="26"/>
      <c r="N136" s="26"/>
      <c r="O136" s="78">
        <v>191.6</v>
      </c>
      <c r="P136" s="127" t="s">
        <v>3498</v>
      </c>
    </row>
    <row r="137" spans="1:16">
      <c r="A137" s="38" t="s">
        <v>3499</v>
      </c>
      <c r="B137" s="76" t="s">
        <v>3135</v>
      </c>
      <c r="C137" s="13">
        <v>8315004</v>
      </c>
      <c r="D137" s="13" t="s">
        <v>771</v>
      </c>
      <c r="E137" s="13">
        <v>2608215060</v>
      </c>
      <c r="F137" s="16" t="s">
        <v>3261</v>
      </c>
      <c r="G137" s="13" t="s">
        <v>3136</v>
      </c>
      <c r="H137" s="13">
        <v>34</v>
      </c>
      <c r="I137" s="13" t="s">
        <v>9</v>
      </c>
      <c r="J137" s="13">
        <v>408</v>
      </c>
      <c r="K137" s="14" t="s">
        <v>3440</v>
      </c>
      <c r="L137" s="25"/>
      <c r="M137" s="25"/>
      <c r="N137" s="25"/>
      <c r="O137" s="79">
        <v>213.75800000000001</v>
      </c>
      <c r="P137" s="127" t="s">
        <v>3500</v>
      </c>
    </row>
    <row r="138" spans="1:16">
      <c r="A138" s="39" t="s">
        <v>3501</v>
      </c>
      <c r="B138" s="77" t="s">
        <v>3135</v>
      </c>
      <c r="C138" s="11">
        <v>8315005</v>
      </c>
      <c r="D138" s="11" t="s">
        <v>773</v>
      </c>
      <c r="E138" s="11">
        <v>2508125010</v>
      </c>
      <c r="F138" s="15">
        <v>46729</v>
      </c>
      <c r="G138" s="11" t="s">
        <v>3136</v>
      </c>
      <c r="H138" s="11">
        <v>36</v>
      </c>
      <c r="I138" s="11" t="s">
        <v>9</v>
      </c>
      <c r="J138" s="11">
        <v>432</v>
      </c>
      <c r="K138" s="11" t="s">
        <v>3361</v>
      </c>
      <c r="L138" s="26"/>
      <c r="M138" s="26"/>
      <c r="N138" s="26"/>
      <c r="O138" s="78">
        <v>120.16800000000001</v>
      </c>
      <c r="P138" s="127" t="s">
        <v>3502</v>
      </c>
    </row>
    <row r="139" spans="1:16">
      <c r="A139" s="38" t="s">
        <v>3503</v>
      </c>
      <c r="B139" s="76" t="s">
        <v>3135</v>
      </c>
      <c r="C139" s="13">
        <v>8315006</v>
      </c>
      <c r="D139" s="13" t="s">
        <v>775</v>
      </c>
      <c r="E139" s="13">
        <v>2608065060</v>
      </c>
      <c r="F139" s="16">
        <v>46912</v>
      </c>
      <c r="G139" s="13" t="s">
        <v>3136</v>
      </c>
      <c r="H139" s="13">
        <v>3</v>
      </c>
      <c r="I139" s="13" t="s">
        <v>9</v>
      </c>
      <c r="J139" s="13">
        <v>36</v>
      </c>
      <c r="K139" s="41">
        <v>46364</v>
      </c>
      <c r="L139" s="25"/>
      <c r="M139" s="25"/>
      <c r="N139" s="25"/>
      <c r="O139" s="79">
        <v>10.523999999999999</v>
      </c>
      <c r="P139" s="127" t="s">
        <v>3504</v>
      </c>
    </row>
    <row r="140" spans="1:16">
      <c r="A140" s="39" t="s">
        <v>3505</v>
      </c>
      <c r="B140" s="77" t="s">
        <v>3135</v>
      </c>
      <c r="C140" s="11">
        <v>8315011</v>
      </c>
      <c r="D140" s="11" t="s">
        <v>785</v>
      </c>
      <c r="E140" s="11">
        <v>2607135060</v>
      </c>
      <c r="F140" s="15" t="s">
        <v>3506</v>
      </c>
      <c r="G140" s="11" t="s">
        <v>3136</v>
      </c>
      <c r="H140" s="11">
        <v>29</v>
      </c>
      <c r="I140" s="11" t="s">
        <v>9</v>
      </c>
      <c r="J140" s="11">
        <v>696</v>
      </c>
      <c r="K140" s="11" t="s">
        <v>3287</v>
      </c>
      <c r="L140" s="26"/>
      <c r="M140" s="26"/>
      <c r="N140" s="26"/>
      <c r="O140" s="78">
        <v>339.01</v>
      </c>
      <c r="P140" s="127" t="s">
        <v>3507</v>
      </c>
    </row>
    <row r="141" spans="1:16">
      <c r="A141" s="38" t="s">
        <v>3508</v>
      </c>
      <c r="B141" s="76" t="s">
        <v>3135</v>
      </c>
      <c r="C141" s="13">
        <v>8315012</v>
      </c>
      <c r="D141" s="13" t="s">
        <v>787</v>
      </c>
      <c r="E141" s="13">
        <v>2506195010</v>
      </c>
      <c r="F141" s="16" t="s">
        <v>3509</v>
      </c>
      <c r="G141" s="13" t="s">
        <v>3136</v>
      </c>
      <c r="H141" s="13">
        <v>51</v>
      </c>
      <c r="I141" s="13" t="s">
        <v>9</v>
      </c>
      <c r="J141" s="40">
        <v>1224</v>
      </c>
      <c r="K141" s="14" t="s">
        <v>3361</v>
      </c>
      <c r="L141" s="25"/>
      <c r="M141" s="25"/>
      <c r="N141" s="25"/>
      <c r="O141" s="79">
        <v>596.19000000000005</v>
      </c>
      <c r="P141" s="127" t="s">
        <v>3510</v>
      </c>
    </row>
    <row r="142" spans="1:16">
      <c r="A142" s="39" t="s">
        <v>3511</v>
      </c>
      <c r="B142" s="77" t="s">
        <v>3135</v>
      </c>
      <c r="C142" s="11">
        <v>8315013</v>
      </c>
      <c r="D142" s="11" t="s">
        <v>789</v>
      </c>
      <c r="E142" s="11">
        <v>2608255070</v>
      </c>
      <c r="F142" s="15" t="s">
        <v>3512</v>
      </c>
      <c r="G142" s="11" t="s">
        <v>3136</v>
      </c>
      <c r="H142" s="11">
        <v>37</v>
      </c>
      <c r="I142" s="11" t="s">
        <v>9</v>
      </c>
      <c r="J142" s="11">
        <v>444</v>
      </c>
      <c r="K142" s="11" t="s">
        <v>3334</v>
      </c>
      <c r="L142" s="26"/>
      <c r="M142" s="26"/>
      <c r="N142" s="26"/>
      <c r="O142" s="78">
        <v>270.39600000000002</v>
      </c>
      <c r="P142" s="127" t="s">
        <v>3513</v>
      </c>
    </row>
    <row r="143" spans="1:16">
      <c r="A143" s="38" t="s">
        <v>3514</v>
      </c>
      <c r="B143" s="76" t="s">
        <v>3135</v>
      </c>
      <c r="C143" s="13">
        <v>8315014</v>
      </c>
      <c r="D143" s="13" t="s">
        <v>791</v>
      </c>
      <c r="E143" s="13">
        <v>2608215070</v>
      </c>
      <c r="F143" s="16" t="s">
        <v>3165</v>
      </c>
      <c r="G143" s="13" t="s">
        <v>3136</v>
      </c>
      <c r="H143" s="13">
        <v>6</v>
      </c>
      <c r="I143" s="13" t="s">
        <v>9</v>
      </c>
      <c r="J143" s="13">
        <v>72</v>
      </c>
      <c r="K143" s="14" t="s">
        <v>3440</v>
      </c>
      <c r="L143" s="25"/>
      <c r="M143" s="25"/>
      <c r="N143" s="25"/>
      <c r="O143" s="79">
        <v>62.747999999999998</v>
      </c>
      <c r="P143" s="127" t="s">
        <v>3515</v>
      </c>
    </row>
    <row r="144" spans="1:16">
      <c r="A144" s="39" t="s">
        <v>3516</v>
      </c>
      <c r="B144" s="77" t="s">
        <v>3135</v>
      </c>
      <c r="C144" s="11">
        <v>8315017</v>
      </c>
      <c r="D144" s="11" t="s">
        <v>797</v>
      </c>
      <c r="E144" s="11">
        <v>2608195070</v>
      </c>
      <c r="F144" s="15" t="s">
        <v>3517</v>
      </c>
      <c r="G144" s="11" t="s">
        <v>3136</v>
      </c>
      <c r="H144" s="11">
        <v>40</v>
      </c>
      <c r="I144" s="11" t="s">
        <v>9</v>
      </c>
      <c r="J144" s="11">
        <v>480</v>
      </c>
      <c r="K144" s="11" t="s">
        <v>3328</v>
      </c>
      <c r="L144" s="26"/>
      <c r="M144" s="26"/>
      <c r="N144" s="26"/>
      <c r="O144" s="78">
        <v>420.72</v>
      </c>
      <c r="P144" s="127" t="s">
        <v>3518</v>
      </c>
    </row>
    <row r="145" spans="1:16">
      <c r="A145" s="38" t="s">
        <v>3519</v>
      </c>
      <c r="B145" s="76" t="s">
        <v>3135</v>
      </c>
      <c r="C145" s="13">
        <v>8315018</v>
      </c>
      <c r="D145" s="13" t="s">
        <v>799</v>
      </c>
      <c r="E145" s="13">
        <v>2608275070</v>
      </c>
      <c r="F145" s="16" t="s">
        <v>3520</v>
      </c>
      <c r="G145" s="13" t="s">
        <v>3136</v>
      </c>
      <c r="H145" s="13">
        <v>14</v>
      </c>
      <c r="I145" s="13" t="s">
        <v>9</v>
      </c>
      <c r="J145" s="13">
        <v>168</v>
      </c>
      <c r="K145" s="14" t="s">
        <v>3521</v>
      </c>
      <c r="L145" s="25"/>
      <c r="M145" s="25"/>
      <c r="N145" s="25"/>
      <c r="O145" s="79">
        <v>99.54</v>
      </c>
      <c r="P145" s="127" t="s">
        <v>3522</v>
      </c>
    </row>
    <row r="146" spans="1:16">
      <c r="A146" s="39" t="s">
        <v>3523</v>
      </c>
      <c r="B146" s="77" t="s">
        <v>3135</v>
      </c>
      <c r="C146" s="11">
        <v>8315026</v>
      </c>
      <c r="D146" s="11" t="s">
        <v>807</v>
      </c>
      <c r="E146" s="11">
        <v>2511215070</v>
      </c>
      <c r="F146" s="15" t="s">
        <v>3524</v>
      </c>
      <c r="G146" s="11" t="s">
        <v>3136</v>
      </c>
      <c r="H146" s="11">
        <v>73</v>
      </c>
      <c r="I146" s="11" t="s">
        <v>9</v>
      </c>
      <c r="J146" s="11">
        <v>876</v>
      </c>
      <c r="K146" s="15">
        <v>46364</v>
      </c>
      <c r="L146" s="26"/>
      <c r="M146" s="26"/>
      <c r="N146" s="26"/>
      <c r="O146" s="78">
        <v>53.509</v>
      </c>
      <c r="P146" s="127" t="s">
        <v>3525</v>
      </c>
    </row>
    <row r="147" spans="1:16">
      <c r="A147" s="38" t="s">
        <v>3526</v>
      </c>
      <c r="B147" s="76" t="s">
        <v>3135</v>
      </c>
      <c r="C147" s="13">
        <v>8315027</v>
      </c>
      <c r="D147" s="13" t="s">
        <v>809</v>
      </c>
      <c r="E147" s="13">
        <v>2607095070</v>
      </c>
      <c r="F147" s="16">
        <v>47368</v>
      </c>
      <c r="G147" s="13" t="s">
        <v>3136</v>
      </c>
      <c r="H147" s="13">
        <v>270</v>
      </c>
      <c r="I147" s="13" t="s">
        <v>9</v>
      </c>
      <c r="J147" s="40">
        <v>1620</v>
      </c>
      <c r="K147" s="14" t="s">
        <v>3287</v>
      </c>
      <c r="L147" s="25"/>
      <c r="M147" s="25"/>
      <c r="N147" s="25"/>
      <c r="O147" s="79">
        <v>253.8</v>
      </c>
      <c r="P147" s="127" t="s">
        <v>3527</v>
      </c>
    </row>
    <row r="148" spans="1:16">
      <c r="A148" s="39" t="s">
        <v>3528</v>
      </c>
      <c r="B148" s="77" t="s">
        <v>3439</v>
      </c>
      <c r="C148" s="11">
        <v>8315030</v>
      </c>
      <c r="D148" s="11" t="s">
        <v>811</v>
      </c>
      <c r="E148" s="11">
        <v>2606235060</v>
      </c>
      <c r="F148" s="15" t="s">
        <v>3529</v>
      </c>
      <c r="G148" s="11" t="s">
        <v>3136</v>
      </c>
      <c r="H148" s="11">
        <v>39</v>
      </c>
      <c r="I148" s="11" t="s">
        <v>9</v>
      </c>
      <c r="J148" s="11">
        <v>468</v>
      </c>
      <c r="K148" s="11" t="s">
        <v>3287</v>
      </c>
      <c r="L148" s="26"/>
      <c r="M148" s="26"/>
      <c r="N148" s="26"/>
      <c r="O148" s="78">
        <v>228.38399999999999</v>
      </c>
      <c r="P148" s="127" t="s">
        <v>3530</v>
      </c>
    </row>
    <row r="149" spans="1:16">
      <c r="A149" s="38" t="s">
        <v>3531</v>
      </c>
      <c r="B149" s="76" t="s">
        <v>3135</v>
      </c>
      <c r="C149" s="13">
        <v>8315041</v>
      </c>
      <c r="D149" s="13" t="s">
        <v>819</v>
      </c>
      <c r="E149" s="13">
        <v>2606165060</v>
      </c>
      <c r="F149" s="16" t="s">
        <v>3356</v>
      </c>
      <c r="G149" s="13" t="s">
        <v>3136</v>
      </c>
      <c r="H149" s="13">
        <v>63</v>
      </c>
      <c r="I149" s="13" t="s">
        <v>9</v>
      </c>
      <c r="J149" s="40">
        <v>1512</v>
      </c>
      <c r="K149" s="14" t="s">
        <v>3287</v>
      </c>
      <c r="L149" s="25"/>
      <c r="M149" s="25"/>
      <c r="N149" s="25"/>
      <c r="O149" s="79">
        <v>788.19299999999998</v>
      </c>
      <c r="P149" s="127" t="s">
        <v>3532</v>
      </c>
    </row>
    <row r="150" spans="1:16">
      <c r="A150" s="39" t="s">
        <v>3533</v>
      </c>
      <c r="B150" s="77" t="s">
        <v>3135</v>
      </c>
      <c r="C150" s="11">
        <v>8315042</v>
      </c>
      <c r="D150" s="11" t="s">
        <v>821</v>
      </c>
      <c r="E150" s="11">
        <v>2608185060</v>
      </c>
      <c r="F150" s="15" t="s">
        <v>3248</v>
      </c>
      <c r="G150" s="11" t="s">
        <v>3136</v>
      </c>
      <c r="H150" s="11">
        <v>65</v>
      </c>
      <c r="I150" s="11" t="s">
        <v>9</v>
      </c>
      <c r="J150" s="17">
        <v>1560</v>
      </c>
      <c r="K150" s="11" t="s">
        <v>3344</v>
      </c>
      <c r="L150" s="26"/>
      <c r="M150" s="26"/>
      <c r="N150" s="26"/>
      <c r="O150" s="78">
        <v>816.66</v>
      </c>
      <c r="P150" s="127" t="s">
        <v>3534</v>
      </c>
    </row>
    <row r="151" spans="1:16">
      <c r="A151" s="38" t="s">
        <v>3535</v>
      </c>
      <c r="B151" s="76" t="s">
        <v>3135</v>
      </c>
      <c r="C151" s="13">
        <v>8315042</v>
      </c>
      <c r="D151" s="13" t="s">
        <v>821</v>
      </c>
      <c r="E151" s="13">
        <v>2608185060</v>
      </c>
      <c r="F151" s="16" t="s">
        <v>3248</v>
      </c>
      <c r="G151" s="13" t="s">
        <v>3136</v>
      </c>
      <c r="H151" s="13">
        <v>39</v>
      </c>
      <c r="I151" s="13" t="s">
        <v>9</v>
      </c>
      <c r="J151" s="13">
        <v>936</v>
      </c>
      <c r="K151" s="14" t="s">
        <v>3344</v>
      </c>
      <c r="L151" s="25"/>
      <c r="M151" s="25"/>
      <c r="N151" s="25"/>
      <c r="O151" s="79">
        <v>489.99599999999998</v>
      </c>
      <c r="P151" s="127" t="s">
        <v>3536</v>
      </c>
    </row>
    <row r="152" spans="1:16">
      <c r="A152" s="39" t="s">
        <v>3537</v>
      </c>
      <c r="B152" s="77" t="s">
        <v>3135</v>
      </c>
      <c r="C152" s="11">
        <v>8315043</v>
      </c>
      <c r="D152" s="11" t="s">
        <v>823</v>
      </c>
      <c r="E152" s="11">
        <v>2608275060</v>
      </c>
      <c r="F152" s="15" t="s">
        <v>3245</v>
      </c>
      <c r="G152" s="11" t="s">
        <v>3136</v>
      </c>
      <c r="H152" s="11">
        <v>65</v>
      </c>
      <c r="I152" s="11" t="s">
        <v>9</v>
      </c>
      <c r="J152" s="17">
        <v>1560</v>
      </c>
      <c r="K152" s="11" t="s">
        <v>3334</v>
      </c>
      <c r="L152" s="26"/>
      <c r="M152" s="26"/>
      <c r="N152" s="26"/>
      <c r="O152" s="78">
        <v>812.82500000000005</v>
      </c>
      <c r="P152" s="127" t="s">
        <v>3538</v>
      </c>
    </row>
    <row r="153" spans="1:16">
      <c r="A153" s="38" t="s">
        <v>3539</v>
      </c>
      <c r="B153" s="76" t="s">
        <v>3135</v>
      </c>
      <c r="C153" s="13">
        <v>8315043</v>
      </c>
      <c r="D153" s="13" t="s">
        <v>823</v>
      </c>
      <c r="E153" s="13">
        <v>2608275060</v>
      </c>
      <c r="F153" s="16" t="s">
        <v>3245</v>
      </c>
      <c r="G153" s="13" t="s">
        <v>3136</v>
      </c>
      <c r="H153" s="13">
        <v>64</v>
      </c>
      <c r="I153" s="13" t="s">
        <v>9</v>
      </c>
      <c r="J153" s="40">
        <v>1536</v>
      </c>
      <c r="K153" s="14" t="s">
        <v>3334</v>
      </c>
      <c r="L153" s="25"/>
      <c r="M153" s="25"/>
      <c r="N153" s="25"/>
      <c r="O153" s="79">
        <v>800.32</v>
      </c>
      <c r="P153" s="127" t="s">
        <v>3540</v>
      </c>
    </row>
    <row r="154" spans="1:16">
      <c r="A154" s="39" t="s">
        <v>3541</v>
      </c>
      <c r="B154" s="77" t="s">
        <v>3135</v>
      </c>
      <c r="C154" s="11">
        <v>8315044</v>
      </c>
      <c r="D154" s="11" t="s">
        <v>825</v>
      </c>
      <c r="E154" s="11">
        <v>2608275060</v>
      </c>
      <c r="F154" s="15" t="s">
        <v>3520</v>
      </c>
      <c r="G154" s="11" t="s">
        <v>3136</v>
      </c>
      <c r="H154" s="11">
        <v>37</v>
      </c>
      <c r="I154" s="11" t="s">
        <v>9</v>
      </c>
      <c r="J154" s="11">
        <v>444</v>
      </c>
      <c r="K154" s="11" t="s">
        <v>3521</v>
      </c>
      <c r="L154" s="26"/>
      <c r="M154" s="26"/>
      <c r="N154" s="26"/>
      <c r="O154" s="78">
        <v>348.91</v>
      </c>
      <c r="P154" s="129" t="s">
        <v>3542</v>
      </c>
    </row>
    <row r="155" spans="1:16">
      <c r="A155" s="38" t="s">
        <v>3543</v>
      </c>
      <c r="B155" s="76" t="s">
        <v>3135</v>
      </c>
      <c r="C155" s="13">
        <v>8315045</v>
      </c>
      <c r="D155" s="13" t="s">
        <v>827</v>
      </c>
      <c r="E155" s="13">
        <v>2607225060</v>
      </c>
      <c r="F155" s="16" t="s">
        <v>3469</v>
      </c>
      <c r="G155" s="13" t="s">
        <v>3136</v>
      </c>
      <c r="H155" s="13">
        <v>11</v>
      </c>
      <c r="I155" s="13" t="s">
        <v>9</v>
      </c>
      <c r="J155" s="13">
        <v>132</v>
      </c>
      <c r="K155" s="14" t="s">
        <v>3287</v>
      </c>
      <c r="L155" s="25"/>
      <c r="M155" s="25"/>
      <c r="N155" s="25"/>
      <c r="O155" s="79">
        <v>98.516000000000005</v>
      </c>
      <c r="P155" s="127" t="s">
        <v>3544</v>
      </c>
    </row>
    <row r="156" spans="1:16">
      <c r="A156" s="39" t="s">
        <v>3545</v>
      </c>
      <c r="B156" s="77" t="s">
        <v>3135</v>
      </c>
      <c r="C156" s="11">
        <v>8315045</v>
      </c>
      <c r="D156" s="11" t="s">
        <v>827</v>
      </c>
      <c r="E156" s="11">
        <v>2607225060</v>
      </c>
      <c r="F156" s="15" t="s">
        <v>3469</v>
      </c>
      <c r="G156" s="11" t="s">
        <v>3136</v>
      </c>
      <c r="H156" s="11">
        <v>18</v>
      </c>
      <c r="I156" s="11" t="s">
        <v>9</v>
      </c>
      <c r="J156" s="11">
        <v>216</v>
      </c>
      <c r="K156" s="11" t="s">
        <v>3287</v>
      </c>
      <c r="L156" s="26"/>
      <c r="M156" s="26"/>
      <c r="N156" s="26"/>
      <c r="O156" s="78">
        <v>161.208</v>
      </c>
      <c r="P156" s="127" t="s">
        <v>3546</v>
      </c>
    </row>
    <row r="157" spans="1:16">
      <c r="A157" s="38" t="s">
        <v>3547</v>
      </c>
      <c r="B157" s="76" t="s">
        <v>3135</v>
      </c>
      <c r="C157" s="13">
        <v>8315046</v>
      </c>
      <c r="D157" s="13" t="s">
        <v>829</v>
      </c>
      <c r="E157" s="13">
        <v>2607245060</v>
      </c>
      <c r="F157" s="16" t="s">
        <v>3254</v>
      </c>
      <c r="G157" s="13" t="s">
        <v>3136</v>
      </c>
      <c r="H157" s="13">
        <v>28</v>
      </c>
      <c r="I157" s="13" t="s">
        <v>9</v>
      </c>
      <c r="J157" s="13">
        <v>336</v>
      </c>
      <c r="K157" s="41">
        <v>46089</v>
      </c>
      <c r="L157" s="25"/>
      <c r="M157" s="25"/>
      <c r="N157" s="25"/>
      <c r="O157" s="79">
        <v>253.34399999999999</v>
      </c>
      <c r="P157" s="127" t="s">
        <v>3548</v>
      </c>
    </row>
    <row r="158" spans="1:16">
      <c r="A158" s="39" t="s">
        <v>3549</v>
      </c>
      <c r="B158" s="77" t="s">
        <v>3135</v>
      </c>
      <c r="C158" s="11">
        <v>8315047</v>
      </c>
      <c r="D158" s="11" t="s">
        <v>831</v>
      </c>
      <c r="E158" s="11">
        <v>2606025060</v>
      </c>
      <c r="F158" s="15">
        <v>47155</v>
      </c>
      <c r="G158" s="11" t="s">
        <v>3136</v>
      </c>
      <c r="H158" s="11">
        <v>1</v>
      </c>
      <c r="I158" s="11" t="s">
        <v>9</v>
      </c>
      <c r="J158" s="11">
        <v>12</v>
      </c>
      <c r="K158" s="11" t="s">
        <v>3287</v>
      </c>
      <c r="L158" s="26"/>
      <c r="M158" s="26"/>
      <c r="N158" s="26"/>
      <c r="O158" s="78">
        <v>8.8000000000000007</v>
      </c>
      <c r="P158" s="127" t="s">
        <v>3550</v>
      </c>
    </row>
    <row r="159" spans="1:16">
      <c r="A159" s="38" t="s">
        <v>3551</v>
      </c>
      <c r="B159" s="76" t="s">
        <v>3135</v>
      </c>
      <c r="C159" s="13">
        <v>8315049</v>
      </c>
      <c r="D159" s="13" t="s">
        <v>833</v>
      </c>
      <c r="E159" s="13">
        <v>2508015010</v>
      </c>
      <c r="F159" s="16">
        <v>46760</v>
      </c>
      <c r="G159" s="13" t="s">
        <v>3136</v>
      </c>
      <c r="H159" s="13">
        <v>9</v>
      </c>
      <c r="I159" s="13" t="s">
        <v>9</v>
      </c>
      <c r="J159" s="13">
        <v>108</v>
      </c>
      <c r="K159" s="14" t="s">
        <v>3361</v>
      </c>
      <c r="L159" s="25"/>
      <c r="M159" s="25"/>
      <c r="N159" s="25"/>
      <c r="O159" s="79">
        <v>114.84</v>
      </c>
      <c r="P159" s="127" t="s">
        <v>3552</v>
      </c>
    </row>
    <row r="160" spans="1:16">
      <c r="A160" s="39" t="s">
        <v>3553</v>
      </c>
      <c r="B160" s="77" t="s">
        <v>3135</v>
      </c>
      <c r="C160" s="11">
        <v>8315051</v>
      </c>
      <c r="D160" s="11" t="s">
        <v>835</v>
      </c>
      <c r="E160" s="11">
        <v>2608155060</v>
      </c>
      <c r="F160" s="15" t="s">
        <v>3554</v>
      </c>
      <c r="G160" s="11" t="s">
        <v>3136</v>
      </c>
      <c r="H160" s="11">
        <v>86</v>
      </c>
      <c r="I160" s="11" t="s">
        <v>9</v>
      </c>
      <c r="J160" s="17">
        <v>1032</v>
      </c>
      <c r="K160" s="11" t="s">
        <v>3440</v>
      </c>
      <c r="L160" s="26"/>
      <c r="M160" s="26"/>
      <c r="N160" s="26"/>
      <c r="O160" s="78">
        <v>329.20800000000003</v>
      </c>
      <c r="P160" s="127" t="s">
        <v>3555</v>
      </c>
    </row>
    <row r="161" spans="1:16">
      <c r="A161" s="38" t="s">
        <v>3556</v>
      </c>
      <c r="B161" s="76" t="s">
        <v>3135</v>
      </c>
      <c r="C161" s="13">
        <v>8315061</v>
      </c>
      <c r="D161" s="13" t="s">
        <v>843</v>
      </c>
      <c r="E161" s="13">
        <v>2608245060</v>
      </c>
      <c r="F161" s="16" t="s">
        <v>3147</v>
      </c>
      <c r="G161" s="13" t="s">
        <v>3136</v>
      </c>
      <c r="H161" s="13">
        <v>24</v>
      </c>
      <c r="I161" s="13" t="s">
        <v>9</v>
      </c>
      <c r="J161" s="13">
        <v>288</v>
      </c>
      <c r="K161" s="14" t="s">
        <v>3521</v>
      </c>
      <c r="L161" s="25"/>
      <c r="M161" s="25"/>
      <c r="N161" s="25"/>
      <c r="O161" s="79">
        <v>226.32</v>
      </c>
      <c r="P161" s="127" t="s">
        <v>3557</v>
      </c>
    </row>
    <row r="162" spans="1:16">
      <c r="A162" s="39" t="s">
        <v>3558</v>
      </c>
      <c r="B162" s="77" t="s">
        <v>3135</v>
      </c>
      <c r="C162" s="11">
        <v>8315135</v>
      </c>
      <c r="D162" s="11" t="s">
        <v>847</v>
      </c>
      <c r="E162" s="11">
        <v>2509045010</v>
      </c>
      <c r="F162" s="15">
        <v>46852</v>
      </c>
      <c r="G162" s="11" t="s">
        <v>3136</v>
      </c>
      <c r="H162" s="11">
        <v>7</v>
      </c>
      <c r="I162" s="11" t="s">
        <v>9</v>
      </c>
      <c r="J162" s="11">
        <v>28</v>
      </c>
      <c r="K162" s="11" t="s">
        <v>3287</v>
      </c>
      <c r="L162" s="26"/>
      <c r="M162" s="26"/>
      <c r="N162" s="26"/>
      <c r="O162" s="78">
        <v>145.25700000000001</v>
      </c>
      <c r="P162" s="127" t="s">
        <v>3559</v>
      </c>
    </row>
    <row r="163" spans="1:16">
      <c r="A163" s="38" t="s">
        <v>3560</v>
      </c>
      <c r="B163" s="76" t="s">
        <v>3135</v>
      </c>
      <c r="C163" s="13">
        <v>8315138</v>
      </c>
      <c r="D163" s="13" t="s">
        <v>851</v>
      </c>
      <c r="E163" s="13">
        <v>2608135060</v>
      </c>
      <c r="F163" s="16" t="s">
        <v>3459</v>
      </c>
      <c r="G163" s="13" t="s">
        <v>3136</v>
      </c>
      <c r="H163" s="13">
        <v>35</v>
      </c>
      <c r="I163" s="13" t="s">
        <v>9</v>
      </c>
      <c r="J163" s="13">
        <v>210</v>
      </c>
      <c r="K163" s="14" t="s">
        <v>3370</v>
      </c>
      <c r="L163" s="25"/>
      <c r="M163" s="25"/>
      <c r="N163" s="25"/>
      <c r="O163" s="79">
        <v>391.05500000000001</v>
      </c>
      <c r="P163" s="127" t="s">
        <v>3561</v>
      </c>
    </row>
    <row r="164" spans="1:16">
      <c r="A164" s="39" t="s">
        <v>3562</v>
      </c>
      <c r="B164" s="77" t="s">
        <v>3135</v>
      </c>
      <c r="C164" s="11">
        <v>8315140</v>
      </c>
      <c r="D164" s="11" t="s">
        <v>855</v>
      </c>
      <c r="E164" s="11">
        <v>2607245070</v>
      </c>
      <c r="F164" s="15" t="s">
        <v>3254</v>
      </c>
      <c r="G164" s="11" t="s">
        <v>3136</v>
      </c>
      <c r="H164" s="11">
        <v>14</v>
      </c>
      <c r="I164" s="11" t="s">
        <v>9</v>
      </c>
      <c r="J164" s="11">
        <v>168</v>
      </c>
      <c r="K164" s="15">
        <v>46089</v>
      </c>
      <c r="L164" s="26"/>
      <c r="M164" s="26"/>
      <c r="N164" s="26"/>
      <c r="O164" s="78">
        <v>16.632000000000001</v>
      </c>
      <c r="P164" s="127" t="s">
        <v>3563</v>
      </c>
    </row>
    <row r="165" spans="1:16">
      <c r="A165" s="38" t="s">
        <v>3564</v>
      </c>
      <c r="B165" s="76" t="s">
        <v>3135</v>
      </c>
      <c r="C165" s="13">
        <v>8315147</v>
      </c>
      <c r="D165" s="13" t="s">
        <v>863</v>
      </c>
      <c r="E165" s="13">
        <v>2607275060</v>
      </c>
      <c r="F165" s="16" t="s">
        <v>3204</v>
      </c>
      <c r="G165" s="13" t="s">
        <v>3136</v>
      </c>
      <c r="H165" s="13">
        <v>6</v>
      </c>
      <c r="I165" s="13" t="s">
        <v>9</v>
      </c>
      <c r="J165" s="13">
        <v>24</v>
      </c>
      <c r="K165" s="41">
        <v>46030</v>
      </c>
      <c r="L165" s="25"/>
      <c r="M165" s="25"/>
      <c r="N165" s="25"/>
      <c r="O165" s="79">
        <v>100.488</v>
      </c>
      <c r="P165" s="127" t="s">
        <v>3565</v>
      </c>
    </row>
    <row r="166" spans="1:16">
      <c r="A166" s="39" t="s">
        <v>3566</v>
      </c>
      <c r="B166" s="77" t="s">
        <v>3135</v>
      </c>
      <c r="C166" s="11">
        <v>8315148</v>
      </c>
      <c r="D166" s="11" t="s">
        <v>865</v>
      </c>
      <c r="E166" s="11">
        <v>2608055060</v>
      </c>
      <c r="F166" s="15">
        <v>47246</v>
      </c>
      <c r="G166" s="11" t="s">
        <v>3136</v>
      </c>
      <c r="H166" s="11">
        <v>18</v>
      </c>
      <c r="I166" s="11" t="s">
        <v>9</v>
      </c>
      <c r="J166" s="11">
        <v>72</v>
      </c>
      <c r="K166" s="15">
        <v>46334</v>
      </c>
      <c r="L166" s="26"/>
      <c r="M166" s="26"/>
      <c r="N166" s="26"/>
      <c r="O166" s="78">
        <v>301.464</v>
      </c>
      <c r="P166" s="127" t="s">
        <v>3567</v>
      </c>
    </row>
    <row r="167" spans="1:16">
      <c r="A167" s="38" t="s">
        <v>3568</v>
      </c>
      <c r="B167" s="76" t="s">
        <v>3135</v>
      </c>
      <c r="C167" s="13">
        <v>8315151</v>
      </c>
      <c r="D167" s="13" t="s">
        <v>871</v>
      </c>
      <c r="E167" s="13">
        <v>2607215060</v>
      </c>
      <c r="F167" s="16" t="s">
        <v>3569</v>
      </c>
      <c r="G167" s="13" t="s">
        <v>3136</v>
      </c>
      <c r="H167" s="13">
        <v>31</v>
      </c>
      <c r="I167" s="13" t="s">
        <v>9</v>
      </c>
      <c r="J167" s="13">
        <v>186</v>
      </c>
      <c r="K167" s="41">
        <v>46364</v>
      </c>
      <c r="L167" s="25"/>
      <c r="M167" s="25"/>
      <c r="N167" s="25"/>
      <c r="O167" s="79">
        <v>326.61599999999999</v>
      </c>
      <c r="P167" s="127" t="s">
        <v>3570</v>
      </c>
    </row>
    <row r="168" spans="1:16">
      <c r="A168" s="39" t="s">
        <v>3571</v>
      </c>
      <c r="B168" s="77" t="s">
        <v>3135</v>
      </c>
      <c r="C168" s="11">
        <v>8315154</v>
      </c>
      <c r="D168" s="11" t="s">
        <v>877</v>
      </c>
      <c r="E168" s="11">
        <v>2608125060</v>
      </c>
      <c r="F168" s="15">
        <v>47095</v>
      </c>
      <c r="G168" s="11" t="s">
        <v>3136</v>
      </c>
      <c r="H168" s="11">
        <v>22</v>
      </c>
      <c r="I168" s="11" t="s">
        <v>9</v>
      </c>
      <c r="J168" s="11">
        <v>132</v>
      </c>
      <c r="K168" s="11" t="s">
        <v>3338</v>
      </c>
      <c r="L168" s="26"/>
      <c r="M168" s="26"/>
      <c r="N168" s="26"/>
      <c r="O168" s="78">
        <v>252.45</v>
      </c>
      <c r="P168" s="127" t="s">
        <v>3572</v>
      </c>
    </row>
    <row r="169" spans="1:16">
      <c r="A169" s="38" t="s">
        <v>3573</v>
      </c>
      <c r="B169" s="76" t="s">
        <v>3135</v>
      </c>
      <c r="C169" s="13">
        <v>8316003</v>
      </c>
      <c r="D169" s="13" t="s">
        <v>885</v>
      </c>
      <c r="E169" s="13">
        <v>2607025060</v>
      </c>
      <c r="F169" s="16">
        <v>47156</v>
      </c>
      <c r="G169" s="13" t="s">
        <v>3136</v>
      </c>
      <c r="H169" s="13">
        <v>22</v>
      </c>
      <c r="I169" s="13" t="s">
        <v>9</v>
      </c>
      <c r="J169" s="13">
        <v>264</v>
      </c>
      <c r="K169" s="14" t="s">
        <v>3361</v>
      </c>
      <c r="L169" s="25"/>
      <c r="M169" s="25"/>
      <c r="N169" s="25"/>
      <c r="O169" s="79">
        <v>254.54</v>
      </c>
      <c r="P169" s="127" t="s">
        <v>3574</v>
      </c>
    </row>
    <row r="170" spans="1:16">
      <c r="A170" s="39" t="s">
        <v>3575</v>
      </c>
      <c r="B170" s="77" t="s">
        <v>3135</v>
      </c>
      <c r="C170" s="11">
        <v>8316012</v>
      </c>
      <c r="D170" s="11" t="s">
        <v>891</v>
      </c>
      <c r="E170" s="11">
        <v>2608035060</v>
      </c>
      <c r="F170" s="15">
        <v>47185</v>
      </c>
      <c r="G170" s="11" t="s">
        <v>3136</v>
      </c>
      <c r="H170" s="11">
        <v>8</v>
      </c>
      <c r="I170" s="11" t="s">
        <v>9</v>
      </c>
      <c r="J170" s="11">
        <v>96</v>
      </c>
      <c r="K170" s="15">
        <v>46181</v>
      </c>
      <c r="L170" s="26"/>
      <c r="M170" s="26"/>
      <c r="N170" s="26"/>
      <c r="O170" s="78">
        <v>92.56</v>
      </c>
      <c r="P170" s="127" t="s">
        <v>3576</v>
      </c>
    </row>
    <row r="171" spans="1:16">
      <c r="A171" s="38" t="s">
        <v>3577</v>
      </c>
      <c r="B171" s="76" t="s">
        <v>3135</v>
      </c>
      <c r="C171" s="13">
        <v>8316017</v>
      </c>
      <c r="D171" s="13" t="s">
        <v>897</v>
      </c>
      <c r="E171" s="13">
        <v>2608115060</v>
      </c>
      <c r="F171" s="16">
        <v>47430</v>
      </c>
      <c r="G171" s="13" t="s">
        <v>3136</v>
      </c>
      <c r="H171" s="13">
        <v>8</v>
      </c>
      <c r="I171" s="13" t="s">
        <v>9</v>
      </c>
      <c r="J171" s="13">
        <v>48</v>
      </c>
      <c r="K171" s="14" t="s">
        <v>3440</v>
      </c>
      <c r="L171" s="25"/>
      <c r="M171" s="25"/>
      <c r="N171" s="25"/>
      <c r="O171" s="79">
        <v>91.072000000000003</v>
      </c>
      <c r="P171" s="127" t="s">
        <v>3578</v>
      </c>
    </row>
    <row r="172" spans="1:16">
      <c r="A172" s="39" t="s">
        <v>3579</v>
      </c>
      <c r="B172" s="77" t="s">
        <v>3135</v>
      </c>
      <c r="C172" s="11">
        <v>8316018</v>
      </c>
      <c r="D172" s="11" t="s">
        <v>899</v>
      </c>
      <c r="E172" s="11">
        <v>2608075060</v>
      </c>
      <c r="F172" s="15">
        <v>47307</v>
      </c>
      <c r="G172" s="11" t="s">
        <v>3136</v>
      </c>
      <c r="H172" s="11">
        <v>43</v>
      </c>
      <c r="I172" s="11" t="s">
        <v>9</v>
      </c>
      <c r="J172" s="11">
        <v>258</v>
      </c>
      <c r="K172" s="15">
        <v>46364</v>
      </c>
      <c r="L172" s="26"/>
      <c r="M172" s="26"/>
      <c r="N172" s="26"/>
      <c r="O172" s="78">
        <v>490.45800000000003</v>
      </c>
      <c r="P172" s="127" t="s">
        <v>3580</v>
      </c>
    </row>
    <row r="173" spans="1:16">
      <c r="A173" s="38" t="s">
        <v>3581</v>
      </c>
      <c r="B173" s="76" t="s">
        <v>3135</v>
      </c>
      <c r="C173" s="13">
        <v>8316019</v>
      </c>
      <c r="D173" s="13" t="s">
        <v>901</v>
      </c>
      <c r="E173" s="13">
        <v>2510105010</v>
      </c>
      <c r="F173" s="16">
        <v>47036</v>
      </c>
      <c r="G173" s="13" t="s">
        <v>3136</v>
      </c>
      <c r="H173" s="13">
        <v>16</v>
      </c>
      <c r="I173" s="13" t="s">
        <v>9</v>
      </c>
      <c r="J173" s="13">
        <v>64</v>
      </c>
      <c r="K173" s="14" t="s">
        <v>3287</v>
      </c>
      <c r="L173" s="25"/>
      <c r="M173" s="25"/>
      <c r="N173" s="25"/>
      <c r="O173" s="79">
        <v>263.31200000000001</v>
      </c>
      <c r="P173" s="127" t="s">
        <v>3582</v>
      </c>
    </row>
    <row r="174" spans="1:16">
      <c r="A174" s="39" t="s">
        <v>3583</v>
      </c>
      <c r="B174" s="77" t="s">
        <v>3135</v>
      </c>
      <c r="C174" s="11">
        <v>8316026</v>
      </c>
      <c r="D174" s="11" t="s">
        <v>909</v>
      </c>
      <c r="E174" s="11">
        <v>2608285060</v>
      </c>
      <c r="F174" s="15" t="s">
        <v>3584</v>
      </c>
      <c r="G174" s="11" t="s">
        <v>3136</v>
      </c>
      <c r="H174" s="11">
        <v>30</v>
      </c>
      <c r="I174" s="11" t="s">
        <v>9</v>
      </c>
      <c r="J174" s="11">
        <v>360</v>
      </c>
      <c r="K174" s="11" t="s">
        <v>3585</v>
      </c>
      <c r="L174" s="26"/>
      <c r="M174" s="26"/>
      <c r="N174" s="26"/>
      <c r="O174" s="78">
        <v>431.79</v>
      </c>
      <c r="P174" s="127" t="s">
        <v>3586</v>
      </c>
    </row>
    <row r="175" spans="1:16">
      <c r="A175" s="38" t="s">
        <v>3587</v>
      </c>
      <c r="B175" s="76" t="s">
        <v>3135</v>
      </c>
      <c r="C175" s="13">
        <v>8316030</v>
      </c>
      <c r="D175" s="13" t="s">
        <v>913</v>
      </c>
      <c r="E175" s="13">
        <v>2607145060</v>
      </c>
      <c r="F175" s="16" t="s">
        <v>3299</v>
      </c>
      <c r="G175" s="13" t="s">
        <v>3136</v>
      </c>
      <c r="H175" s="13">
        <v>48</v>
      </c>
      <c r="I175" s="13" t="s">
        <v>9</v>
      </c>
      <c r="J175" s="13">
        <v>576</v>
      </c>
      <c r="K175" s="14" t="s">
        <v>3287</v>
      </c>
      <c r="L175" s="25"/>
      <c r="M175" s="25"/>
      <c r="N175" s="25"/>
      <c r="O175" s="79">
        <v>344.16</v>
      </c>
      <c r="P175" s="127" t="s">
        <v>3588</v>
      </c>
    </row>
    <row r="176" spans="1:16">
      <c r="A176" s="39" t="s">
        <v>3589</v>
      </c>
      <c r="B176" s="77" t="s">
        <v>3135</v>
      </c>
      <c r="C176" s="11">
        <v>8316031</v>
      </c>
      <c r="D176" s="11" t="s">
        <v>915</v>
      </c>
      <c r="E176" s="11">
        <v>2608075070</v>
      </c>
      <c r="F176" s="15">
        <v>47307</v>
      </c>
      <c r="G176" s="11" t="s">
        <v>3136</v>
      </c>
      <c r="H176" s="11">
        <v>5</v>
      </c>
      <c r="I176" s="11" t="s">
        <v>9</v>
      </c>
      <c r="J176" s="11">
        <v>60</v>
      </c>
      <c r="K176" s="15">
        <v>46334</v>
      </c>
      <c r="L176" s="26"/>
      <c r="M176" s="26"/>
      <c r="N176" s="26"/>
      <c r="O176" s="78">
        <v>65.28</v>
      </c>
      <c r="P176" s="127" t="s">
        <v>3590</v>
      </c>
    </row>
    <row r="177" spans="1:16">
      <c r="A177" s="38" t="s">
        <v>3591</v>
      </c>
      <c r="B177" s="76" t="s">
        <v>3135</v>
      </c>
      <c r="C177" s="13">
        <v>8316032</v>
      </c>
      <c r="D177" s="13" t="s">
        <v>917</v>
      </c>
      <c r="E177" s="13">
        <v>2608175070</v>
      </c>
      <c r="F177" s="16" t="s">
        <v>3188</v>
      </c>
      <c r="G177" s="13" t="s">
        <v>3136</v>
      </c>
      <c r="H177" s="13">
        <v>10</v>
      </c>
      <c r="I177" s="13" t="s">
        <v>9</v>
      </c>
      <c r="J177" s="13">
        <v>60</v>
      </c>
      <c r="K177" s="14" t="s">
        <v>3328</v>
      </c>
      <c r="L177" s="25"/>
      <c r="M177" s="25"/>
      <c r="N177" s="25"/>
      <c r="O177" s="79">
        <v>126.08</v>
      </c>
      <c r="P177" s="127" t="s">
        <v>3592</v>
      </c>
    </row>
    <row r="178" spans="1:16">
      <c r="A178" s="39" t="s">
        <v>3593</v>
      </c>
      <c r="B178" s="77" t="s">
        <v>3135</v>
      </c>
      <c r="C178" s="11">
        <v>8316035</v>
      </c>
      <c r="D178" s="11" t="s">
        <v>923</v>
      </c>
      <c r="E178" s="11">
        <v>2608145030</v>
      </c>
      <c r="F178" s="15" t="s">
        <v>3184</v>
      </c>
      <c r="G178" s="11" t="s">
        <v>3136</v>
      </c>
      <c r="H178" s="11">
        <v>34</v>
      </c>
      <c r="I178" s="11" t="s">
        <v>9</v>
      </c>
      <c r="J178" s="11">
        <v>816</v>
      </c>
      <c r="K178" s="11" t="s">
        <v>3304</v>
      </c>
      <c r="L178" s="26"/>
      <c r="M178" s="26"/>
      <c r="N178" s="26"/>
      <c r="O178" s="78">
        <v>394.84199999999998</v>
      </c>
      <c r="P178" s="127" t="s">
        <v>3594</v>
      </c>
    </row>
    <row r="179" spans="1:16">
      <c r="A179" s="38" t="s">
        <v>3595</v>
      </c>
      <c r="B179" s="76" t="s">
        <v>3135</v>
      </c>
      <c r="C179" s="13">
        <v>8316036</v>
      </c>
      <c r="D179" s="13" t="s">
        <v>925</v>
      </c>
      <c r="E179" s="13">
        <v>2604255060</v>
      </c>
      <c r="F179" s="16" t="s">
        <v>3596</v>
      </c>
      <c r="G179" s="13" t="s">
        <v>3136</v>
      </c>
      <c r="H179" s="13">
        <v>24</v>
      </c>
      <c r="I179" s="13" t="s">
        <v>9</v>
      </c>
      <c r="J179" s="13">
        <v>288</v>
      </c>
      <c r="K179" s="14" t="s">
        <v>3328</v>
      </c>
      <c r="L179" s="25"/>
      <c r="M179" s="25"/>
      <c r="N179" s="25"/>
      <c r="O179" s="79">
        <v>232.8</v>
      </c>
      <c r="P179" s="127" t="s">
        <v>3597</v>
      </c>
    </row>
    <row r="180" spans="1:16">
      <c r="A180" s="39" t="s">
        <v>3598</v>
      </c>
      <c r="B180" s="77" t="s">
        <v>3135</v>
      </c>
      <c r="C180" s="11">
        <v>8316038</v>
      </c>
      <c r="D180" s="11" t="s">
        <v>929</v>
      </c>
      <c r="E180" s="11">
        <v>2608105030</v>
      </c>
      <c r="F180" s="15">
        <v>47399</v>
      </c>
      <c r="G180" s="11" t="s">
        <v>3136</v>
      </c>
      <c r="H180" s="11">
        <v>104</v>
      </c>
      <c r="I180" s="11" t="s">
        <v>9</v>
      </c>
      <c r="J180" s="17">
        <v>1248</v>
      </c>
      <c r="K180" s="11" t="s">
        <v>3353</v>
      </c>
      <c r="L180" s="26"/>
      <c r="M180" s="26"/>
      <c r="N180" s="26"/>
      <c r="O180" s="78">
        <v>626.49599999999998</v>
      </c>
      <c r="P180" s="127" t="s">
        <v>3599</v>
      </c>
    </row>
    <row r="181" spans="1:16">
      <c r="A181" s="38" t="s">
        <v>3600</v>
      </c>
      <c r="B181" s="76" t="s">
        <v>3135</v>
      </c>
      <c r="C181" s="13">
        <v>8316107</v>
      </c>
      <c r="D181" s="13" t="s">
        <v>947</v>
      </c>
      <c r="E181" s="13">
        <v>2604075060</v>
      </c>
      <c r="F181" s="16">
        <v>46938</v>
      </c>
      <c r="G181" s="13" t="s">
        <v>3136</v>
      </c>
      <c r="H181" s="13">
        <v>2</v>
      </c>
      <c r="I181" s="13" t="s">
        <v>9</v>
      </c>
      <c r="J181" s="13">
        <v>8</v>
      </c>
      <c r="K181" s="14" t="s">
        <v>3287</v>
      </c>
      <c r="L181" s="25"/>
      <c r="M181" s="25"/>
      <c r="N181" s="25"/>
      <c r="O181" s="79">
        <v>41.973999999999997</v>
      </c>
      <c r="P181" s="127" t="s">
        <v>3601</v>
      </c>
    </row>
    <row r="182" spans="1:16">
      <c r="A182" s="39" t="s">
        <v>3602</v>
      </c>
      <c r="B182" s="77" t="s">
        <v>3135</v>
      </c>
      <c r="C182" s="11">
        <v>8316108</v>
      </c>
      <c r="D182" s="11" t="s">
        <v>949</v>
      </c>
      <c r="E182" s="11">
        <v>2507175010</v>
      </c>
      <c r="F182" s="15" t="s">
        <v>3603</v>
      </c>
      <c r="G182" s="11" t="s">
        <v>3136</v>
      </c>
      <c r="H182" s="11">
        <v>19</v>
      </c>
      <c r="I182" s="11" t="s">
        <v>9</v>
      </c>
      <c r="J182" s="11">
        <v>76</v>
      </c>
      <c r="K182" s="11" t="s">
        <v>3287</v>
      </c>
      <c r="L182" s="26"/>
      <c r="M182" s="26"/>
      <c r="N182" s="26"/>
      <c r="O182" s="78">
        <v>398.84800000000001</v>
      </c>
      <c r="P182" s="127" t="s">
        <v>3604</v>
      </c>
    </row>
    <row r="183" spans="1:16">
      <c r="A183" s="38" t="s">
        <v>3605</v>
      </c>
      <c r="B183" s="76" t="s">
        <v>3135</v>
      </c>
      <c r="C183" s="13">
        <v>8316111</v>
      </c>
      <c r="D183" s="13" t="s">
        <v>951</v>
      </c>
      <c r="E183" s="13">
        <v>2605125060</v>
      </c>
      <c r="F183" s="16">
        <v>47092</v>
      </c>
      <c r="G183" s="13" t="s">
        <v>3136</v>
      </c>
      <c r="H183" s="13">
        <v>1</v>
      </c>
      <c r="I183" s="13" t="s">
        <v>9</v>
      </c>
      <c r="J183" s="13">
        <v>4</v>
      </c>
      <c r="K183" s="14" t="s">
        <v>3287</v>
      </c>
      <c r="L183" s="25"/>
      <c r="M183" s="25"/>
      <c r="N183" s="25"/>
      <c r="O183" s="79">
        <v>16.827999999999999</v>
      </c>
      <c r="P183" s="127" t="s">
        <v>3606</v>
      </c>
    </row>
    <row r="184" spans="1:16">
      <c r="A184" s="39" t="s">
        <v>3607</v>
      </c>
      <c r="B184" s="77" t="s">
        <v>3135</v>
      </c>
      <c r="C184" s="11">
        <v>8317002</v>
      </c>
      <c r="D184" s="11" t="s">
        <v>953</v>
      </c>
      <c r="E184" s="11">
        <v>2607315060</v>
      </c>
      <c r="F184" s="15" t="s">
        <v>3477</v>
      </c>
      <c r="G184" s="11" t="s">
        <v>3136</v>
      </c>
      <c r="H184" s="11">
        <v>60</v>
      </c>
      <c r="I184" s="11" t="s">
        <v>9</v>
      </c>
      <c r="J184" s="11">
        <v>720</v>
      </c>
      <c r="K184" s="11" t="s">
        <v>3440</v>
      </c>
      <c r="L184" s="26"/>
      <c r="M184" s="26"/>
      <c r="N184" s="26"/>
      <c r="O184" s="78">
        <v>696.48</v>
      </c>
      <c r="P184" s="127" t="s">
        <v>3608</v>
      </c>
    </row>
    <row r="185" spans="1:16">
      <c r="A185" s="38" t="s">
        <v>3609</v>
      </c>
      <c r="B185" s="76" t="s">
        <v>3135</v>
      </c>
      <c r="C185" s="13">
        <v>8317014</v>
      </c>
      <c r="D185" s="13" t="s">
        <v>967</v>
      </c>
      <c r="E185" s="13">
        <v>2608145060</v>
      </c>
      <c r="F185" s="16" t="s">
        <v>3184</v>
      </c>
      <c r="G185" s="13" t="s">
        <v>3136</v>
      </c>
      <c r="H185" s="13">
        <v>1</v>
      </c>
      <c r="I185" s="13" t="s">
        <v>9</v>
      </c>
      <c r="J185" s="13">
        <v>12</v>
      </c>
      <c r="K185" s="14" t="s">
        <v>3367</v>
      </c>
      <c r="L185" s="25"/>
      <c r="M185" s="25"/>
      <c r="N185" s="25"/>
      <c r="O185" s="79">
        <v>11.56</v>
      </c>
      <c r="P185" s="127" t="s">
        <v>3610</v>
      </c>
    </row>
    <row r="186" spans="1:16">
      <c r="A186" s="39" t="s">
        <v>3611</v>
      </c>
      <c r="B186" s="77" t="s">
        <v>3135</v>
      </c>
      <c r="C186" s="11">
        <v>8317016</v>
      </c>
      <c r="D186" s="11" t="s">
        <v>969</v>
      </c>
      <c r="E186" s="11">
        <v>2608035060</v>
      </c>
      <c r="F186" s="15">
        <v>47185</v>
      </c>
      <c r="G186" s="11" t="s">
        <v>3136</v>
      </c>
      <c r="H186" s="11">
        <v>60</v>
      </c>
      <c r="I186" s="11" t="s">
        <v>9</v>
      </c>
      <c r="J186" s="11">
        <v>720</v>
      </c>
      <c r="K186" s="15">
        <v>46334</v>
      </c>
      <c r="L186" s="26"/>
      <c r="M186" s="26"/>
      <c r="N186" s="26"/>
      <c r="O186" s="78">
        <v>694.74</v>
      </c>
      <c r="P186" s="127" t="s">
        <v>3612</v>
      </c>
    </row>
    <row r="187" spans="1:16">
      <c r="A187" s="38" t="s">
        <v>3613</v>
      </c>
      <c r="B187" s="76" t="s">
        <v>3135</v>
      </c>
      <c r="C187" s="13">
        <v>8317018</v>
      </c>
      <c r="D187" s="13" t="s">
        <v>973</v>
      </c>
      <c r="E187" s="13">
        <v>2608205060</v>
      </c>
      <c r="F187" s="16" t="s">
        <v>3192</v>
      </c>
      <c r="G187" s="13" t="s">
        <v>3136</v>
      </c>
      <c r="H187" s="13">
        <v>56</v>
      </c>
      <c r="I187" s="13" t="s">
        <v>9</v>
      </c>
      <c r="J187" s="13">
        <v>672</v>
      </c>
      <c r="K187" s="14" t="s">
        <v>3396</v>
      </c>
      <c r="L187" s="25"/>
      <c r="M187" s="25"/>
      <c r="N187" s="25"/>
      <c r="O187" s="79">
        <v>647.13599999999997</v>
      </c>
      <c r="P187" s="127" t="s">
        <v>3614</v>
      </c>
    </row>
    <row r="188" spans="1:16">
      <c r="A188" s="39" t="s">
        <v>3615</v>
      </c>
      <c r="B188" s="77" t="s">
        <v>3135</v>
      </c>
      <c r="C188" s="11">
        <v>8317019</v>
      </c>
      <c r="D188" s="11" t="s">
        <v>975</v>
      </c>
      <c r="E188" s="11">
        <v>2607255060</v>
      </c>
      <c r="F188" s="15" t="s">
        <v>3616</v>
      </c>
      <c r="G188" s="11" t="s">
        <v>3136</v>
      </c>
      <c r="H188" s="11">
        <v>60</v>
      </c>
      <c r="I188" s="11" t="s">
        <v>9</v>
      </c>
      <c r="J188" s="11">
        <v>720</v>
      </c>
      <c r="K188" s="15">
        <v>46061</v>
      </c>
      <c r="L188" s="26"/>
      <c r="M188" s="26"/>
      <c r="N188" s="26"/>
      <c r="O188" s="78">
        <v>698.22</v>
      </c>
      <c r="P188" s="127" t="s">
        <v>3617</v>
      </c>
    </row>
    <row r="189" spans="1:16">
      <c r="A189" s="38" t="s">
        <v>3618</v>
      </c>
      <c r="B189" s="76" t="s">
        <v>3135</v>
      </c>
      <c r="C189" s="13">
        <v>8317019</v>
      </c>
      <c r="D189" s="13" t="s">
        <v>975</v>
      </c>
      <c r="E189" s="13">
        <v>2607255060</v>
      </c>
      <c r="F189" s="16" t="s">
        <v>3616</v>
      </c>
      <c r="G189" s="13" t="s">
        <v>3136</v>
      </c>
      <c r="H189" s="13">
        <v>17</v>
      </c>
      <c r="I189" s="13" t="s">
        <v>9</v>
      </c>
      <c r="J189" s="13">
        <v>204</v>
      </c>
      <c r="K189" s="14" t="s">
        <v>3313</v>
      </c>
      <c r="L189" s="25"/>
      <c r="M189" s="25"/>
      <c r="N189" s="25"/>
      <c r="O189" s="79">
        <v>197.82900000000001</v>
      </c>
      <c r="P189" s="127" t="s">
        <v>3619</v>
      </c>
    </row>
    <row r="190" spans="1:16">
      <c r="A190" s="39" t="s">
        <v>3620</v>
      </c>
      <c r="B190" s="77" t="s">
        <v>3135</v>
      </c>
      <c r="C190" s="11">
        <v>8317021</v>
      </c>
      <c r="D190" s="11" t="s">
        <v>979</v>
      </c>
      <c r="E190" s="11">
        <v>2608195060</v>
      </c>
      <c r="F190" s="15" t="s">
        <v>3447</v>
      </c>
      <c r="G190" s="11" t="s">
        <v>3136</v>
      </c>
      <c r="H190" s="11">
        <v>48</v>
      </c>
      <c r="I190" s="11" t="s">
        <v>9</v>
      </c>
      <c r="J190" s="11">
        <v>576</v>
      </c>
      <c r="K190" s="11" t="s">
        <v>3328</v>
      </c>
      <c r="L190" s="26"/>
      <c r="M190" s="26"/>
      <c r="N190" s="26"/>
      <c r="O190" s="78">
        <v>556.55999999999995</v>
      </c>
      <c r="P190" s="127" t="s">
        <v>3621</v>
      </c>
    </row>
    <row r="191" spans="1:16">
      <c r="A191" s="38" t="s">
        <v>3622</v>
      </c>
      <c r="B191" s="76" t="s">
        <v>3135</v>
      </c>
      <c r="C191" s="13">
        <v>8317021</v>
      </c>
      <c r="D191" s="13" t="s">
        <v>979</v>
      </c>
      <c r="E191" s="13">
        <v>2608195060</v>
      </c>
      <c r="F191" s="16" t="s">
        <v>3447</v>
      </c>
      <c r="G191" s="13" t="s">
        <v>3136</v>
      </c>
      <c r="H191" s="13">
        <v>60</v>
      </c>
      <c r="I191" s="13" t="s">
        <v>9</v>
      </c>
      <c r="J191" s="13">
        <v>720</v>
      </c>
      <c r="K191" s="14" t="s">
        <v>3328</v>
      </c>
      <c r="L191" s="25"/>
      <c r="M191" s="25"/>
      <c r="N191" s="25"/>
      <c r="O191" s="79">
        <v>695.7</v>
      </c>
      <c r="P191" s="127" t="s">
        <v>3623</v>
      </c>
    </row>
    <row r="192" spans="1:16">
      <c r="A192" s="39" t="s">
        <v>3624</v>
      </c>
      <c r="B192" s="77" t="s">
        <v>3135</v>
      </c>
      <c r="C192" s="11">
        <v>8317027</v>
      </c>
      <c r="D192" s="11" t="s">
        <v>989</v>
      </c>
      <c r="E192" s="11">
        <v>2608045060</v>
      </c>
      <c r="F192" s="15">
        <v>47216</v>
      </c>
      <c r="G192" s="11" t="s">
        <v>3136</v>
      </c>
      <c r="H192" s="11">
        <v>42</v>
      </c>
      <c r="I192" s="11" t="s">
        <v>9</v>
      </c>
      <c r="J192" s="11">
        <v>252</v>
      </c>
      <c r="K192" s="15">
        <v>46181</v>
      </c>
      <c r="L192" s="26"/>
      <c r="M192" s="26"/>
      <c r="N192" s="26"/>
      <c r="O192" s="78">
        <v>491.61</v>
      </c>
      <c r="P192" s="127" t="s">
        <v>3625</v>
      </c>
    </row>
    <row r="193" spans="1:16">
      <c r="A193" s="38" t="s">
        <v>3626</v>
      </c>
      <c r="B193" s="76" t="s">
        <v>3135</v>
      </c>
      <c r="C193" s="13">
        <v>8317028</v>
      </c>
      <c r="D193" s="13" t="s">
        <v>991</v>
      </c>
      <c r="E193" s="13">
        <v>2608145060</v>
      </c>
      <c r="F193" s="16" t="s">
        <v>3184</v>
      </c>
      <c r="G193" s="13" t="s">
        <v>3136</v>
      </c>
      <c r="H193" s="13">
        <v>18</v>
      </c>
      <c r="I193" s="13" t="s">
        <v>9</v>
      </c>
      <c r="J193" s="13">
        <v>108</v>
      </c>
      <c r="K193" s="14" t="s">
        <v>3396</v>
      </c>
      <c r="L193" s="25"/>
      <c r="M193" s="25"/>
      <c r="N193" s="25"/>
      <c r="O193" s="79">
        <v>210.078</v>
      </c>
      <c r="P193" s="127" t="s">
        <v>3627</v>
      </c>
    </row>
    <row r="194" spans="1:16">
      <c r="A194" s="39" t="s">
        <v>3628</v>
      </c>
      <c r="B194" s="77" t="s">
        <v>3135</v>
      </c>
      <c r="C194" s="11">
        <v>8317029</v>
      </c>
      <c r="D194" s="11" t="s">
        <v>993</v>
      </c>
      <c r="E194" s="11">
        <v>2608055060</v>
      </c>
      <c r="F194" s="15">
        <v>47246</v>
      </c>
      <c r="G194" s="11" t="s">
        <v>3136</v>
      </c>
      <c r="H194" s="11">
        <v>39</v>
      </c>
      <c r="I194" s="11" t="s">
        <v>9</v>
      </c>
      <c r="J194" s="11">
        <v>234</v>
      </c>
      <c r="K194" s="15">
        <v>46211</v>
      </c>
      <c r="L194" s="26"/>
      <c r="M194" s="26"/>
      <c r="N194" s="26"/>
      <c r="O194" s="78">
        <v>447.17399999999998</v>
      </c>
      <c r="P194" s="127" t="s">
        <v>3629</v>
      </c>
    </row>
    <row r="195" spans="1:16">
      <c r="A195" s="38" t="s">
        <v>3630</v>
      </c>
      <c r="B195" s="76" t="s">
        <v>3135</v>
      </c>
      <c r="C195" s="13">
        <v>8317046</v>
      </c>
      <c r="D195" s="13" t="s">
        <v>1011</v>
      </c>
      <c r="E195" s="13">
        <v>2608105060</v>
      </c>
      <c r="F195" s="16">
        <v>47399</v>
      </c>
      <c r="G195" s="13" t="s">
        <v>3136</v>
      </c>
      <c r="H195" s="13">
        <v>36</v>
      </c>
      <c r="I195" s="13" t="s">
        <v>9</v>
      </c>
      <c r="J195" s="13">
        <v>540</v>
      </c>
      <c r="K195" s="41">
        <v>46364</v>
      </c>
      <c r="L195" s="25"/>
      <c r="M195" s="25"/>
      <c r="N195" s="25"/>
      <c r="O195" s="79">
        <v>371.01600000000002</v>
      </c>
      <c r="P195" s="127" t="s">
        <v>3631</v>
      </c>
    </row>
    <row r="196" spans="1:16">
      <c r="A196" s="39" t="s">
        <v>3632</v>
      </c>
      <c r="B196" s="77" t="s">
        <v>3135</v>
      </c>
      <c r="C196" s="11">
        <v>8317047</v>
      </c>
      <c r="D196" s="11" t="s">
        <v>1013</v>
      </c>
      <c r="E196" s="11">
        <v>2608115060</v>
      </c>
      <c r="F196" s="15">
        <v>47430</v>
      </c>
      <c r="G196" s="11" t="s">
        <v>3136</v>
      </c>
      <c r="H196" s="11">
        <v>1</v>
      </c>
      <c r="I196" s="11" t="s">
        <v>9</v>
      </c>
      <c r="J196" s="11">
        <v>15</v>
      </c>
      <c r="K196" s="11" t="s">
        <v>3338</v>
      </c>
      <c r="L196" s="26"/>
      <c r="M196" s="26"/>
      <c r="N196" s="26"/>
      <c r="O196" s="78">
        <v>10.305999999999999</v>
      </c>
      <c r="P196" s="127" t="s">
        <v>3633</v>
      </c>
    </row>
    <row r="197" spans="1:16">
      <c r="A197" s="38" t="s">
        <v>3634</v>
      </c>
      <c r="B197" s="76" t="s">
        <v>3135</v>
      </c>
      <c r="C197" s="13">
        <v>8317048</v>
      </c>
      <c r="D197" s="13" t="s">
        <v>1015</v>
      </c>
      <c r="E197" s="13">
        <v>2608085060</v>
      </c>
      <c r="F197" s="16">
        <v>47338</v>
      </c>
      <c r="G197" s="13" t="s">
        <v>3136</v>
      </c>
      <c r="H197" s="13">
        <v>32</v>
      </c>
      <c r="I197" s="13" t="s">
        <v>9</v>
      </c>
      <c r="J197" s="13">
        <v>480</v>
      </c>
      <c r="K197" s="41">
        <v>46334</v>
      </c>
      <c r="L197" s="25"/>
      <c r="M197" s="25"/>
      <c r="N197" s="25"/>
      <c r="O197" s="79">
        <v>329.79199999999997</v>
      </c>
      <c r="P197" s="127" t="s">
        <v>3635</v>
      </c>
    </row>
    <row r="198" spans="1:16">
      <c r="A198" s="39" t="s">
        <v>3636</v>
      </c>
      <c r="B198" s="77" t="s">
        <v>3135</v>
      </c>
      <c r="C198" s="11">
        <v>8317093</v>
      </c>
      <c r="D198" s="11" t="s">
        <v>1019</v>
      </c>
      <c r="E198" s="11">
        <v>2608045060</v>
      </c>
      <c r="F198" s="15">
        <v>47216</v>
      </c>
      <c r="G198" s="11" t="s">
        <v>3136</v>
      </c>
      <c r="H198" s="11">
        <v>3</v>
      </c>
      <c r="I198" s="11" t="s">
        <v>9</v>
      </c>
      <c r="J198" s="11">
        <v>18</v>
      </c>
      <c r="K198" s="15">
        <v>46181</v>
      </c>
      <c r="L198" s="26"/>
      <c r="M198" s="26"/>
      <c r="N198" s="26"/>
      <c r="O198" s="78">
        <v>34.26</v>
      </c>
      <c r="P198" s="127" t="s">
        <v>3637</v>
      </c>
    </row>
    <row r="199" spans="1:16">
      <c r="A199" s="38" t="s">
        <v>3638</v>
      </c>
      <c r="B199" s="76" t="s">
        <v>3135</v>
      </c>
      <c r="C199" s="13">
        <v>8317103</v>
      </c>
      <c r="D199" s="13" t="s">
        <v>1023</v>
      </c>
      <c r="E199" s="13">
        <v>2607315060</v>
      </c>
      <c r="F199" s="16" t="s">
        <v>3477</v>
      </c>
      <c r="G199" s="13" t="s">
        <v>3136</v>
      </c>
      <c r="H199" s="13">
        <v>55</v>
      </c>
      <c r="I199" s="13" t="s">
        <v>9</v>
      </c>
      <c r="J199" s="13">
        <v>660</v>
      </c>
      <c r="K199" s="41">
        <v>46089</v>
      </c>
      <c r="L199" s="25"/>
      <c r="M199" s="25"/>
      <c r="N199" s="25"/>
      <c r="O199" s="79">
        <v>625.73500000000001</v>
      </c>
      <c r="P199" s="127" t="s">
        <v>3639</v>
      </c>
    </row>
    <row r="200" spans="1:16">
      <c r="A200" s="39" t="s">
        <v>3640</v>
      </c>
      <c r="B200" s="77" t="s">
        <v>3135</v>
      </c>
      <c r="C200" s="11">
        <v>8317104</v>
      </c>
      <c r="D200" s="11" t="s">
        <v>1025</v>
      </c>
      <c r="E200" s="11">
        <v>2608075060</v>
      </c>
      <c r="F200" s="15">
        <v>47307</v>
      </c>
      <c r="G200" s="11" t="s">
        <v>3136</v>
      </c>
      <c r="H200" s="11">
        <v>18</v>
      </c>
      <c r="I200" s="11" t="s">
        <v>9</v>
      </c>
      <c r="J200" s="11">
        <v>216</v>
      </c>
      <c r="K200" s="15">
        <v>46334</v>
      </c>
      <c r="L200" s="26"/>
      <c r="M200" s="26"/>
      <c r="N200" s="26"/>
      <c r="O200" s="78">
        <v>204.786</v>
      </c>
      <c r="P200" s="127" t="s">
        <v>3641</v>
      </c>
    </row>
    <row r="201" spans="1:16">
      <c r="A201" s="38" t="s">
        <v>3642</v>
      </c>
      <c r="B201" s="76" t="s">
        <v>3135</v>
      </c>
      <c r="C201" s="13">
        <v>8317105</v>
      </c>
      <c r="D201" s="13" t="s">
        <v>1027</v>
      </c>
      <c r="E201" s="13">
        <v>2606165060</v>
      </c>
      <c r="F201" s="16" t="s">
        <v>3356</v>
      </c>
      <c r="G201" s="13" t="s">
        <v>3136</v>
      </c>
      <c r="H201" s="13">
        <v>29</v>
      </c>
      <c r="I201" s="13" t="s">
        <v>9</v>
      </c>
      <c r="J201" s="13">
        <v>348</v>
      </c>
      <c r="K201" s="14" t="s">
        <v>3287</v>
      </c>
      <c r="L201" s="25"/>
      <c r="M201" s="25"/>
      <c r="N201" s="25"/>
      <c r="O201" s="79">
        <v>336.34199999999998</v>
      </c>
      <c r="P201" s="127" t="s">
        <v>3643</v>
      </c>
    </row>
    <row r="202" spans="1:16">
      <c r="A202" s="39" t="s">
        <v>3644</v>
      </c>
      <c r="B202" s="77" t="s">
        <v>3135</v>
      </c>
      <c r="C202" s="11">
        <v>8317113</v>
      </c>
      <c r="D202" s="11" t="s">
        <v>1041</v>
      </c>
      <c r="E202" s="11">
        <v>2608065060</v>
      </c>
      <c r="F202" s="15">
        <v>47277</v>
      </c>
      <c r="G202" s="11" t="s">
        <v>3136</v>
      </c>
      <c r="H202" s="11">
        <v>27</v>
      </c>
      <c r="I202" s="11" t="s">
        <v>9</v>
      </c>
      <c r="J202" s="11">
        <v>324</v>
      </c>
      <c r="K202" s="15">
        <v>46242</v>
      </c>
      <c r="L202" s="26"/>
      <c r="M202" s="26"/>
      <c r="N202" s="26"/>
      <c r="O202" s="78">
        <v>307.17899999999997</v>
      </c>
      <c r="P202" s="127" t="s">
        <v>3645</v>
      </c>
    </row>
    <row r="203" spans="1:16">
      <c r="A203" s="38" t="s">
        <v>3646</v>
      </c>
      <c r="B203" s="76" t="s">
        <v>3135</v>
      </c>
      <c r="C203" s="13">
        <v>8317150</v>
      </c>
      <c r="D203" s="13" t="s">
        <v>1065</v>
      </c>
      <c r="E203" s="13">
        <v>2608055060</v>
      </c>
      <c r="F203" s="16">
        <v>47246</v>
      </c>
      <c r="G203" s="13" t="s">
        <v>3136</v>
      </c>
      <c r="H203" s="13">
        <v>22</v>
      </c>
      <c r="I203" s="13" t="s">
        <v>9</v>
      </c>
      <c r="J203" s="13">
        <v>264</v>
      </c>
      <c r="K203" s="41">
        <v>46334</v>
      </c>
      <c r="L203" s="25"/>
      <c r="M203" s="25"/>
      <c r="N203" s="25"/>
      <c r="O203" s="79">
        <v>250.88800000000001</v>
      </c>
      <c r="P203" s="127" t="s">
        <v>3647</v>
      </c>
    </row>
    <row r="204" spans="1:16">
      <c r="A204" s="39" t="s">
        <v>3648</v>
      </c>
      <c r="B204" s="77" t="s">
        <v>3135</v>
      </c>
      <c r="C204" s="11">
        <v>8317151</v>
      </c>
      <c r="D204" s="11" t="s">
        <v>1067</v>
      </c>
      <c r="E204" s="11">
        <v>2608065060</v>
      </c>
      <c r="F204" s="15">
        <v>47277</v>
      </c>
      <c r="G204" s="11" t="s">
        <v>3136</v>
      </c>
      <c r="H204" s="11">
        <v>45</v>
      </c>
      <c r="I204" s="11" t="s">
        <v>9</v>
      </c>
      <c r="J204" s="11">
        <v>540</v>
      </c>
      <c r="K204" s="15">
        <v>46334</v>
      </c>
      <c r="L204" s="26"/>
      <c r="M204" s="26"/>
      <c r="N204" s="26"/>
      <c r="O204" s="78">
        <v>513.17999999999995</v>
      </c>
      <c r="P204" s="127" t="s">
        <v>3649</v>
      </c>
    </row>
    <row r="205" spans="1:16">
      <c r="A205" s="38" t="s">
        <v>3650</v>
      </c>
      <c r="B205" s="76" t="s">
        <v>3135</v>
      </c>
      <c r="C205" s="13">
        <v>8317170</v>
      </c>
      <c r="D205" s="13" t="s">
        <v>1083</v>
      </c>
      <c r="E205" s="13">
        <v>2608185060</v>
      </c>
      <c r="F205" s="16" t="s">
        <v>3248</v>
      </c>
      <c r="G205" s="13" t="s">
        <v>3136</v>
      </c>
      <c r="H205" s="13">
        <v>2</v>
      </c>
      <c r="I205" s="13" t="s">
        <v>9</v>
      </c>
      <c r="J205" s="13">
        <v>8</v>
      </c>
      <c r="K205" s="14" t="s">
        <v>3344</v>
      </c>
      <c r="L205" s="25"/>
      <c r="M205" s="25"/>
      <c r="N205" s="25"/>
      <c r="O205" s="79">
        <v>41.173999999999999</v>
      </c>
      <c r="P205" s="127" t="s">
        <v>3651</v>
      </c>
    </row>
    <row r="206" spans="1:16">
      <c r="A206" s="39" t="s">
        <v>3652</v>
      </c>
      <c r="B206" s="77" t="s">
        <v>3135</v>
      </c>
      <c r="C206" s="11">
        <v>8317171</v>
      </c>
      <c r="D206" s="11" t="s">
        <v>1085</v>
      </c>
      <c r="E206" s="11">
        <v>2608145060</v>
      </c>
      <c r="F206" s="15" t="s">
        <v>3184</v>
      </c>
      <c r="G206" s="11" t="s">
        <v>3136</v>
      </c>
      <c r="H206" s="11">
        <v>20</v>
      </c>
      <c r="I206" s="11" t="s">
        <v>9</v>
      </c>
      <c r="J206" s="11">
        <v>80</v>
      </c>
      <c r="K206" s="11" t="s">
        <v>3370</v>
      </c>
      <c r="L206" s="26"/>
      <c r="M206" s="26"/>
      <c r="N206" s="26"/>
      <c r="O206" s="78">
        <v>411.74</v>
      </c>
      <c r="P206" s="129" t="s">
        <v>3653</v>
      </c>
    </row>
    <row r="207" spans="1:16">
      <c r="A207" s="38" t="s">
        <v>3654</v>
      </c>
      <c r="B207" s="76" t="s">
        <v>3135</v>
      </c>
      <c r="C207" s="13">
        <v>8317172</v>
      </c>
      <c r="D207" s="13" t="s">
        <v>1087</v>
      </c>
      <c r="E207" s="13">
        <v>2608185060</v>
      </c>
      <c r="F207" s="16" t="s">
        <v>3248</v>
      </c>
      <c r="G207" s="13" t="s">
        <v>3136</v>
      </c>
      <c r="H207" s="13">
        <v>16</v>
      </c>
      <c r="I207" s="13" t="s">
        <v>9</v>
      </c>
      <c r="J207" s="13">
        <v>64</v>
      </c>
      <c r="K207" s="14" t="s">
        <v>3344</v>
      </c>
      <c r="L207" s="25"/>
      <c r="M207" s="25"/>
      <c r="N207" s="25"/>
      <c r="O207" s="79">
        <v>329.392</v>
      </c>
      <c r="P207" s="127" t="s">
        <v>3655</v>
      </c>
    </row>
    <row r="208" spans="1:16">
      <c r="A208" s="39" t="s">
        <v>3656</v>
      </c>
      <c r="B208" s="77" t="s">
        <v>3135</v>
      </c>
      <c r="C208" s="11">
        <v>8317173</v>
      </c>
      <c r="D208" s="11" t="s">
        <v>1089</v>
      </c>
      <c r="E208" s="11">
        <v>2404165060</v>
      </c>
      <c r="F208" s="15" t="s">
        <v>3657</v>
      </c>
      <c r="G208" s="11" t="s">
        <v>3136</v>
      </c>
      <c r="H208" s="11">
        <v>27</v>
      </c>
      <c r="I208" s="11" t="s">
        <v>9</v>
      </c>
      <c r="J208" s="11">
        <v>108</v>
      </c>
      <c r="K208" s="11" t="s">
        <v>3287</v>
      </c>
      <c r="L208" s="26"/>
      <c r="M208" s="26"/>
      <c r="N208" s="26"/>
      <c r="O208" s="78">
        <v>555.84900000000005</v>
      </c>
      <c r="P208" s="127" t="s">
        <v>3658</v>
      </c>
    </row>
    <row r="209" spans="1:16">
      <c r="A209" s="38" t="s">
        <v>3659</v>
      </c>
      <c r="B209" s="76" t="s">
        <v>3135</v>
      </c>
      <c r="C209" s="13">
        <v>8317179</v>
      </c>
      <c r="D209" s="13" t="s">
        <v>1093</v>
      </c>
      <c r="E209" s="13">
        <v>2608265060</v>
      </c>
      <c r="F209" s="16" t="s">
        <v>3660</v>
      </c>
      <c r="G209" s="13" t="s">
        <v>3136</v>
      </c>
      <c r="H209" s="13">
        <v>15</v>
      </c>
      <c r="I209" s="13" t="s">
        <v>9</v>
      </c>
      <c r="J209" s="13">
        <v>60</v>
      </c>
      <c r="K209" s="14" t="s">
        <v>3361</v>
      </c>
      <c r="L209" s="25"/>
      <c r="M209" s="25"/>
      <c r="N209" s="25"/>
      <c r="O209" s="79">
        <v>308.80500000000001</v>
      </c>
      <c r="P209" s="127" t="s">
        <v>3661</v>
      </c>
    </row>
    <row r="210" spans="1:16">
      <c r="A210" s="39" t="s">
        <v>3662</v>
      </c>
      <c r="B210" s="77" t="s">
        <v>3135</v>
      </c>
      <c r="C210" s="11">
        <v>8317212</v>
      </c>
      <c r="D210" s="11" t="s">
        <v>1143</v>
      </c>
      <c r="E210" s="11">
        <v>2608045060</v>
      </c>
      <c r="F210" s="15">
        <v>46851</v>
      </c>
      <c r="G210" s="11" t="s">
        <v>3136</v>
      </c>
      <c r="H210" s="11">
        <v>18</v>
      </c>
      <c r="I210" s="11" t="s">
        <v>9</v>
      </c>
      <c r="J210" s="11">
        <v>72</v>
      </c>
      <c r="K210" s="15">
        <v>46211</v>
      </c>
      <c r="L210" s="26"/>
      <c r="M210" s="26"/>
      <c r="N210" s="26"/>
      <c r="O210" s="78">
        <v>318.77999999999997</v>
      </c>
      <c r="P210" s="127" t="s">
        <v>3663</v>
      </c>
    </row>
    <row r="211" spans="1:16">
      <c r="A211" s="38" t="s">
        <v>3664</v>
      </c>
      <c r="B211" s="76" t="s">
        <v>3135</v>
      </c>
      <c r="C211" s="13">
        <v>8317213</v>
      </c>
      <c r="D211" s="13" t="s">
        <v>1145</v>
      </c>
      <c r="E211" s="13">
        <v>2607185060</v>
      </c>
      <c r="F211" s="16" t="s">
        <v>3665</v>
      </c>
      <c r="G211" s="13" t="s">
        <v>3136</v>
      </c>
      <c r="H211" s="13">
        <v>5</v>
      </c>
      <c r="I211" s="13" t="s">
        <v>9</v>
      </c>
      <c r="J211" s="13">
        <v>20</v>
      </c>
      <c r="K211" s="14" t="s">
        <v>3287</v>
      </c>
      <c r="L211" s="25"/>
      <c r="M211" s="25"/>
      <c r="N211" s="25"/>
      <c r="O211" s="79">
        <v>88.55</v>
      </c>
      <c r="P211" s="127" t="s">
        <v>3666</v>
      </c>
    </row>
    <row r="212" spans="1:16">
      <c r="A212" s="39" t="s">
        <v>3667</v>
      </c>
      <c r="B212" s="77" t="s">
        <v>3135</v>
      </c>
      <c r="C212" s="11">
        <v>8317214</v>
      </c>
      <c r="D212" s="11" t="s">
        <v>1147</v>
      </c>
      <c r="E212" s="11">
        <v>2607115060</v>
      </c>
      <c r="F212" s="15">
        <v>47064</v>
      </c>
      <c r="G212" s="11" t="s">
        <v>3136</v>
      </c>
      <c r="H212" s="11">
        <v>22</v>
      </c>
      <c r="I212" s="11" t="s">
        <v>9</v>
      </c>
      <c r="J212" s="11">
        <v>88</v>
      </c>
      <c r="K212" s="11" t="s">
        <v>3287</v>
      </c>
      <c r="L212" s="26"/>
      <c r="M212" s="26"/>
      <c r="N212" s="26"/>
      <c r="O212" s="78">
        <v>389.62</v>
      </c>
      <c r="P212" s="127" t="s">
        <v>3668</v>
      </c>
    </row>
    <row r="213" spans="1:16">
      <c r="A213" s="38" t="s">
        <v>3669</v>
      </c>
      <c r="B213" s="76" t="s">
        <v>3135</v>
      </c>
      <c r="C213" s="13">
        <v>8317215</v>
      </c>
      <c r="D213" s="13" t="s">
        <v>1149</v>
      </c>
      <c r="E213" s="13">
        <v>2608065060</v>
      </c>
      <c r="F213" s="16">
        <v>47277</v>
      </c>
      <c r="G213" s="13" t="s">
        <v>3136</v>
      </c>
      <c r="H213" s="13">
        <v>10</v>
      </c>
      <c r="I213" s="13" t="s">
        <v>9</v>
      </c>
      <c r="J213" s="13">
        <v>40</v>
      </c>
      <c r="K213" s="41">
        <v>46334</v>
      </c>
      <c r="L213" s="25"/>
      <c r="M213" s="25"/>
      <c r="N213" s="25"/>
      <c r="O213" s="79">
        <v>177.1</v>
      </c>
      <c r="P213" s="127" t="s">
        <v>3670</v>
      </c>
    </row>
    <row r="214" spans="1:16">
      <c r="A214" s="39" t="s">
        <v>3671</v>
      </c>
      <c r="B214" s="77" t="s">
        <v>3135</v>
      </c>
      <c r="C214" s="11">
        <v>8317216</v>
      </c>
      <c r="D214" s="11" t="s">
        <v>1151</v>
      </c>
      <c r="E214" s="11">
        <v>2608125060</v>
      </c>
      <c r="F214" s="15">
        <v>47460</v>
      </c>
      <c r="G214" s="11" t="s">
        <v>3136</v>
      </c>
      <c r="H214" s="11">
        <v>23</v>
      </c>
      <c r="I214" s="11" t="s">
        <v>9</v>
      </c>
      <c r="J214" s="11">
        <v>92</v>
      </c>
      <c r="K214" s="11" t="s">
        <v>3338</v>
      </c>
      <c r="L214" s="26"/>
      <c r="M214" s="26"/>
      <c r="N214" s="26"/>
      <c r="O214" s="78">
        <v>407.33</v>
      </c>
      <c r="P214" s="127" t="s">
        <v>3672</v>
      </c>
    </row>
    <row r="215" spans="1:16">
      <c r="A215" s="38" t="s">
        <v>3673</v>
      </c>
      <c r="B215" s="76" t="s">
        <v>3135</v>
      </c>
      <c r="C215" s="13">
        <v>8317216</v>
      </c>
      <c r="D215" s="13" t="s">
        <v>1151</v>
      </c>
      <c r="E215" s="13">
        <v>2608125060</v>
      </c>
      <c r="F215" s="16">
        <v>47460</v>
      </c>
      <c r="G215" s="13" t="s">
        <v>3136</v>
      </c>
      <c r="H215" s="13">
        <v>27</v>
      </c>
      <c r="I215" s="13" t="s">
        <v>9</v>
      </c>
      <c r="J215" s="13">
        <v>108</v>
      </c>
      <c r="K215" s="14" t="s">
        <v>3338</v>
      </c>
      <c r="L215" s="25"/>
      <c r="M215" s="25"/>
      <c r="N215" s="25"/>
      <c r="O215" s="79">
        <v>478.17</v>
      </c>
      <c r="P215" s="127" t="s">
        <v>3674</v>
      </c>
    </row>
    <row r="216" spans="1:16">
      <c r="A216" s="39" t="s">
        <v>3675</v>
      </c>
      <c r="B216" s="77" t="s">
        <v>3135</v>
      </c>
      <c r="C216" s="11">
        <v>8317217</v>
      </c>
      <c r="D216" s="11" t="s">
        <v>1153</v>
      </c>
      <c r="E216" s="11">
        <v>2605145060</v>
      </c>
      <c r="F216" s="15" t="s">
        <v>3676</v>
      </c>
      <c r="G216" s="11" t="s">
        <v>3136</v>
      </c>
      <c r="H216" s="11">
        <v>26</v>
      </c>
      <c r="I216" s="11" t="s">
        <v>9</v>
      </c>
      <c r="J216" s="11">
        <v>104</v>
      </c>
      <c r="K216" s="11" t="s">
        <v>3287</v>
      </c>
      <c r="L216" s="26"/>
      <c r="M216" s="26"/>
      <c r="N216" s="26"/>
      <c r="O216" s="78">
        <v>460.40800000000002</v>
      </c>
      <c r="P216" s="127" t="s">
        <v>3677</v>
      </c>
    </row>
    <row r="217" spans="1:16">
      <c r="A217" s="38" t="s">
        <v>3678</v>
      </c>
      <c r="B217" s="76" t="s">
        <v>3135</v>
      </c>
      <c r="C217" s="13">
        <v>8321101</v>
      </c>
      <c r="D217" s="13" t="s">
        <v>3679</v>
      </c>
      <c r="E217" s="13">
        <v>20500026</v>
      </c>
      <c r="F217" s="16" t="s">
        <v>3680</v>
      </c>
      <c r="G217" s="13" t="s">
        <v>3136</v>
      </c>
      <c r="H217" s="13">
        <v>65</v>
      </c>
      <c r="I217" s="13" t="s">
        <v>9</v>
      </c>
      <c r="J217" s="13">
        <v>780</v>
      </c>
      <c r="K217" s="14" t="s">
        <v>3287</v>
      </c>
      <c r="L217" s="25"/>
      <c r="M217" s="25"/>
      <c r="N217" s="25"/>
      <c r="O217" s="79">
        <v>265.72000000000003</v>
      </c>
      <c r="P217" s="127" t="s">
        <v>3681</v>
      </c>
    </row>
    <row r="218" spans="1:16">
      <c r="A218" s="39" t="s">
        <v>3682</v>
      </c>
      <c r="B218" s="77" t="s">
        <v>3135</v>
      </c>
      <c r="C218" s="11">
        <v>8321105</v>
      </c>
      <c r="D218" s="11" t="s">
        <v>1375</v>
      </c>
      <c r="E218" s="11">
        <v>20400026</v>
      </c>
      <c r="F218" s="15" t="s">
        <v>3683</v>
      </c>
      <c r="G218" s="11" t="s">
        <v>3136</v>
      </c>
      <c r="H218" s="11">
        <v>262</v>
      </c>
      <c r="I218" s="11" t="s">
        <v>9</v>
      </c>
      <c r="J218" s="17">
        <v>3144</v>
      </c>
      <c r="K218" s="11" t="s">
        <v>3287</v>
      </c>
      <c r="L218" s="26"/>
      <c r="M218" s="26"/>
      <c r="N218" s="26"/>
      <c r="O218" s="78">
        <v>635.35</v>
      </c>
      <c r="P218" s="127" t="s">
        <v>3684</v>
      </c>
    </row>
    <row r="219" spans="1:16">
      <c r="A219" s="38" t="s">
        <v>3685</v>
      </c>
      <c r="B219" s="76" t="s">
        <v>3135</v>
      </c>
      <c r="C219" s="13">
        <v>8321108</v>
      </c>
      <c r="D219" s="13" t="s">
        <v>1381</v>
      </c>
      <c r="E219" s="13">
        <v>20600016</v>
      </c>
      <c r="F219" s="16" t="s">
        <v>3686</v>
      </c>
      <c r="G219" s="13" t="s">
        <v>3136</v>
      </c>
      <c r="H219" s="13">
        <v>1</v>
      </c>
      <c r="I219" s="13" t="s">
        <v>9</v>
      </c>
      <c r="J219" s="13">
        <v>12</v>
      </c>
      <c r="K219" s="14" t="s">
        <v>3287</v>
      </c>
      <c r="L219" s="25"/>
      <c r="M219" s="25"/>
      <c r="N219" s="25"/>
      <c r="O219" s="79">
        <v>4.5640000000000001</v>
      </c>
      <c r="P219" s="127" t="s">
        <v>3687</v>
      </c>
    </row>
    <row r="220" spans="1:16">
      <c r="A220" s="39" t="s">
        <v>3688</v>
      </c>
      <c r="B220" s="77" t="s">
        <v>3135</v>
      </c>
      <c r="C220" s="11">
        <v>8321111</v>
      </c>
      <c r="D220" s="11" t="s">
        <v>1385</v>
      </c>
      <c r="E220" s="11">
        <v>20600046</v>
      </c>
      <c r="F220" s="15">
        <v>46971</v>
      </c>
      <c r="G220" s="11" t="s">
        <v>3136</v>
      </c>
      <c r="H220" s="11">
        <v>89</v>
      </c>
      <c r="I220" s="11" t="s">
        <v>9</v>
      </c>
      <c r="J220" s="17">
        <v>1068</v>
      </c>
      <c r="K220" s="11" t="s">
        <v>3396</v>
      </c>
      <c r="L220" s="26"/>
      <c r="M220" s="26"/>
      <c r="N220" s="26"/>
      <c r="O220" s="78">
        <v>161.89099999999999</v>
      </c>
      <c r="P220" s="127" t="s">
        <v>3689</v>
      </c>
    </row>
    <row r="221" spans="1:16">
      <c r="A221" s="38" t="s">
        <v>3690</v>
      </c>
      <c r="B221" s="76" t="s">
        <v>3135</v>
      </c>
      <c r="C221" s="13">
        <v>8321113</v>
      </c>
      <c r="D221" s="13" t="s">
        <v>1389</v>
      </c>
      <c r="E221" s="13">
        <v>20300016</v>
      </c>
      <c r="F221" s="16" t="s">
        <v>3691</v>
      </c>
      <c r="G221" s="13" t="s">
        <v>3136</v>
      </c>
      <c r="H221" s="13">
        <v>41</v>
      </c>
      <c r="I221" s="13" t="s">
        <v>9</v>
      </c>
      <c r="J221" s="13">
        <v>492</v>
      </c>
      <c r="K221" s="14" t="s">
        <v>3287</v>
      </c>
      <c r="L221" s="25"/>
      <c r="M221" s="25"/>
      <c r="N221" s="25"/>
      <c r="O221" s="79">
        <v>94.71</v>
      </c>
      <c r="P221" s="129" t="s">
        <v>3692</v>
      </c>
    </row>
    <row r="222" spans="1:16">
      <c r="A222" s="39" t="s">
        <v>3693</v>
      </c>
      <c r="B222" s="77" t="s">
        <v>3135</v>
      </c>
      <c r="C222" s="11">
        <v>8321122</v>
      </c>
      <c r="D222" s="11" t="s">
        <v>1401</v>
      </c>
      <c r="E222" s="11">
        <v>20600026</v>
      </c>
      <c r="F222" s="15" t="s">
        <v>3694</v>
      </c>
      <c r="G222" s="11" t="s">
        <v>3136</v>
      </c>
      <c r="H222" s="11">
        <v>32</v>
      </c>
      <c r="I222" s="11" t="s">
        <v>9</v>
      </c>
      <c r="J222" s="11">
        <v>384</v>
      </c>
      <c r="K222" s="11" t="s">
        <v>3287</v>
      </c>
      <c r="L222" s="26"/>
      <c r="M222" s="26"/>
      <c r="N222" s="26"/>
      <c r="O222" s="78">
        <v>130.816</v>
      </c>
      <c r="P222" s="127" t="s">
        <v>3695</v>
      </c>
    </row>
    <row r="223" spans="1:16">
      <c r="A223" s="38" t="s">
        <v>3696</v>
      </c>
      <c r="B223" s="76" t="s">
        <v>3135</v>
      </c>
      <c r="C223" s="13">
        <v>8321123</v>
      </c>
      <c r="D223" s="13" t="s">
        <v>1403</v>
      </c>
      <c r="E223" s="13">
        <v>20400026</v>
      </c>
      <c r="F223" s="16" t="s">
        <v>3364</v>
      </c>
      <c r="G223" s="13" t="s">
        <v>3136</v>
      </c>
      <c r="H223" s="13">
        <v>102</v>
      </c>
      <c r="I223" s="13" t="s">
        <v>9</v>
      </c>
      <c r="J223" s="40">
        <v>1224</v>
      </c>
      <c r="K223" s="14" t="s">
        <v>3287</v>
      </c>
      <c r="L223" s="25"/>
      <c r="M223" s="25"/>
      <c r="N223" s="25"/>
      <c r="O223" s="79">
        <v>416.976</v>
      </c>
      <c r="P223" s="127" t="s">
        <v>3697</v>
      </c>
    </row>
    <row r="224" spans="1:16">
      <c r="A224" s="39" t="s">
        <v>3698</v>
      </c>
      <c r="B224" s="77" t="s">
        <v>3135</v>
      </c>
      <c r="C224" s="11">
        <v>8321150</v>
      </c>
      <c r="D224" s="11" t="s">
        <v>1415</v>
      </c>
      <c r="E224" s="11">
        <v>20500016</v>
      </c>
      <c r="F224" s="15" t="s">
        <v>3699</v>
      </c>
      <c r="G224" s="11" t="s">
        <v>3136</v>
      </c>
      <c r="H224" s="11">
        <v>16</v>
      </c>
      <c r="I224" s="11" t="s">
        <v>9</v>
      </c>
      <c r="J224" s="11">
        <v>192</v>
      </c>
      <c r="K224" s="11" t="s">
        <v>3396</v>
      </c>
      <c r="L224" s="26"/>
      <c r="M224" s="26"/>
      <c r="N224" s="26"/>
      <c r="O224" s="78">
        <v>65.408000000000001</v>
      </c>
      <c r="P224" s="127" t="s">
        <v>3700</v>
      </c>
    </row>
    <row r="225" spans="1:16">
      <c r="A225" s="38" t="s">
        <v>3701</v>
      </c>
      <c r="B225" s="76" t="s">
        <v>3135</v>
      </c>
      <c r="C225" s="13">
        <v>8321163</v>
      </c>
      <c r="D225" s="13" t="s">
        <v>1427</v>
      </c>
      <c r="E225" s="13">
        <v>20400026</v>
      </c>
      <c r="F225" s="16" t="s">
        <v>3702</v>
      </c>
      <c r="G225" s="13" t="s">
        <v>3136</v>
      </c>
      <c r="H225" s="13">
        <v>14</v>
      </c>
      <c r="I225" s="13" t="s">
        <v>9</v>
      </c>
      <c r="J225" s="13">
        <v>168</v>
      </c>
      <c r="K225" s="14" t="s">
        <v>3287</v>
      </c>
      <c r="L225" s="25"/>
      <c r="M225" s="25"/>
      <c r="N225" s="25"/>
      <c r="O225" s="79">
        <v>63.896000000000001</v>
      </c>
      <c r="P225" s="127" t="s">
        <v>3703</v>
      </c>
    </row>
    <row r="226" spans="1:16">
      <c r="A226" s="39" t="s">
        <v>3704</v>
      </c>
      <c r="B226" s="77" t="s">
        <v>3135</v>
      </c>
      <c r="C226" s="11">
        <v>8321177</v>
      </c>
      <c r="D226" s="11" t="s">
        <v>1447</v>
      </c>
      <c r="E226" s="11">
        <v>20500016</v>
      </c>
      <c r="F226" s="15" t="s">
        <v>3705</v>
      </c>
      <c r="G226" s="11" t="s">
        <v>3136</v>
      </c>
      <c r="H226" s="11">
        <v>49</v>
      </c>
      <c r="I226" s="11" t="s">
        <v>9</v>
      </c>
      <c r="J226" s="11">
        <v>588</v>
      </c>
      <c r="K226" s="11" t="s">
        <v>3287</v>
      </c>
      <c r="L226" s="26"/>
      <c r="M226" s="26"/>
      <c r="N226" s="26"/>
      <c r="O226" s="78">
        <v>200.31200000000001</v>
      </c>
      <c r="P226" s="127" t="s">
        <v>3706</v>
      </c>
    </row>
    <row r="227" spans="1:16">
      <c r="A227" s="38" t="s">
        <v>3707</v>
      </c>
      <c r="B227" s="76" t="s">
        <v>3135</v>
      </c>
      <c r="C227" s="13">
        <v>8321182</v>
      </c>
      <c r="D227" s="13" t="s">
        <v>1457</v>
      </c>
      <c r="E227" s="13">
        <v>20400016</v>
      </c>
      <c r="F227" s="16" t="s">
        <v>3708</v>
      </c>
      <c r="G227" s="13" t="s">
        <v>3136</v>
      </c>
      <c r="H227" s="13">
        <v>59</v>
      </c>
      <c r="I227" s="13" t="s">
        <v>9</v>
      </c>
      <c r="J227" s="13">
        <v>708</v>
      </c>
      <c r="K227" s="14" t="s">
        <v>3287</v>
      </c>
      <c r="L227" s="25"/>
      <c r="M227" s="25"/>
      <c r="N227" s="25"/>
      <c r="O227" s="79">
        <v>252.166</v>
      </c>
      <c r="P227" s="127" t="s">
        <v>3709</v>
      </c>
    </row>
    <row r="228" spans="1:16">
      <c r="A228" s="39" t="s">
        <v>3710</v>
      </c>
      <c r="B228" s="77" t="s">
        <v>3135</v>
      </c>
      <c r="C228" s="11">
        <v>8321199</v>
      </c>
      <c r="D228" s="11" t="s">
        <v>3711</v>
      </c>
      <c r="E228" s="11">
        <v>20600016</v>
      </c>
      <c r="F228" s="15" t="s">
        <v>3686</v>
      </c>
      <c r="G228" s="11" t="s">
        <v>3136</v>
      </c>
      <c r="H228" s="11">
        <v>22</v>
      </c>
      <c r="I228" s="11" t="s">
        <v>9</v>
      </c>
      <c r="J228" s="17">
        <v>2640</v>
      </c>
      <c r="K228" s="11" t="s">
        <v>3287</v>
      </c>
      <c r="L228" s="26"/>
      <c r="M228" s="26"/>
      <c r="N228" s="26"/>
      <c r="O228" s="78">
        <v>97.02</v>
      </c>
      <c r="P228" s="127" t="s">
        <v>3712</v>
      </c>
    </row>
    <row r="229" spans="1:16">
      <c r="A229" s="38" t="s">
        <v>3713</v>
      </c>
      <c r="B229" s="76" t="s">
        <v>3135</v>
      </c>
      <c r="C229" s="13">
        <v>8321201</v>
      </c>
      <c r="D229" s="13" t="s">
        <v>3714</v>
      </c>
      <c r="E229" s="13">
        <v>20600016</v>
      </c>
      <c r="F229" s="16">
        <v>46971</v>
      </c>
      <c r="G229" s="13" t="s">
        <v>3136</v>
      </c>
      <c r="H229" s="13">
        <v>1</v>
      </c>
      <c r="I229" s="13" t="s">
        <v>9</v>
      </c>
      <c r="J229" s="13">
        <v>120</v>
      </c>
      <c r="K229" s="14" t="s">
        <v>3287</v>
      </c>
      <c r="L229" s="25"/>
      <c r="M229" s="25"/>
      <c r="N229" s="25"/>
      <c r="O229" s="79">
        <v>4.41</v>
      </c>
      <c r="P229" s="127" t="s">
        <v>3715</v>
      </c>
    </row>
    <row r="230" spans="1:16">
      <c r="A230" s="39" t="s">
        <v>3716</v>
      </c>
      <c r="B230" s="77" t="s">
        <v>3135</v>
      </c>
      <c r="C230" s="11">
        <v>8321203</v>
      </c>
      <c r="D230" s="11" t="s">
        <v>3717</v>
      </c>
      <c r="E230" s="11">
        <v>20600026</v>
      </c>
      <c r="F230" s="15">
        <v>47032</v>
      </c>
      <c r="G230" s="11" t="s">
        <v>3136</v>
      </c>
      <c r="H230" s="11">
        <v>31</v>
      </c>
      <c r="I230" s="11" t="s">
        <v>9</v>
      </c>
      <c r="J230" s="17">
        <v>3720</v>
      </c>
      <c r="K230" s="11" t="s">
        <v>3287</v>
      </c>
      <c r="L230" s="26"/>
      <c r="M230" s="26"/>
      <c r="N230" s="26"/>
      <c r="O230" s="78">
        <v>136.71</v>
      </c>
      <c r="P230" s="127" t="s">
        <v>3718</v>
      </c>
    </row>
    <row r="231" spans="1:16">
      <c r="A231" s="38" t="s">
        <v>3719</v>
      </c>
      <c r="B231" s="76" t="s">
        <v>3135</v>
      </c>
      <c r="C231" s="13">
        <v>8321219</v>
      </c>
      <c r="D231" s="13" t="s">
        <v>1491</v>
      </c>
      <c r="E231" s="13">
        <v>20600016</v>
      </c>
      <c r="F231" s="16">
        <v>46789</v>
      </c>
      <c r="G231" s="13" t="s">
        <v>3136</v>
      </c>
      <c r="H231" s="13">
        <v>20</v>
      </c>
      <c r="I231" s="13" t="s">
        <v>9</v>
      </c>
      <c r="J231" s="13">
        <v>240</v>
      </c>
      <c r="K231" s="14" t="s">
        <v>3287</v>
      </c>
      <c r="L231" s="25"/>
      <c r="M231" s="25"/>
      <c r="N231" s="25"/>
      <c r="O231" s="79">
        <v>81.760000000000005</v>
      </c>
      <c r="P231" s="127" t="s">
        <v>3720</v>
      </c>
    </row>
    <row r="232" spans="1:16">
      <c r="A232" s="39" t="s">
        <v>3721</v>
      </c>
      <c r="B232" s="77" t="s">
        <v>3439</v>
      </c>
      <c r="C232" s="11">
        <v>8325056</v>
      </c>
      <c r="D232" s="11" t="s">
        <v>1585</v>
      </c>
      <c r="E232" s="11">
        <v>2601205060</v>
      </c>
      <c r="F232" s="15" t="s">
        <v>3722</v>
      </c>
      <c r="G232" s="11" t="s">
        <v>3136</v>
      </c>
      <c r="H232" s="11">
        <v>5</v>
      </c>
      <c r="I232" s="11" t="s">
        <v>9</v>
      </c>
      <c r="J232" s="11">
        <v>60</v>
      </c>
      <c r="K232" s="11" t="s">
        <v>3304</v>
      </c>
      <c r="L232" s="26"/>
      <c r="M232" s="26"/>
      <c r="N232" s="26"/>
      <c r="O232" s="78">
        <v>24.13</v>
      </c>
      <c r="P232" s="127" t="s">
        <v>3723</v>
      </c>
    </row>
    <row r="233" spans="1:16">
      <c r="A233" s="38" t="s">
        <v>3449</v>
      </c>
      <c r="B233" s="76" t="s">
        <v>3450</v>
      </c>
      <c r="C233" s="13">
        <v>8325056</v>
      </c>
      <c r="D233" s="13" t="s">
        <v>1585</v>
      </c>
      <c r="E233" s="13">
        <v>2601205060</v>
      </c>
      <c r="F233" s="16" t="s">
        <v>3722</v>
      </c>
      <c r="G233" s="13" t="s">
        <v>3136</v>
      </c>
      <c r="H233" s="13">
        <v>10</v>
      </c>
      <c r="I233" s="13" t="s">
        <v>9</v>
      </c>
      <c r="J233" s="13">
        <v>120</v>
      </c>
      <c r="K233" s="14" t="s">
        <v>3396</v>
      </c>
      <c r="L233" s="25"/>
      <c r="M233" s="25"/>
      <c r="N233" s="25"/>
      <c r="O233" s="79">
        <v>48.26</v>
      </c>
      <c r="P233" s="127" t="s">
        <v>3724</v>
      </c>
    </row>
    <row r="234" spans="1:16">
      <c r="A234" s="39" t="s">
        <v>3725</v>
      </c>
      <c r="B234" s="77" t="s">
        <v>3439</v>
      </c>
      <c r="C234" s="11">
        <v>8325084</v>
      </c>
      <c r="D234" s="11" t="s">
        <v>1598</v>
      </c>
      <c r="E234" s="11">
        <v>2608245060</v>
      </c>
      <c r="F234" s="15" t="s">
        <v>3433</v>
      </c>
      <c r="G234" s="11" t="s">
        <v>3136</v>
      </c>
      <c r="H234" s="11">
        <v>60</v>
      </c>
      <c r="I234" s="11" t="s">
        <v>9</v>
      </c>
      <c r="J234" s="11">
        <v>720</v>
      </c>
      <c r="K234" s="11" t="s">
        <v>3396</v>
      </c>
      <c r="L234" s="26"/>
      <c r="M234" s="26"/>
      <c r="N234" s="26"/>
      <c r="O234" s="78">
        <v>273.42</v>
      </c>
      <c r="P234" s="127" t="s">
        <v>3726</v>
      </c>
    </row>
    <row r="235" spans="1:16">
      <c r="A235" s="38" t="s">
        <v>3727</v>
      </c>
      <c r="B235" s="76" t="s">
        <v>3439</v>
      </c>
      <c r="C235" s="13">
        <v>8325093</v>
      </c>
      <c r="D235" s="13" t="s">
        <v>1614</v>
      </c>
      <c r="E235" s="13">
        <v>2608125060</v>
      </c>
      <c r="F235" s="16">
        <v>47095</v>
      </c>
      <c r="G235" s="13" t="s">
        <v>3136</v>
      </c>
      <c r="H235" s="13">
        <v>19</v>
      </c>
      <c r="I235" s="13" t="s">
        <v>9</v>
      </c>
      <c r="J235" s="13">
        <v>228</v>
      </c>
      <c r="K235" s="14" t="s">
        <v>3494</v>
      </c>
      <c r="L235" s="25"/>
      <c r="M235" s="25"/>
      <c r="N235" s="25"/>
      <c r="O235" s="79">
        <v>91.694000000000003</v>
      </c>
      <c r="P235" s="127" t="s">
        <v>3728</v>
      </c>
    </row>
    <row r="236" spans="1:16">
      <c r="A236" s="39" t="s">
        <v>3729</v>
      </c>
      <c r="B236" s="77" t="s">
        <v>3439</v>
      </c>
      <c r="C236" s="11">
        <v>8325095</v>
      </c>
      <c r="D236" s="11" t="s">
        <v>1618</v>
      </c>
      <c r="E236" s="11">
        <v>2607245060</v>
      </c>
      <c r="F236" s="15" t="s">
        <v>3730</v>
      </c>
      <c r="G236" s="11" t="s">
        <v>3136</v>
      </c>
      <c r="H236" s="11">
        <v>44</v>
      </c>
      <c r="I236" s="11" t="s">
        <v>9</v>
      </c>
      <c r="J236" s="11">
        <v>528</v>
      </c>
      <c r="K236" s="11" t="s">
        <v>3494</v>
      </c>
      <c r="L236" s="26"/>
      <c r="M236" s="26"/>
      <c r="N236" s="26"/>
      <c r="O236" s="78">
        <v>213.4</v>
      </c>
      <c r="P236" s="127" t="s">
        <v>3731</v>
      </c>
    </row>
    <row r="237" spans="1:16">
      <c r="A237" s="38" t="s">
        <v>3732</v>
      </c>
      <c r="B237" s="76" t="s">
        <v>3439</v>
      </c>
      <c r="C237" s="13">
        <v>8325096</v>
      </c>
      <c r="D237" s="13" t="s">
        <v>1620</v>
      </c>
      <c r="E237" s="13">
        <v>2607215060</v>
      </c>
      <c r="F237" s="16" t="s">
        <v>3569</v>
      </c>
      <c r="G237" s="13" t="s">
        <v>3136</v>
      </c>
      <c r="H237" s="13">
        <v>9</v>
      </c>
      <c r="I237" s="13" t="s">
        <v>9</v>
      </c>
      <c r="J237" s="13">
        <v>108</v>
      </c>
      <c r="K237" s="14" t="s">
        <v>3733</v>
      </c>
      <c r="L237" s="25"/>
      <c r="M237" s="25"/>
      <c r="N237" s="25"/>
      <c r="O237" s="79">
        <v>35.558999999999997</v>
      </c>
      <c r="P237" s="127" t="s">
        <v>3734</v>
      </c>
    </row>
    <row r="238" spans="1:16">
      <c r="A238" s="39" t="s">
        <v>3735</v>
      </c>
      <c r="B238" s="77" t="s">
        <v>3439</v>
      </c>
      <c r="C238" s="11">
        <v>8325102</v>
      </c>
      <c r="D238" s="11" t="s">
        <v>1624</v>
      </c>
      <c r="E238" s="11">
        <v>2608265060</v>
      </c>
      <c r="F238" s="15" t="s">
        <v>3736</v>
      </c>
      <c r="G238" s="11" t="s">
        <v>3136</v>
      </c>
      <c r="H238" s="11">
        <v>56</v>
      </c>
      <c r="I238" s="11" t="s">
        <v>9</v>
      </c>
      <c r="J238" s="11">
        <v>672</v>
      </c>
      <c r="K238" s="11" t="s">
        <v>3334</v>
      </c>
      <c r="L238" s="26"/>
      <c r="M238" s="26"/>
      <c r="N238" s="26"/>
      <c r="O238" s="78">
        <v>244.72</v>
      </c>
      <c r="P238" s="127" t="s">
        <v>3737</v>
      </c>
    </row>
    <row r="239" spans="1:16">
      <c r="A239" s="38" t="s">
        <v>3449</v>
      </c>
      <c r="B239" s="76" t="s">
        <v>3450</v>
      </c>
      <c r="C239" s="13">
        <v>8325102</v>
      </c>
      <c r="D239" s="13" t="s">
        <v>1624</v>
      </c>
      <c r="E239" s="13">
        <v>2607305060</v>
      </c>
      <c r="F239" s="16" t="s">
        <v>3280</v>
      </c>
      <c r="G239" s="13" t="s">
        <v>3136</v>
      </c>
      <c r="H239" s="13">
        <v>2</v>
      </c>
      <c r="I239" s="13" t="s">
        <v>9</v>
      </c>
      <c r="J239" s="13">
        <v>24</v>
      </c>
      <c r="K239" s="14" t="s">
        <v>3440</v>
      </c>
      <c r="L239" s="25"/>
      <c r="M239" s="25"/>
      <c r="N239" s="25"/>
      <c r="O239" s="79">
        <v>8.74</v>
      </c>
      <c r="P239" s="127" t="s">
        <v>3738</v>
      </c>
    </row>
    <row r="240" spans="1:16">
      <c r="A240" s="39" t="s">
        <v>3739</v>
      </c>
      <c r="B240" s="77" t="s">
        <v>3135</v>
      </c>
      <c r="C240" s="11">
        <v>8325103</v>
      </c>
      <c r="D240" s="11" t="s">
        <v>1626</v>
      </c>
      <c r="E240" s="11">
        <v>2608175060</v>
      </c>
      <c r="F240" s="15" t="s">
        <v>3490</v>
      </c>
      <c r="G240" s="11" t="s">
        <v>3136</v>
      </c>
      <c r="H240" s="11">
        <v>84</v>
      </c>
      <c r="I240" s="11" t="s">
        <v>288</v>
      </c>
      <c r="J240" s="11">
        <v>504</v>
      </c>
      <c r="K240" s="11" t="s">
        <v>3328</v>
      </c>
      <c r="L240" s="26"/>
      <c r="M240" s="26"/>
      <c r="N240" s="26"/>
      <c r="O240" s="78">
        <v>54.851999999999997</v>
      </c>
      <c r="P240" s="127" t="s">
        <v>3740</v>
      </c>
    </row>
    <row r="241" spans="1:16">
      <c r="A241" s="38" t="s">
        <v>3741</v>
      </c>
      <c r="B241" s="76" t="s">
        <v>3135</v>
      </c>
      <c r="C241" s="13">
        <v>8325104</v>
      </c>
      <c r="D241" s="13" t="s">
        <v>1628</v>
      </c>
      <c r="E241" s="13">
        <v>2603285060</v>
      </c>
      <c r="F241" s="16" t="s">
        <v>3742</v>
      </c>
      <c r="G241" s="13" t="s">
        <v>3136</v>
      </c>
      <c r="H241" s="13">
        <v>41</v>
      </c>
      <c r="I241" s="13" t="s">
        <v>288</v>
      </c>
      <c r="J241" s="13">
        <v>246</v>
      </c>
      <c r="K241" s="14" t="s">
        <v>3287</v>
      </c>
      <c r="L241" s="25"/>
      <c r="M241" s="25"/>
      <c r="N241" s="25"/>
      <c r="O241" s="79">
        <v>15.949</v>
      </c>
      <c r="P241" s="127" t="s">
        <v>3743</v>
      </c>
    </row>
    <row r="242" spans="1:16">
      <c r="A242" s="39" t="s">
        <v>3744</v>
      </c>
      <c r="B242" s="77" t="s">
        <v>3135</v>
      </c>
      <c r="C242" s="11">
        <v>8325106</v>
      </c>
      <c r="D242" s="11" t="s">
        <v>1632</v>
      </c>
      <c r="E242" s="11">
        <v>2607245060</v>
      </c>
      <c r="F242" s="15" t="s">
        <v>3730</v>
      </c>
      <c r="G242" s="11" t="s">
        <v>3136</v>
      </c>
      <c r="H242" s="11">
        <v>194</v>
      </c>
      <c r="I242" s="11" t="s">
        <v>288</v>
      </c>
      <c r="J242" s="17">
        <v>2328</v>
      </c>
      <c r="K242" s="11" t="s">
        <v>3361</v>
      </c>
      <c r="L242" s="26"/>
      <c r="M242" s="26"/>
      <c r="N242" s="26"/>
      <c r="O242" s="78">
        <v>71.974000000000004</v>
      </c>
      <c r="P242" s="127" t="s">
        <v>3745</v>
      </c>
    </row>
    <row r="243" spans="1:16">
      <c r="A243" s="38" t="s">
        <v>3746</v>
      </c>
      <c r="B243" s="76" t="s">
        <v>3439</v>
      </c>
      <c r="C243" s="13">
        <v>8325114</v>
      </c>
      <c r="D243" s="13" t="s">
        <v>1648</v>
      </c>
      <c r="E243" s="13">
        <v>2608275060</v>
      </c>
      <c r="F243" s="16" t="s">
        <v>3747</v>
      </c>
      <c r="G243" s="13" t="s">
        <v>3136</v>
      </c>
      <c r="H243" s="13">
        <v>99</v>
      </c>
      <c r="I243" s="13" t="s">
        <v>9</v>
      </c>
      <c r="J243" s="40">
        <v>1188</v>
      </c>
      <c r="K243" s="14" t="s">
        <v>3334</v>
      </c>
      <c r="L243" s="25"/>
      <c r="M243" s="25"/>
      <c r="N243" s="25"/>
      <c r="O243" s="79">
        <v>472.13099999999997</v>
      </c>
      <c r="P243" s="127" t="s">
        <v>3748</v>
      </c>
    </row>
    <row r="244" spans="1:16">
      <c r="A244" s="39" t="s">
        <v>3749</v>
      </c>
      <c r="B244" s="77" t="s">
        <v>3439</v>
      </c>
      <c r="C244" s="11">
        <v>8325115</v>
      </c>
      <c r="D244" s="11" t="s">
        <v>1650</v>
      </c>
      <c r="E244" s="11">
        <v>2608205060</v>
      </c>
      <c r="F244" s="15" t="s">
        <v>3264</v>
      </c>
      <c r="G244" s="11" t="s">
        <v>3136</v>
      </c>
      <c r="H244" s="11">
        <v>87</v>
      </c>
      <c r="I244" s="11" t="s">
        <v>9</v>
      </c>
      <c r="J244" s="17">
        <v>1044</v>
      </c>
      <c r="K244" s="11" t="s">
        <v>3321</v>
      </c>
      <c r="L244" s="26"/>
      <c r="M244" s="26"/>
      <c r="N244" s="26"/>
      <c r="O244" s="78">
        <v>419.86200000000002</v>
      </c>
      <c r="P244" s="127" t="s">
        <v>3750</v>
      </c>
    </row>
    <row r="245" spans="1:16">
      <c r="A245" s="38" t="s">
        <v>3751</v>
      </c>
      <c r="B245" s="76" t="s">
        <v>3439</v>
      </c>
      <c r="C245" s="13">
        <v>8325116</v>
      </c>
      <c r="D245" s="13" t="s">
        <v>1652</v>
      </c>
      <c r="E245" s="13">
        <v>2608175060</v>
      </c>
      <c r="F245" s="16" t="s">
        <v>3490</v>
      </c>
      <c r="G245" s="13" t="s">
        <v>3136</v>
      </c>
      <c r="H245" s="13">
        <v>76</v>
      </c>
      <c r="I245" s="13" t="s">
        <v>9</v>
      </c>
      <c r="J245" s="13">
        <v>912</v>
      </c>
      <c r="K245" s="14" t="s">
        <v>3440</v>
      </c>
      <c r="L245" s="25"/>
      <c r="M245" s="25"/>
      <c r="N245" s="25"/>
      <c r="O245" s="79">
        <v>338.58</v>
      </c>
      <c r="P245" s="127" t="s">
        <v>3752</v>
      </c>
    </row>
    <row r="246" spans="1:16">
      <c r="A246" s="39" t="s">
        <v>3753</v>
      </c>
      <c r="B246" s="77" t="s">
        <v>3439</v>
      </c>
      <c r="C246" s="11">
        <v>8325118</v>
      </c>
      <c r="D246" s="11" t="s">
        <v>1656</v>
      </c>
      <c r="E246" s="11">
        <v>2608245060</v>
      </c>
      <c r="F246" s="15" t="s">
        <v>3433</v>
      </c>
      <c r="G246" s="11" t="s">
        <v>3136</v>
      </c>
      <c r="H246" s="11">
        <v>76</v>
      </c>
      <c r="I246" s="11" t="s">
        <v>9</v>
      </c>
      <c r="J246" s="11">
        <v>912</v>
      </c>
      <c r="K246" s="11" t="s">
        <v>3334</v>
      </c>
      <c r="L246" s="26"/>
      <c r="M246" s="26"/>
      <c r="N246" s="26"/>
      <c r="O246" s="78">
        <v>326.26799999999997</v>
      </c>
      <c r="P246" s="127" t="s">
        <v>3754</v>
      </c>
    </row>
    <row r="247" spans="1:16">
      <c r="A247" s="38" t="s">
        <v>3755</v>
      </c>
      <c r="B247" s="76" t="s">
        <v>3135</v>
      </c>
      <c r="C247" s="13">
        <v>8326124</v>
      </c>
      <c r="D247" s="13" t="s">
        <v>1680</v>
      </c>
      <c r="E247" s="13">
        <v>2608045070</v>
      </c>
      <c r="F247" s="16">
        <v>47216</v>
      </c>
      <c r="G247" s="13" t="s">
        <v>3136</v>
      </c>
      <c r="H247" s="13">
        <v>5</v>
      </c>
      <c r="I247" s="13" t="s">
        <v>9</v>
      </c>
      <c r="J247" s="13">
        <v>60</v>
      </c>
      <c r="K247" s="41">
        <v>46334</v>
      </c>
      <c r="L247" s="25"/>
      <c r="M247" s="25"/>
      <c r="N247" s="25"/>
      <c r="O247" s="79">
        <v>15.86</v>
      </c>
      <c r="P247" s="127" t="s">
        <v>3756</v>
      </c>
    </row>
    <row r="248" spans="1:16">
      <c r="A248" s="39" t="s">
        <v>3757</v>
      </c>
      <c r="B248" s="77" t="s">
        <v>3135</v>
      </c>
      <c r="C248" s="11">
        <v>8326182</v>
      </c>
      <c r="D248" s="11" t="s">
        <v>1768</v>
      </c>
      <c r="E248" s="11">
        <v>2507115010</v>
      </c>
      <c r="F248" s="15">
        <v>47064</v>
      </c>
      <c r="G248" s="11" t="s">
        <v>3136</v>
      </c>
      <c r="H248" s="11">
        <v>1</v>
      </c>
      <c r="I248" s="11" t="s">
        <v>9</v>
      </c>
      <c r="J248" s="11">
        <v>144</v>
      </c>
      <c r="K248" s="11" t="s">
        <v>3287</v>
      </c>
      <c r="L248" s="26"/>
      <c r="M248" s="26"/>
      <c r="N248" s="26"/>
      <c r="O248" s="78">
        <v>14.78</v>
      </c>
      <c r="P248" s="127" t="s">
        <v>3758</v>
      </c>
    </row>
    <row r="249" spans="1:16">
      <c r="A249" s="38" t="s">
        <v>3759</v>
      </c>
      <c r="B249" s="76" t="s">
        <v>3135</v>
      </c>
      <c r="C249" s="13">
        <v>8400460</v>
      </c>
      <c r="D249" s="13" t="s">
        <v>1866</v>
      </c>
      <c r="E249" s="13" t="s">
        <v>3760</v>
      </c>
      <c r="F249" s="16">
        <v>46820</v>
      </c>
      <c r="G249" s="13" t="s">
        <v>3136</v>
      </c>
      <c r="H249" s="13">
        <v>33</v>
      </c>
      <c r="I249" s="13" t="s">
        <v>9</v>
      </c>
      <c r="J249" s="13">
        <v>198</v>
      </c>
      <c r="K249" s="14" t="s">
        <v>3367</v>
      </c>
      <c r="L249" s="25"/>
      <c r="M249" s="25"/>
      <c r="N249" s="25"/>
      <c r="O249" s="79">
        <v>435.50099999999998</v>
      </c>
      <c r="P249" s="127" t="s">
        <v>3761</v>
      </c>
    </row>
    <row r="250" spans="1:16">
      <c r="A250" s="39" t="s">
        <v>3762</v>
      </c>
      <c r="B250" s="77" t="s">
        <v>3135</v>
      </c>
      <c r="C250" s="11">
        <v>8400461</v>
      </c>
      <c r="D250" s="11" t="s">
        <v>1868</v>
      </c>
      <c r="E250" s="11" t="s">
        <v>3763</v>
      </c>
      <c r="F250" s="15">
        <v>46820</v>
      </c>
      <c r="G250" s="11" t="s">
        <v>3136</v>
      </c>
      <c r="H250" s="11">
        <v>40</v>
      </c>
      <c r="I250" s="11" t="s">
        <v>9</v>
      </c>
      <c r="J250" s="11">
        <v>160</v>
      </c>
      <c r="K250" s="11" t="s">
        <v>3304</v>
      </c>
      <c r="L250" s="26"/>
      <c r="M250" s="26"/>
      <c r="N250" s="26"/>
      <c r="O250" s="78">
        <v>529.04</v>
      </c>
      <c r="P250" s="127" t="s">
        <v>3764</v>
      </c>
    </row>
    <row r="251" spans="1:16">
      <c r="A251" s="38" t="s">
        <v>3765</v>
      </c>
      <c r="B251" s="76" t="s">
        <v>3135</v>
      </c>
      <c r="C251" s="13">
        <v>8400627</v>
      </c>
      <c r="D251" s="13" t="s">
        <v>2010</v>
      </c>
      <c r="E251" s="13">
        <v>2608110120</v>
      </c>
      <c r="F251" s="16">
        <v>47065</v>
      </c>
      <c r="G251" s="13" t="s">
        <v>3136</v>
      </c>
      <c r="H251" s="13">
        <v>31</v>
      </c>
      <c r="I251" s="13" t="s">
        <v>288</v>
      </c>
      <c r="J251" s="40">
        <v>1860</v>
      </c>
      <c r="K251" s="41">
        <v>46334</v>
      </c>
      <c r="L251" s="25"/>
      <c r="M251" s="25"/>
      <c r="N251" s="25"/>
      <c r="O251" s="79">
        <v>268.14999999999998</v>
      </c>
      <c r="P251" s="127" t="s">
        <v>3766</v>
      </c>
    </row>
    <row r="252" spans="1:16">
      <c r="A252" s="39" t="s">
        <v>3767</v>
      </c>
      <c r="B252" s="77" t="s">
        <v>3135</v>
      </c>
      <c r="C252" s="11">
        <v>8400628</v>
      </c>
      <c r="D252" s="11" t="s">
        <v>3768</v>
      </c>
      <c r="E252" s="11">
        <v>2506030120</v>
      </c>
      <c r="F252" s="15">
        <v>46452</v>
      </c>
      <c r="G252" s="11" t="s">
        <v>3136</v>
      </c>
      <c r="H252" s="11">
        <v>39</v>
      </c>
      <c r="I252" s="11" t="s">
        <v>288</v>
      </c>
      <c r="J252" s="17">
        <v>1170</v>
      </c>
      <c r="K252" s="11" t="s">
        <v>3287</v>
      </c>
      <c r="L252" s="26"/>
      <c r="M252" s="26"/>
      <c r="N252" s="26"/>
      <c r="O252" s="78">
        <v>385.71</v>
      </c>
      <c r="P252" s="127" t="s">
        <v>3769</v>
      </c>
    </row>
    <row r="253" spans="1:16">
      <c r="A253" s="38" t="s">
        <v>3770</v>
      </c>
      <c r="B253" s="76" t="s">
        <v>3135</v>
      </c>
      <c r="C253" s="13">
        <v>8400629</v>
      </c>
      <c r="D253" s="13" t="s">
        <v>2014</v>
      </c>
      <c r="E253" s="13">
        <v>2510090120</v>
      </c>
      <c r="F253" s="16">
        <v>46640</v>
      </c>
      <c r="G253" s="13" t="s">
        <v>3136</v>
      </c>
      <c r="H253" s="13">
        <v>2</v>
      </c>
      <c r="I253" s="13" t="s">
        <v>288</v>
      </c>
      <c r="J253" s="13">
        <v>48</v>
      </c>
      <c r="K253" s="14" t="s">
        <v>3287</v>
      </c>
      <c r="L253" s="25"/>
      <c r="M253" s="25"/>
      <c r="N253" s="25"/>
      <c r="O253" s="79">
        <v>22.216000000000001</v>
      </c>
      <c r="P253" s="127" t="s">
        <v>3771</v>
      </c>
    </row>
    <row r="254" spans="1:16">
      <c r="A254" s="39" t="s">
        <v>3772</v>
      </c>
      <c r="B254" s="77" t="s">
        <v>3135</v>
      </c>
      <c r="C254" s="11">
        <v>8400630</v>
      </c>
      <c r="D254" s="11" t="s">
        <v>2016</v>
      </c>
      <c r="E254" s="11">
        <v>2608100120</v>
      </c>
      <c r="F254" s="15">
        <v>47034</v>
      </c>
      <c r="G254" s="11" t="s">
        <v>3136</v>
      </c>
      <c r="H254" s="11">
        <v>10</v>
      </c>
      <c r="I254" s="11" t="s">
        <v>288</v>
      </c>
      <c r="J254" s="11">
        <v>150</v>
      </c>
      <c r="K254" s="15">
        <v>46334</v>
      </c>
      <c r="L254" s="26"/>
      <c r="M254" s="26"/>
      <c r="N254" s="26"/>
      <c r="O254" s="78">
        <v>112</v>
      </c>
      <c r="P254" s="127" t="s">
        <v>3773</v>
      </c>
    </row>
    <row r="255" spans="1:16">
      <c r="A255" s="38" t="s">
        <v>3774</v>
      </c>
      <c r="B255" s="76" t="s">
        <v>3135</v>
      </c>
      <c r="C255" s="13">
        <v>8400630</v>
      </c>
      <c r="D255" s="13" t="s">
        <v>2016</v>
      </c>
      <c r="E255" s="13">
        <v>2608230120</v>
      </c>
      <c r="F255" s="16" t="s">
        <v>3775</v>
      </c>
      <c r="G255" s="13" t="s">
        <v>3136</v>
      </c>
      <c r="H255" s="13">
        <v>14</v>
      </c>
      <c r="I255" s="13" t="s">
        <v>288</v>
      </c>
      <c r="J255" s="13">
        <v>210</v>
      </c>
      <c r="K255" s="14" t="s">
        <v>3776</v>
      </c>
      <c r="L255" s="25"/>
      <c r="M255" s="25"/>
      <c r="N255" s="25"/>
      <c r="O255" s="79">
        <v>156.80000000000001</v>
      </c>
      <c r="P255" s="127" t="s">
        <v>3777</v>
      </c>
    </row>
    <row r="256" spans="1:16">
      <c r="A256" s="39" t="s">
        <v>3778</v>
      </c>
      <c r="B256" s="77" t="s">
        <v>3135</v>
      </c>
      <c r="C256" s="11">
        <v>8400631</v>
      </c>
      <c r="D256" s="11" t="s">
        <v>2018</v>
      </c>
      <c r="E256" s="11">
        <v>2607230120</v>
      </c>
      <c r="F256" s="15" t="s">
        <v>3222</v>
      </c>
      <c r="G256" s="11" t="s">
        <v>3136</v>
      </c>
      <c r="H256" s="11">
        <v>38</v>
      </c>
      <c r="I256" s="11" t="s">
        <v>288</v>
      </c>
      <c r="J256" s="17">
        <v>2280</v>
      </c>
      <c r="K256" s="11" t="s">
        <v>3287</v>
      </c>
      <c r="L256" s="26"/>
      <c r="M256" s="26"/>
      <c r="N256" s="26"/>
      <c r="O256" s="78">
        <v>328.7</v>
      </c>
      <c r="P256" s="127" t="s">
        <v>3779</v>
      </c>
    </row>
    <row r="257" spans="1:16">
      <c r="A257" s="38" t="s">
        <v>3780</v>
      </c>
      <c r="B257" s="76" t="s">
        <v>3135</v>
      </c>
      <c r="C257" s="13">
        <v>8400632</v>
      </c>
      <c r="D257" s="13" t="s">
        <v>2020</v>
      </c>
      <c r="E257" s="13">
        <v>2608060120</v>
      </c>
      <c r="F257" s="16">
        <v>46912</v>
      </c>
      <c r="G257" s="13" t="s">
        <v>3136</v>
      </c>
      <c r="H257" s="13">
        <v>34</v>
      </c>
      <c r="I257" s="13" t="s">
        <v>288</v>
      </c>
      <c r="J257" s="13">
        <v>272</v>
      </c>
      <c r="K257" s="41">
        <v>46211</v>
      </c>
      <c r="L257" s="25"/>
      <c r="M257" s="25"/>
      <c r="N257" s="25"/>
      <c r="O257" s="79">
        <v>413.78</v>
      </c>
      <c r="P257" s="127" t="s">
        <v>3781</v>
      </c>
    </row>
    <row r="258" spans="1:16">
      <c r="A258" s="39" t="s">
        <v>3782</v>
      </c>
      <c r="B258" s="77" t="s">
        <v>3135</v>
      </c>
      <c r="C258" s="11">
        <v>8400633</v>
      </c>
      <c r="D258" s="11" t="s">
        <v>2022</v>
      </c>
      <c r="E258" s="11">
        <v>2608250120</v>
      </c>
      <c r="F258" s="15" t="s">
        <v>3783</v>
      </c>
      <c r="G258" s="11" t="s">
        <v>3136</v>
      </c>
      <c r="H258" s="11">
        <v>30</v>
      </c>
      <c r="I258" s="11" t="s">
        <v>288</v>
      </c>
      <c r="J258" s="11">
        <v>180</v>
      </c>
      <c r="K258" s="11" t="s">
        <v>3396</v>
      </c>
      <c r="L258" s="26"/>
      <c r="M258" s="26"/>
      <c r="N258" s="26"/>
      <c r="O258" s="78">
        <v>438.6</v>
      </c>
      <c r="P258" s="127" t="s">
        <v>3784</v>
      </c>
    </row>
    <row r="259" spans="1:16">
      <c r="A259" s="38" t="s">
        <v>3785</v>
      </c>
      <c r="B259" s="76" t="s">
        <v>3135</v>
      </c>
      <c r="C259" s="13">
        <v>8400634</v>
      </c>
      <c r="D259" s="13" t="s">
        <v>3786</v>
      </c>
      <c r="E259" s="13">
        <v>2608250120</v>
      </c>
      <c r="F259" s="16" t="s">
        <v>3783</v>
      </c>
      <c r="G259" s="13" t="s">
        <v>3136</v>
      </c>
      <c r="H259" s="13">
        <v>13</v>
      </c>
      <c r="I259" s="13" t="s">
        <v>288</v>
      </c>
      <c r="J259" s="13">
        <v>52</v>
      </c>
      <c r="K259" s="14" t="s">
        <v>3396</v>
      </c>
      <c r="L259" s="25"/>
      <c r="M259" s="25"/>
      <c r="N259" s="25"/>
      <c r="O259" s="79">
        <v>211.25</v>
      </c>
      <c r="P259" s="127" t="s">
        <v>3787</v>
      </c>
    </row>
    <row r="260" spans="1:16">
      <c r="A260" s="39" t="s">
        <v>3788</v>
      </c>
      <c r="B260" s="77" t="s">
        <v>3135</v>
      </c>
      <c r="C260" s="11">
        <v>8400635</v>
      </c>
      <c r="D260" s="11" t="s">
        <v>3789</v>
      </c>
      <c r="E260" s="11">
        <v>2608220120</v>
      </c>
      <c r="F260" s="15" t="s">
        <v>3790</v>
      </c>
      <c r="G260" s="11" t="s">
        <v>3136</v>
      </c>
      <c r="H260" s="11">
        <v>32</v>
      </c>
      <c r="I260" s="11" t="s">
        <v>288</v>
      </c>
      <c r="J260" s="11">
        <v>192</v>
      </c>
      <c r="K260" s="11" t="s">
        <v>3791</v>
      </c>
      <c r="L260" s="26"/>
      <c r="M260" s="26"/>
      <c r="N260" s="26"/>
      <c r="O260" s="78">
        <v>467.84</v>
      </c>
      <c r="P260" s="127" t="s">
        <v>3792</v>
      </c>
    </row>
    <row r="261" spans="1:16">
      <c r="A261" s="38" t="s">
        <v>3793</v>
      </c>
      <c r="B261" s="76" t="s">
        <v>3135</v>
      </c>
      <c r="C261" s="13">
        <v>8400636</v>
      </c>
      <c r="D261" s="13" t="s">
        <v>3794</v>
      </c>
      <c r="E261" s="13">
        <v>2608220120</v>
      </c>
      <c r="F261" s="16" t="s">
        <v>3790</v>
      </c>
      <c r="G261" s="13" t="s">
        <v>3136</v>
      </c>
      <c r="H261" s="13">
        <v>19</v>
      </c>
      <c r="I261" s="13" t="s">
        <v>288</v>
      </c>
      <c r="J261" s="13">
        <v>76</v>
      </c>
      <c r="K261" s="14" t="s">
        <v>3791</v>
      </c>
      <c r="L261" s="25"/>
      <c r="M261" s="25"/>
      <c r="N261" s="25"/>
      <c r="O261" s="79">
        <v>308.75</v>
      </c>
      <c r="P261" s="127" t="s">
        <v>3795</v>
      </c>
    </row>
    <row r="262" spans="1:16">
      <c r="A262" s="39" t="s">
        <v>3796</v>
      </c>
      <c r="B262" s="77" t="s">
        <v>3135</v>
      </c>
      <c r="C262" s="11">
        <v>8400637</v>
      </c>
      <c r="D262" s="11" t="s">
        <v>3797</v>
      </c>
      <c r="E262" s="11">
        <v>2608230120</v>
      </c>
      <c r="F262" s="15" t="s">
        <v>3775</v>
      </c>
      <c r="G262" s="11" t="s">
        <v>3136</v>
      </c>
      <c r="H262" s="11">
        <v>17</v>
      </c>
      <c r="I262" s="11" t="s">
        <v>100</v>
      </c>
      <c r="J262" s="11">
        <v>17</v>
      </c>
      <c r="K262" s="11" t="s">
        <v>3776</v>
      </c>
      <c r="L262" s="26"/>
      <c r="M262" s="26"/>
      <c r="N262" s="26"/>
      <c r="O262" s="78">
        <v>154.25800000000001</v>
      </c>
      <c r="P262" s="127" t="s">
        <v>3798</v>
      </c>
    </row>
    <row r="263" spans="1:16">
      <c r="A263" s="38" t="s">
        <v>3799</v>
      </c>
      <c r="B263" s="76" t="s">
        <v>3135</v>
      </c>
      <c r="C263" s="13">
        <v>8400637</v>
      </c>
      <c r="D263" s="13" t="s">
        <v>3797</v>
      </c>
      <c r="E263" s="13">
        <v>2608230120</v>
      </c>
      <c r="F263" s="16" t="s">
        <v>3775</v>
      </c>
      <c r="G263" s="13" t="s">
        <v>3136</v>
      </c>
      <c r="H263" s="13">
        <v>36</v>
      </c>
      <c r="I263" s="13" t="s">
        <v>100</v>
      </c>
      <c r="J263" s="13">
        <v>36</v>
      </c>
      <c r="K263" s="14" t="s">
        <v>3776</v>
      </c>
      <c r="L263" s="25"/>
      <c r="M263" s="25"/>
      <c r="N263" s="25"/>
      <c r="O263" s="79">
        <v>326.66399999999999</v>
      </c>
      <c r="P263" s="127" t="s">
        <v>3800</v>
      </c>
    </row>
    <row r="264" spans="1:16">
      <c r="A264" s="39" t="s">
        <v>3801</v>
      </c>
      <c r="B264" s="77" t="s">
        <v>3135</v>
      </c>
      <c r="C264" s="11">
        <v>8400638</v>
      </c>
      <c r="D264" s="11" t="s">
        <v>3802</v>
      </c>
      <c r="E264" s="11">
        <v>2608110120</v>
      </c>
      <c r="F264" s="15">
        <v>47065</v>
      </c>
      <c r="G264" s="11" t="s">
        <v>3136</v>
      </c>
      <c r="H264" s="11">
        <v>24</v>
      </c>
      <c r="I264" s="11" t="s">
        <v>288</v>
      </c>
      <c r="J264" s="11">
        <v>360</v>
      </c>
      <c r="K264" s="15">
        <v>46364</v>
      </c>
      <c r="L264" s="26"/>
      <c r="M264" s="26"/>
      <c r="N264" s="26"/>
      <c r="O264" s="78">
        <v>268.8</v>
      </c>
      <c r="P264" s="127" t="s">
        <v>3803</v>
      </c>
    </row>
    <row r="265" spans="1:16">
      <c r="A265" s="38" t="s">
        <v>3804</v>
      </c>
      <c r="B265" s="76" t="s">
        <v>3135</v>
      </c>
      <c r="C265" s="13">
        <v>8400638</v>
      </c>
      <c r="D265" s="13" t="s">
        <v>3802</v>
      </c>
      <c r="E265" s="13">
        <v>2608220120</v>
      </c>
      <c r="F265" s="16" t="s">
        <v>3790</v>
      </c>
      <c r="G265" s="13" t="s">
        <v>3136</v>
      </c>
      <c r="H265" s="13">
        <v>12</v>
      </c>
      <c r="I265" s="13" t="s">
        <v>288</v>
      </c>
      <c r="J265" s="13">
        <v>180</v>
      </c>
      <c r="K265" s="14" t="s">
        <v>3791</v>
      </c>
      <c r="L265" s="25"/>
      <c r="M265" s="25"/>
      <c r="N265" s="25"/>
      <c r="O265" s="79">
        <v>134.4</v>
      </c>
      <c r="P265" s="127" t="s">
        <v>3805</v>
      </c>
    </row>
    <row r="266" spans="1:16">
      <c r="A266" s="39" t="s">
        <v>3806</v>
      </c>
      <c r="B266" s="77" t="s">
        <v>3135</v>
      </c>
      <c r="C266" s="11">
        <v>8400639</v>
      </c>
      <c r="D266" s="11" t="s">
        <v>2034</v>
      </c>
      <c r="E266" s="11">
        <v>2607310120</v>
      </c>
      <c r="F266" s="15" t="s">
        <v>3807</v>
      </c>
      <c r="G266" s="11" t="s">
        <v>3136</v>
      </c>
      <c r="H266" s="11">
        <v>43</v>
      </c>
      <c r="I266" s="11" t="s">
        <v>288</v>
      </c>
      <c r="J266" s="11">
        <v>645</v>
      </c>
      <c r="K266" s="11" t="s">
        <v>3733</v>
      </c>
      <c r="L266" s="26"/>
      <c r="M266" s="26"/>
      <c r="N266" s="26"/>
      <c r="O266" s="78">
        <v>481.6</v>
      </c>
      <c r="P266" s="127" t="s">
        <v>3808</v>
      </c>
    </row>
    <row r="267" spans="1:16">
      <c r="A267" s="38" t="s">
        <v>3809</v>
      </c>
      <c r="B267" s="76" t="s">
        <v>3135</v>
      </c>
      <c r="C267" s="13">
        <v>8400639</v>
      </c>
      <c r="D267" s="13" t="s">
        <v>2034</v>
      </c>
      <c r="E267" s="13">
        <v>2607310120</v>
      </c>
      <c r="F267" s="16" t="s">
        <v>3807</v>
      </c>
      <c r="G267" s="13" t="s">
        <v>3136</v>
      </c>
      <c r="H267" s="13">
        <v>19</v>
      </c>
      <c r="I267" s="13" t="s">
        <v>288</v>
      </c>
      <c r="J267" s="13">
        <v>285</v>
      </c>
      <c r="K267" s="14" t="s">
        <v>3733</v>
      </c>
      <c r="L267" s="25"/>
      <c r="M267" s="25"/>
      <c r="N267" s="25"/>
      <c r="O267" s="79">
        <v>212.8</v>
      </c>
      <c r="P267" s="127" t="s">
        <v>3810</v>
      </c>
    </row>
    <row r="268" spans="1:16">
      <c r="A268" s="39" t="s">
        <v>3811</v>
      </c>
      <c r="B268" s="77" t="s">
        <v>3135</v>
      </c>
      <c r="C268" s="11">
        <v>8400640</v>
      </c>
      <c r="D268" s="11" t="s">
        <v>2036</v>
      </c>
      <c r="E268" s="11">
        <v>2606280120</v>
      </c>
      <c r="F268" s="15" t="s">
        <v>3812</v>
      </c>
      <c r="G268" s="11" t="s">
        <v>3136</v>
      </c>
      <c r="H268" s="11">
        <v>27</v>
      </c>
      <c r="I268" s="11" t="s">
        <v>288</v>
      </c>
      <c r="J268" s="11">
        <v>648</v>
      </c>
      <c r="K268" s="11" t="s">
        <v>3287</v>
      </c>
      <c r="L268" s="26"/>
      <c r="M268" s="26"/>
      <c r="N268" s="26"/>
      <c r="O268" s="78">
        <v>299.916</v>
      </c>
      <c r="P268" s="127" t="s">
        <v>3813</v>
      </c>
    </row>
    <row r="269" spans="1:16">
      <c r="A269" s="38" t="s">
        <v>3814</v>
      </c>
      <c r="B269" s="76" t="s">
        <v>3135</v>
      </c>
      <c r="C269" s="13">
        <v>8400641</v>
      </c>
      <c r="D269" s="13" t="s">
        <v>2038</v>
      </c>
      <c r="E269" s="13">
        <v>2608070120</v>
      </c>
      <c r="F269" s="16">
        <v>46942</v>
      </c>
      <c r="G269" s="13" t="s">
        <v>3136</v>
      </c>
      <c r="H269" s="13">
        <v>8</v>
      </c>
      <c r="I269" s="13" t="s">
        <v>288</v>
      </c>
      <c r="J269" s="13">
        <v>120</v>
      </c>
      <c r="K269" s="41">
        <v>46242</v>
      </c>
      <c r="L269" s="25"/>
      <c r="M269" s="25"/>
      <c r="N269" s="25"/>
      <c r="O269" s="79">
        <v>92</v>
      </c>
      <c r="P269" s="127" t="s">
        <v>3815</v>
      </c>
    </row>
    <row r="270" spans="1:16">
      <c r="A270" s="39" t="s">
        <v>3816</v>
      </c>
      <c r="B270" s="77" t="s">
        <v>3135</v>
      </c>
      <c r="C270" s="11">
        <v>8400642</v>
      </c>
      <c r="D270" s="11" t="s">
        <v>3817</v>
      </c>
      <c r="E270" s="11">
        <v>2607210120</v>
      </c>
      <c r="F270" s="15" t="s">
        <v>3569</v>
      </c>
      <c r="G270" s="11" t="s">
        <v>3136</v>
      </c>
      <c r="H270" s="11">
        <v>10</v>
      </c>
      <c r="I270" s="11" t="s">
        <v>288</v>
      </c>
      <c r="J270" s="11">
        <v>30</v>
      </c>
      <c r="K270" s="11" t="s">
        <v>3287</v>
      </c>
      <c r="L270" s="26"/>
      <c r="M270" s="26"/>
      <c r="N270" s="26"/>
      <c r="O270" s="78">
        <v>170.23</v>
      </c>
      <c r="P270" s="127" t="s">
        <v>3818</v>
      </c>
    </row>
    <row r="271" spans="1:16">
      <c r="A271" s="38" t="s">
        <v>3819</v>
      </c>
      <c r="B271" s="76" t="s">
        <v>3135</v>
      </c>
      <c r="C271" s="13">
        <v>8400643</v>
      </c>
      <c r="D271" s="13" t="s">
        <v>3820</v>
      </c>
      <c r="E271" s="13">
        <v>2608250120</v>
      </c>
      <c r="F271" s="16" t="s">
        <v>3783</v>
      </c>
      <c r="G271" s="13" t="s">
        <v>3136</v>
      </c>
      <c r="H271" s="13">
        <v>19</v>
      </c>
      <c r="I271" s="13" t="s">
        <v>288</v>
      </c>
      <c r="J271" s="13">
        <v>114</v>
      </c>
      <c r="K271" s="14" t="s">
        <v>3440</v>
      </c>
      <c r="L271" s="25"/>
      <c r="M271" s="25"/>
      <c r="N271" s="25"/>
      <c r="O271" s="79">
        <v>277.77999999999997</v>
      </c>
      <c r="P271" s="127" t="s">
        <v>3821</v>
      </c>
    </row>
    <row r="272" spans="1:16">
      <c r="A272" s="39" t="s">
        <v>3822</v>
      </c>
      <c r="B272" s="77" t="s">
        <v>3135</v>
      </c>
      <c r="C272" s="11">
        <v>8400643</v>
      </c>
      <c r="D272" s="11" t="s">
        <v>3820</v>
      </c>
      <c r="E272" s="11">
        <v>2608250120</v>
      </c>
      <c r="F272" s="15" t="s">
        <v>3783</v>
      </c>
      <c r="G272" s="11" t="s">
        <v>3136</v>
      </c>
      <c r="H272" s="11">
        <v>12</v>
      </c>
      <c r="I272" s="11" t="s">
        <v>288</v>
      </c>
      <c r="J272" s="11">
        <v>72</v>
      </c>
      <c r="K272" s="11" t="s">
        <v>3440</v>
      </c>
      <c r="L272" s="26"/>
      <c r="M272" s="26"/>
      <c r="N272" s="26"/>
      <c r="O272" s="78">
        <v>175.44</v>
      </c>
      <c r="P272" s="127" t="s">
        <v>3823</v>
      </c>
    </row>
    <row r="273" spans="1:16">
      <c r="A273" s="38" t="s">
        <v>3824</v>
      </c>
      <c r="B273" s="76" t="s">
        <v>3135</v>
      </c>
      <c r="C273" s="13">
        <v>8400644</v>
      </c>
      <c r="D273" s="13" t="s">
        <v>2044</v>
      </c>
      <c r="E273" s="13">
        <v>2608240120</v>
      </c>
      <c r="F273" s="16" t="s">
        <v>3433</v>
      </c>
      <c r="G273" s="13" t="s">
        <v>3136</v>
      </c>
      <c r="H273" s="13">
        <v>17</v>
      </c>
      <c r="I273" s="13" t="s">
        <v>288</v>
      </c>
      <c r="J273" s="13">
        <v>68</v>
      </c>
      <c r="K273" s="14" t="s">
        <v>3440</v>
      </c>
      <c r="L273" s="25"/>
      <c r="M273" s="25"/>
      <c r="N273" s="25"/>
      <c r="O273" s="79">
        <v>276.25</v>
      </c>
      <c r="P273" s="127" t="s">
        <v>3825</v>
      </c>
    </row>
    <row r="274" spans="1:16">
      <c r="A274" s="39" t="s">
        <v>3826</v>
      </c>
      <c r="B274" s="77" t="s">
        <v>3135</v>
      </c>
      <c r="C274" s="11">
        <v>8400644</v>
      </c>
      <c r="D274" s="11" t="s">
        <v>2044</v>
      </c>
      <c r="E274" s="11">
        <v>2608240120</v>
      </c>
      <c r="F274" s="15" t="s">
        <v>3433</v>
      </c>
      <c r="G274" s="11" t="s">
        <v>3136</v>
      </c>
      <c r="H274" s="11">
        <v>30</v>
      </c>
      <c r="I274" s="11" t="s">
        <v>288</v>
      </c>
      <c r="J274" s="11">
        <v>120</v>
      </c>
      <c r="K274" s="11" t="s">
        <v>3440</v>
      </c>
      <c r="L274" s="26"/>
      <c r="M274" s="26"/>
      <c r="N274" s="26"/>
      <c r="O274" s="78">
        <v>487.5</v>
      </c>
      <c r="P274" s="127" t="s">
        <v>3827</v>
      </c>
    </row>
    <row r="275" spans="1:16">
      <c r="A275" s="38" t="s">
        <v>3828</v>
      </c>
      <c r="B275" s="76" t="s">
        <v>3135</v>
      </c>
      <c r="C275" s="13">
        <v>8400659</v>
      </c>
      <c r="D275" s="13" t="s">
        <v>2050</v>
      </c>
      <c r="E275" s="13">
        <v>2607190120</v>
      </c>
      <c r="F275" s="16" t="s">
        <v>3829</v>
      </c>
      <c r="G275" s="13" t="s">
        <v>3136</v>
      </c>
      <c r="H275" s="13">
        <v>30</v>
      </c>
      <c r="I275" s="13" t="s">
        <v>288</v>
      </c>
      <c r="J275" s="13">
        <v>450</v>
      </c>
      <c r="K275" s="14" t="s">
        <v>3287</v>
      </c>
      <c r="L275" s="25"/>
      <c r="M275" s="25"/>
      <c r="N275" s="25"/>
      <c r="O275" s="79">
        <v>307.05</v>
      </c>
      <c r="P275" s="127" t="s">
        <v>3830</v>
      </c>
    </row>
    <row r="276" spans="1:16">
      <c r="A276" s="39" t="s">
        <v>3831</v>
      </c>
      <c r="B276" s="77" t="s">
        <v>3135</v>
      </c>
      <c r="C276" s="11">
        <v>8400672</v>
      </c>
      <c r="D276" s="11" t="s">
        <v>2068</v>
      </c>
      <c r="E276" s="11">
        <v>2509040120</v>
      </c>
      <c r="F276" s="15">
        <v>46486</v>
      </c>
      <c r="G276" s="11" t="s">
        <v>3136</v>
      </c>
      <c r="H276" s="11">
        <v>32</v>
      </c>
      <c r="I276" s="11" t="s">
        <v>288</v>
      </c>
      <c r="J276" s="17">
        <v>1920</v>
      </c>
      <c r="K276" s="11" t="s">
        <v>3287</v>
      </c>
      <c r="L276" s="26"/>
      <c r="M276" s="26"/>
      <c r="N276" s="26"/>
      <c r="O276" s="78">
        <v>276.8</v>
      </c>
      <c r="P276" s="127" t="s">
        <v>3832</v>
      </c>
    </row>
    <row r="277" spans="1:16">
      <c r="A277" s="38" t="s">
        <v>3833</v>
      </c>
      <c r="B277" s="76" t="s">
        <v>3135</v>
      </c>
      <c r="C277" s="13">
        <v>8400673</v>
      </c>
      <c r="D277" s="13" t="s">
        <v>2070</v>
      </c>
      <c r="E277" s="13">
        <v>2601180120</v>
      </c>
      <c r="F277" s="16" t="s">
        <v>3834</v>
      </c>
      <c r="G277" s="13" t="s">
        <v>3136</v>
      </c>
      <c r="H277" s="13">
        <v>43</v>
      </c>
      <c r="I277" s="13" t="s">
        <v>288</v>
      </c>
      <c r="J277" s="40">
        <v>2580</v>
      </c>
      <c r="K277" s="14" t="s">
        <v>3287</v>
      </c>
      <c r="L277" s="25"/>
      <c r="M277" s="25"/>
      <c r="N277" s="25"/>
      <c r="O277" s="79">
        <v>371.95</v>
      </c>
      <c r="P277" s="127" t="s">
        <v>3835</v>
      </c>
    </row>
    <row r="278" spans="1:16">
      <c r="A278" s="39" t="s">
        <v>3836</v>
      </c>
      <c r="B278" s="77" t="s">
        <v>3135</v>
      </c>
      <c r="C278" s="11">
        <v>8400687</v>
      </c>
      <c r="D278" s="11" t="s">
        <v>2092</v>
      </c>
      <c r="E278" s="11">
        <v>2608100120</v>
      </c>
      <c r="F278" s="15">
        <v>47034</v>
      </c>
      <c r="G278" s="11" t="s">
        <v>3136</v>
      </c>
      <c r="H278" s="11">
        <v>45</v>
      </c>
      <c r="I278" s="11" t="s">
        <v>288</v>
      </c>
      <c r="J278" s="17">
        <v>1080</v>
      </c>
      <c r="K278" s="15">
        <v>46334</v>
      </c>
      <c r="L278" s="26"/>
      <c r="M278" s="26"/>
      <c r="N278" s="26"/>
      <c r="O278" s="78">
        <v>499.86</v>
      </c>
      <c r="P278" s="127" t="s">
        <v>3837</v>
      </c>
    </row>
    <row r="279" spans="1:16">
      <c r="A279" s="38" t="s">
        <v>3838</v>
      </c>
      <c r="B279" s="76" t="s">
        <v>3135</v>
      </c>
      <c r="C279" s="13">
        <v>8400688</v>
      </c>
      <c r="D279" s="13" t="s">
        <v>2094</v>
      </c>
      <c r="E279" s="13">
        <v>2608010120</v>
      </c>
      <c r="F279" s="16">
        <v>46760</v>
      </c>
      <c r="G279" s="13" t="s">
        <v>3136</v>
      </c>
      <c r="H279" s="13">
        <v>42</v>
      </c>
      <c r="I279" s="13" t="s">
        <v>288</v>
      </c>
      <c r="J279" s="13">
        <v>630</v>
      </c>
      <c r="K279" s="41">
        <v>46061</v>
      </c>
      <c r="L279" s="25"/>
      <c r="M279" s="25"/>
      <c r="N279" s="25"/>
      <c r="O279" s="79">
        <v>470.4</v>
      </c>
      <c r="P279" s="127" t="s">
        <v>3839</v>
      </c>
    </row>
    <row r="280" spans="1:16">
      <c r="A280" s="39" t="s">
        <v>3840</v>
      </c>
      <c r="B280" s="77" t="s">
        <v>3135</v>
      </c>
      <c r="C280" s="11">
        <v>8400689</v>
      </c>
      <c r="D280" s="11" t="s">
        <v>3841</v>
      </c>
      <c r="E280" s="11">
        <v>2608010120</v>
      </c>
      <c r="F280" s="15">
        <v>46760</v>
      </c>
      <c r="G280" s="11" t="s">
        <v>3136</v>
      </c>
      <c r="H280" s="11">
        <v>4</v>
      </c>
      <c r="I280" s="11" t="s">
        <v>288</v>
      </c>
      <c r="J280" s="11">
        <v>120</v>
      </c>
      <c r="K280" s="15">
        <v>46150</v>
      </c>
      <c r="L280" s="26"/>
      <c r="M280" s="26"/>
      <c r="N280" s="26"/>
      <c r="O280" s="78">
        <v>39.56</v>
      </c>
      <c r="P280" s="127" t="s">
        <v>3842</v>
      </c>
    </row>
    <row r="281" spans="1:16">
      <c r="A281" s="38" t="s">
        <v>3843</v>
      </c>
      <c r="B281" s="76" t="s">
        <v>3135</v>
      </c>
      <c r="C281" s="13">
        <v>8400690</v>
      </c>
      <c r="D281" s="13" t="s">
        <v>2098</v>
      </c>
      <c r="E281" s="13">
        <v>2608100120</v>
      </c>
      <c r="F281" s="16">
        <v>47034</v>
      </c>
      <c r="G281" s="13" t="s">
        <v>3136</v>
      </c>
      <c r="H281" s="13">
        <v>6</v>
      </c>
      <c r="I281" s="13" t="s">
        <v>288</v>
      </c>
      <c r="J281" s="13">
        <v>24</v>
      </c>
      <c r="K281" s="41">
        <v>46334</v>
      </c>
      <c r="L281" s="25"/>
      <c r="M281" s="25"/>
      <c r="N281" s="25"/>
      <c r="O281" s="79">
        <v>97.5</v>
      </c>
      <c r="P281" s="127" t="s">
        <v>3844</v>
      </c>
    </row>
    <row r="282" spans="1:16">
      <c r="A282" s="39" t="s">
        <v>3845</v>
      </c>
      <c r="B282" s="77" t="s">
        <v>3135</v>
      </c>
      <c r="C282" s="11">
        <v>8400691</v>
      </c>
      <c r="D282" s="11" t="s">
        <v>2100</v>
      </c>
      <c r="E282" s="11">
        <v>2607110120</v>
      </c>
      <c r="F282" s="15">
        <v>47064</v>
      </c>
      <c r="G282" s="11" t="s">
        <v>3136</v>
      </c>
      <c r="H282" s="11">
        <v>22</v>
      </c>
      <c r="I282" s="11" t="s">
        <v>288</v>
      </c>
      <c r="J282" s="11">
        <v>176</v>
      </c>
      <c r="K282" s="11" t="s">
        <v>3287</v>
      </c>
      <c r="L282" s="26"/>
      <c r="M282" s="26"/>
      <c r="N282" s="26"/>
      <c r="O282" s="78">
        <v>267.74</v>
      </c>
      <c r="P282" s="127" t="s">
        <v>3846</v>
      </c>
    </row>
    <row r="283" spans="1:16">
      <c r="A283" s="38" t="s">
        <v>3847</v>
      </c>
      <c r="B283" s="76" t="s">
        <v>3135</v>
      </c>
      <c r="C283" s="13">
        <v>8400692</v>
      </c>
      <c r="D283" s="13" t="s">
        <v>2102</v>
      </c>
      <c r="E283" s="13">
        <v>2608280120</v>
      </c>
      <c r="F283" s="16" t="s">
        <v>3848</v>
      </c>
      <c r="G283" s="13" t="s">
        <v>3136</v>
      </c>
      <c r="H283" s="13">
        <v>1</v>
      </c>
      <c r="I283" s="13" t="s">
        <v>288</v>
      </c>
      <c r="J283" s="13">
        <v>15</v>
      </c>
      <c r="K283" s="14" t="s">
        <v>3521</v>
      </c>
      <c r="L283" s="25"/>
      <c r="M283" s="25"/>
      <c r="N283" s="25"/>
      <c r="O283" s="79">
        <v>11.5</v>
      </c>
      <c r="P283" s="127" t="s">
        <v>3849</v>
      </c>
    </row>
    <row r="284" spans="1:16">
      <c r="A284" s="39" t="s">
        <v>3850</v>
      </c>
      <c r="B284" s="77" t="s">
        <v>3135</v>
      </c>
      <c r="C284" s="11">
        <v>8400701</v>
      </c>
      <c r="D284" s="11" t="s">
        <v>2106</v>
      </c>
      <c r="E284" s="11" t="s">
        <v>3851</v>
      </c>
      <c r="F284" s="15">
        <v>46972</v>
      </c>
      <c r="G284" s="11" t="s">
        <v>3136</v>
      </c>
      <c r="H284" s="11">
        <v>36</v>
      </c>
      <c r="I284" s="11" t="s">
        <v>9</v>
      </c>
      <c r="J284" s="11">
        <v>288</v>
      </c>
      <c r="K284" s="11" t="s">
        <v>3287</v>
      </c>
      <c r="L284" s="26"/>
      <c r="M284" s="26"/>
      <c r="N284" s="26"/>
      <c r="O284" s="78">
        <v>373.03199999999998</v>
      </c>
      <c r="P284" s="127" t="s">
        <v>3852</v>
      </c>
    </row>
    <row r="285" spans="1:16">
      <c r="A285" s="38" t="s">
        <v>3853</v>
      </c>
      <c r="B285" s="76" t="s">
        <v>3135</v>
      </c>
      <c r="C285" s="13">
        <v>8400702</v>
      </c>
      <c r="D285" s="13" t="s">
        <v>2108</v>
      </c>
      <c r="E285" s="13" t="s">
        <v>3854</v>
      </c>
      <c r="F285" s="16">
        <v>46760</v>
      </c>
      <c r="G285" s="13" t="s">
        <v>3136</v>
      </c>
      <c r="H285" s="13">
        <v>24</v>
      </c>
      <c r="I285" s="13" t="s">
        <v>9</v>
      </c>
      <c r="J285" s="13">
        <v>72</v>
      </c>
      <c r="K285" s="41">
        <v>46211</v>
      </c>
      <c r="L285" s="25"/>
      <c r="M285" s="25"/>
      <c r="N285" s="25"/>
      <c r="O285" s="79">
        <v>395.28</v>
      </c>
      <c r="P285" s="127" t="s">
        <v>3855</v>
      </c>
    </row>
    <row r="286" spans="1:16">
      <c r="A286" s="39" t="s">
        <v>3856</v>
      </c>
      <c r="B286" s="77" t="s">
        <v>3135</v>
      </c>
      <c r="C286" s="11">
        <v>8404092</v>
      </c>
      <c r="D286" s="11" t="s">
        <v>2164</v>
      </c>
      <c r="E286" s="11">
        <v>2608150120</v>
      </c>
      <c r="F286" s="15" t="s">
        <v>3857</v>
      </c>
      <c r="G286" s="11" t="s">
        <v>3136</v>
      </c>
      <c r="H286" s="11">
        <v>5</v>
      </c>
      <c r="I286" s="11" t="s">
        <v>288</v>
      </c>
      <c r="J286" s="11">
        <v>20</v>
      </c>
      <c r="K286" s="11" t="s">
        <v>3367</v>
      </c>
      <c r="L286" s="26"/>
      <c r="M286" s="26"/>
      <c r="N286" s="26"/>
      <c r="O286" s="78">
        <v>80.75</v>
      </c>
      <c r="P286" s="127" t="s">
        <v>3858</v>
      </c>
    </row>
    <row r="287" spans="1:16">
      <c r="A287" s="38" t="s">
        <v>3859</v>
      </c>
      <c r="B287" s="76" t="s">
        <v>3135</v>
      </c>
      <c r="C287" s="13">
        <v>8404093</v>
      </c>
      <c r="D287" s="13" t="s">
        <v>2166</v>
      </c>
      <c r="E287" s="13">
        <v>2607090120</v>
      </c>
      <c r="F287" s="16">
        <v>47003</v>
      </c>
      <c r="G287" s="13" t="s">
        <v>3136</v>
      </c>
      <c r="H287" s="13">
        <v>9</v>
      </c>
      <c r="I287" s="13" t="s">
        <v>288</v>
      </c>
      <c r="J287" s="13">
        <v>135</v>
      </c>
      <c r="K287" s="14" t="s">
        <v>3287</v>
      </c>
      <c r="L287" s="25"/>
      <c r="M287" s="25"/>
      <c r="N287" s="25"/>
      <c r="O287" s="79">
        <v>100.8</v>
      </c>
      <c r="P287" s="127" t="s">
        <v>3860</v>
      </c>
    </row>
    <row r="288" spans="1:16">
      <c r="A288" s="39" t="s">
        <v>3861</v>
      </c>
      <c r="B288" s="77" t="s">
        <v>3135</v>
      </c>
      <c r="C288" s="11">
        <v>8404093</v>
      </c>
      <c r="D288" s="11" t="s">
        <v>2166</v>
      </c>
      <c r="E288" s="11">
        <v>2607230120</v>
      </c>
      <c r="F288" s="15" t="s">
        <v>3222</v>
      </c>
      <c r="G288" s="11" t="s">
        <v>3136</v>
      </c>
      <c r="H288" s="11">
        <v>29</v>
      </c>
      <c r="I288" s="11" t="s">
        <v>288</v>
      </c>
      <c r="J288" s="11">
        <v>435</v>
      </c>
      <c r="K288" s="11" t="s">
        <v>3287</v>
      </c>
      <c r="L288" s="26"/>
      <c r="M288" s="26"/>
      <c r="N288" s="26"/>
      <c r="O288" s="78">
        <v>324.8</v>
      </c>
      <c r="P288" s="127" t="s">
        <v>3862</v>
      </c>
    </row>
    <row r="289" spans="1:16">
      <c r="A289" s="38" t="s">
        <v>3863</v>
      </c>
      <c r="B289" s="76" t="s">
        <v>3135</v>
      </c>
      <c r="C289" s="13">
        <v>8404094</v>
      </c>
      <c r="D289" s="13" t="s">
        <v>2168</v>
      </c>
      <c r="E289" s="13">
        <v>2607230120</v>
      </c>
      <c r="F289" s="16" t="s">
        <v>3222</v>
      </c>
      <c r="G289" s="13" t="s">
        <v>3136</v>
      </c>
      <c r="H289" s="13">
        <v>22</v>
      </c>
      <c r="I289" s="13" t="s">
        <v>288</v>
      </c>
      <c r="J289" s="13">
        <v>154</v>
      </c>
      <c r="K289" s="14" t="s">
        <v>3287</v>
      </c>
      <c r="L289" s="25"/>
      <c r="M289" s="25"/>
      <c r="N289" s="25"/>
      <c r="O289" s="79">
        <v>312.62</v>
      </c>
      <c r="P289" s="127" t="s">
        <v>3864</v>
      </c>
    </row>
    <row r="290" spans="1:16">
      <c r="A290" s="39" t="s">
        <v>3865</v>
      </c>
      <c r="B290" s="77" t="s">
        <v>3135</v>
      </c>
      <c r="C290" s="11">
        <v>8404094</v>
      </c>
      <c r="D290" s="11" t="s">
        <v>2168</v>
      </c>
      <c r="E290" s="11">
        <v>2607230120</v>
      </c>
      <c r="F290" s="15" t="s">
        <v>3222</v>
      </c>
      <c r="G290" s="11" t="s">
        <v>3136</v>
      </c>
      <c r="H290" s="11">
        <v>17</v>
      </c>
      <c r="I290" s="11" t="s">
        <v>288</v>
      </c>
      <c r="J290" s="11">
        <v>119</v>
      </c>
      <c r="K290" s="11" t="s">
        <v>3367</v>
      </c>
      <c r="L290" s="26"/>
      <c r="M290" s="26"/>
      <c r="N290" s="26"/>
      <c r="O290" s="78">
        <v>241.57</v>
      </c>
      <c r="P290" s="127" t="s">
        <v>3866</v>
      </c>
    </row>
    <row r="291" spans="1:16">
      <c r="A291" s="38" t="s">
        <v>3867</v>
      </c>
      <c r="B291" s="76" t="s">
        <v>3135</v>
      </c>
      <c r="C291" s="13">
        <v>8404095</v>
      </c>
      <c r="D291" s="13" t="s">
        <v>2170</v>
      </c>
      <c r="E291" s="13">
        <v>2607230120</v>
      </c>
      <c r="F291" s="16" t="s">
        <v>3222</v>
      </c>
      <c r="G291" s="13" t="s">
        <v>3136</v>
      </c>
      <c r="H291" s="13">
        <v>9</v>
      </c>
      <c r="I291" s="13" t="s">
        <v>288</v>
      </c>
      <c r="J291" s="13">
        <v>540</v>
      </c>
      <c r="K291" s="14" t="s">
        <v>3287</v>
      </c>
      <c r="L291" s="25"/>
      <c r="M291" s="25"/>
      <c r="N291" s="25"/>
      <c r="O291" s="79">
        <v>77.849999999999994</v>
      </c>
      <c r="P291" s="127" t="s">
        <v>3868</v>
      </c>
    </row>
    <row r="292" spans="1:16">
      <c r="A292" s="39" t="s">
        <v>3869</v>
      </c>
      <c r="B292" s="77" t="s">
        <v>3135</v>
      </c>
      <c r="C292" s="11">
        <v>8404704</v>
      </c>
      <c r="D292" s="11" t="s">
        <v>2176</v>
      </c>
      <c r="E292" s="11">
        <v>2604280120</v>
      </c>
      <c r="F292" s="15" t="s">
        <v>3870</v>
      </c>
      <c r="G292" s="11" t="s">
        <v>3136</v>
      </c>
      <c r="H292" s="11">
        <v>43</v>
      </c>
      <c r="I292" s="11" t="s">
        <v>288</v>
      </c>
      <c r="J292" s="17">
        <v>2580</v>
      </c>
      <c r="K292" s="11" t="s">
        <v>3287</v>
      </c>
      <c r="L292" s="26"/>
      <c r="M292" s="26"/>
      <c r="N292" s="26"/>
      <c r="O292" s="78">
        <v>371.95</v>
      </c>
      <c r="P292" s="127" t="s">
        <v>3871</v>
      </c>
    </row>
    <row r="293" spans="1:16">
      <c r="A293" s="38" t="s">
        <v>3872</v>
      </c>
      <c r="B293" s="76" t="s">
        <v>3135</v>
      </c>
      <c r="C293" s="13">
        <v>8404705</v>
      </c>
      <c r="D293" s="13" t="s">
        <v>2178</v>
      </c>
      <c r="E293" s="13">
        <v>2608070120</v>
      </c>
      <c r="F293" s="16">
        <v>46942</v>
      </c>
      <c r="G293" s="13" t="s">
        <v>3136</v>
      </c>
      <c r="H293" s="13">
        <v>27</v>
      </c>
      <c r="I293" s="13" t="s">
        <v>288</v>
      </c>
      <c r="J293" s="13">
        <v>189</v>
      </c>
      <c r="K293" s="41">
        <v>46242</v>
      </c>
      <c r="L293" s="25"/>
      <c r="M293" s="25"/>
      <c r="N293" s="25"/>
      <c r="O293" s="79">
        <v>383.67</v>
      </c>
      <c r="P293" s="127" t="s">
        <v>3873</v>
      </c>
    </row>
    <row r="294" spans="1:16">
      <c r="A294" s="39" t="s">
        <v>3874</v>
      </c>
      <c r="B294" s="77" t="s">
        <v>3135</v>
      </c>
      <c r="C294" s="11">
        <v>8404706</v>
      </c>
      <c r="D294" s="11" t="s">
        <v>2180</v>
      </c>
      <c r="E294" s="11">
        <v>2506260120</v>
      </c>
      <c r="F294" s="15" t="s">
        <v>3875</v>
      </c>
      <c r="G294" s="11" t="s">
        <v>3136</v>
      </c>
      <c r="H294" s="11">
        <v>13</v>
      </c>
      <c r="I294" s="11" t="s">
        <v>288</v>
      </c>
      <c r="J294" s="11">
        <v>195</v>
      </c>
      <c r="K294" s="11" t="s">
        <v>3287</v>
      </c>
      <c r="L294" s="26"/>
      <c r="M294" s="26"/>
      <c r="N294" s="26"/>
      <c r="O294" s="78">
        <v>145.6</v>
      </c>
      <c r="P294" s="127" t="s">
        <v>3876</v>
      </c>
    </row>
    <row r="295" spans="1:16">
      <c r="A295" s="38" t="s">
        <v>3877</v>
      </c>
      <c r="B295" s="76" t="s">
        <v>3135</v>
      </c>
      <c r="C295" s="13">
        <v>8404707</v>
      </c>
      <c r="D295" s="13" t="s">
        <v>2182</v>
      </c>
      <c r="E295" s="13">
        <v>2607160120</v>
      </c>
      <c r="F295" s="16" t="s">
        <v>3271</v>
      </c>
      <c r="G295" s="13" t="s">
        <v>3136</v>
      </c>
      <c r="H295" s="13">
        <v>4</v>
      </c>
      <c r="I295" s="13" t="s">
        <v>288</v>
      </c>
      <c r="J295" s="13">
        <v>16</v>
      </c>
      <c r="K295" s="14" t="s">
        <v>3287</v>
      </c>
      <c r="L295" s="25"/>
      <c r="M295" s="25"/>
      <c r="N295" s="25"/>
      <c r="O295" s="79">
        <v>64.599999999999994</v>
      </c>
      <c r="P295" s="127" t="s">
        <v>3878</v>
      </c>
    </row>
    <row r="296" spans="1:16">
      <c r="A296" s="39" t="s">
        <v>3879</v>
      </c>
      <c r="B296" s="77" t="s">
        <v>3135</v>
      </c>
      <c r="C296" s="11">
        <v>8404713</v>
      </c>
      <c r="D296" s="11" t="s">
        <v>2194</v>
      </c>
      <c r="E296" s="11">
        <v>2608130120</v>
      </c>
      <c r="F296" s="15" t="s">
        <v>3424</v>
      </c>
      <c r="G296" s="11" t="s">
        <v>3136</v>
      </c>
      <c r="H296" s="11">
        <v>33</v>
      </c>
      <c r="I296" s="11" t="s">
        <v>288</v>
      </c>
      <c r="J296" s="11">
        <v>495</v>
      </c>
      <c r="K296" s="11" t="s">
        <v>3338</v>
      </c>
      <c r="L296" s="26"/>
      <c r="M296" s="26"/>
      <c r="N296" s="26"/>
      <c r="O296" s="78">
        <v>369.6</v>
      </c>
      <c r="P296" s="127" t="s">
        <v>3880</v>
      </c>
    </row>
    <row r="297" spans="1:16">
      <c r="A297" s="38" t="s">
        <v>3881</v>
      </c>
      <c r="B297" s="76" t="s">
        <v>3135</v>
      </c>
      <c r="C297" s="13">
        <v>8404714</v>
      </c>
      <c r="D297" s="13" t="s">
        <v>2196</v>
      </c>
      <c r="E297" s="13">
        <v>2606050120</v>
      </c>
      <c r="F297" s="16">
        <v>46879</v>
      </c>
      <c r="G297" s="13" t="s">
        <v>3136</v>
      </c>
      <c r="H297" s="13">
        <v>19</v>
      </c>
      <c r="I297" s="13" t="s">
        <v>288</v>
      </c>
      <c r="J297" s="13">
        <v>570</v>
      </c>
      <c r="K297" s="14" t="s">
        <v>3287</v>
      </c>
      <c r="L297" s="25"/>
      <c r="M297" s="25"/>
      <c r="N297" s="25"/>
      <c r="O297" s="79">
        <v>187.91</v>
      </c>
      <c r="P297" s="127" t="s">
        <v>3882</v>
      </c>
    </row>
    <row r="298" spans="1:16">
      <c r="A298" s="39" t="s">
        <v>3883</v>
      </c>
      <c r="B298" s="77" t="s">
        <v>3135</v>
      </c>
      <c r="C298" s="11">
        <v>8404715</v>
      </c>
      <c r="D298" s="11" t="s">
        <v>2198</v>
      </c>
      <c r="E298" s="11">
        <v>2506240120</v>
      </c>
      <c r="F298" s="15" t="s">
        <v>3884</v>
      </c>
      <c r="G298" s="11" t="s">
        <v>3136</v>
      </c>
      <c r="H298" s="11">
        <v>10</v>
      </c>
      <c r="I298" s="11" t="s">
        <v>288</v>
      </c>
      <c r="J298" s="11">
        <v>240</v>
      </c>
      <c r="K298" s="11" t="s">
        <v>3287</v>
      </c>
      <c r="L298" s="26"/>
      <c r="M298" s="26"/>
      <c r="N298" s="26"/>
      <c r="O298" s="78">
        <v>111.08</v>
      </c>
      <c r="P298" s="127" t="s">
        <v>3885</v>
      </c>
    </row>
    <row r="299" spans="1:16">
      <c r="A299" s="38" t="s">
        <v>3886</v>
      </c>
      <c r="B299" s="76" t="s">
        <v>3135</v>
      </c>
      <c r="C299" s="13">
        <v>8404716</v>
      </c>
      <c r="D299" s="13" t="s">
        <v>2200</v>
      </c>
      <c r="E299" s="13">
        <v>2608060120</v>
      </c>
      <c r="F299" s="16">
        <v>46912</v>
      </c>
      <c r="G299" s="13" t="s">
        <v>3136</v>
      </c>
      <c r="H299" s="13">
        <v>35</v>
      </c>
      <c r="I299" s="13" t="s">
        <v>288</v>
      </c>
      <c r="J299" s="13">
        <v>140</v>
      </c>
      <c r="K299" s="41">
        <v>46211</v>
      </c>
      <c r="L299" s="25"/>
      <c r="M299" s="25"/>
      <c r="N299" s="25"/>
      <c r="O299" s="79">
        <v>565.25</v>
      </c>
      <c r="P299" s="127" t="s">
        <v>3887</v>
      </c>
    </row>
    <row r="300" spans="1:16">
      <c r="A300" s="39" t="s">
        <v>3888</v>
      </c>
      <c r="B300" s="77" t="s">
        <v>3135</v>
      </c>
      <c r="C300" s="11">
        <v>8404716</v>
      </c>
      <c r="D300" s="11" t="s">
        <v>2200</v>
      </c>
      <c r="E300" s="11">
        <v>2608070120</v>
      </c>
      <c r="F300" s="15">
        <v>46942</v>
      </c>
      <c r="G300" s="11" t="s">
        <v>3136</v>
      </c>
      <c r="H300" s="11">
        <v>7</v>
      </c>
      <c r="I300" s="11" t="s">
        <v>288</v>
      </c>
      <c r="J300" s="11">
        <v>28</v>
      </c>
      <c r="K300" s="15">
        <v>46242</v>
      </c>
      <c r="L300" s="26"/>
      <c r="M300" s="26"/>
      <c r="N300" s="26"/>
      <c r="O300" s="78">
        <v>113.05</v>
      </c>
      <c r="P300" s="129" t="s">
        <v>3889</v>
      </c>
    </row>
    <row r="301" spans="1:16">
      <c r="A301" s="38" t="s">
        <v>3890</v>
      </c>
      <c r="B301" s="76" t="s">
        <v>3135</v>
      </c>
      <c r="C301" s="13">
        <v>8404717</v>
      </c>
      <c r="D301" s="13" t="s">
        <v>2202</v>
      </c>
      <c r="E301" s="13">
        <v>2608170120</v>
      </c>
      <c r="F301" s="16" t="s">
        <v>3490</v>
      </c>
      <c r="G301" s="13" t="s">
        <v>3136</v>
      </c>
      <c r="H301" s="13">
        <v>5</v>
      </c>
      <c r="I301" s="13" t="s">
        <v>288</v>
      </c>
      <c r="J301" s="13">
        <v>35</v>
      </c>
      <c r="K301" s="14" t="s">
        <v>3304</v>
      </c>
      <c r="L301" s="25"/>
      <c r="M301" s="25"/>
      <c r="N301" s="25"/>
      <c r="O301" s="79">
        <v>71.05</v>
      </c>
      <c r="P301" s="127" t="s">
        <v>3891</v>
      </c>
    </row>
    <row r="302" spans="1:16">
      <c r="A302" s="39" t="s">
        <v>3892</v>
      </c>
      <c r="B302" s="77" t="s">
        <v>3135</v>
      </c>
      <c r="C302" s="11">
        <v>8404718</v>
      </c>
      <c r="D302" s="11" t="s">
        <v>2204</v>
      </c>
      <c r="E302" s="11">
        <v>2608130120</v>
      </c>
      <c r="F302" s="15" t="s">
        <v>3424</v>
      </c>
      <c r="G302" s="11" t="s">
        <v>3136</v>
      </c>
      <c r="H302" s="11">
        <v>13</v>
      </c>
      <c r="I302" s="11" t="s">
        <v>100</v>
      </c>
      <c r="J302" s="11">
        <v>13</v>
      </c>
      <c r="K302" s="11" t="s">
        <v>3338</v>
      </c>
      <c r="L302" s="26"/>
      <c r="M302" s="26"/>
      <c r="N302" s="26"/>
      <c r="O302" s="78">
        <v>104.962</v>
      </c>
      <c r="P302" s="127" t="s">
        <v>3893</v>
      </c>
    </row>
    <row r="303" spans="1:16">
      <c r="A303" s="38" t="s">
        <v>3894</v>
      </c>
      <c r="B303" s="76" t="s">
        <v>3135</v>
      </c>
      <c r="C303" s="13">
        <v>8404719</v>
      </c>
      <c r="D303" s="13" t="s">
        <v>2206</v>
      </c>
      <c r="E303" s="13">
        <v>2506160120</v>
      </c>
      <c r="F303" s="16" t="s">
        <v>3895</v>
      </c>
      <c r="G303" s="13" t="s">
        <v>3136</v>
      </c>
      <c r="H303" s="13">
        <v>34</v>
      </c>
      <c r="I303" s="13" t="s">
        <v>288</v>
      </c>
      <c r="J303" s="40">
        <v>2040</v>
      </c>
      <c r="K303" s="14" t="s">
        <v>3287</v>
      </c>
      <c r="L303" s="25"/>
      <c r="M303" s="25"/>
      <c r="N303" s="25"/>
      <c r="O303" s="79">
        <v>294.10000000000002</v>
      </c>
      <c r="P303" s="127" t="s">
        <v>3896</v>
      </c>
    </row>
    <row r="304" spans="1:16">
      <c r="A304" s="39" t="s">
        <v>3897</v>
      </c>
      <c r="B304" s="77" t="s">
        <v>3135</v>
      </c>
      <c r="C304" s="11">
        <v>8404721</v>
      </c>
      <c r="D304" s="11" t="s">
        <v>2208</v>
      </c>
      <c r="E304" s="11">
        <v>2608020120</v>
      </c>
      <c r="F304" s="15">
        <v>46791</v>
      </c>
      <c r="G304" s="11" t="s">
        <v>3136</v>
      </c>
      <c r="H304" s="11">
        <v>14</v>
      </c>
      <c r="I304" s="11" t="s">
        <v>288</v>
      </c>
      <c r="J304" s="11">
        <v>210</v>
      </c>
      <c r="K304" s="15">
        <v>46089</v>
      </c>
      <c r="L304" s="26"/>
      <c r="M304" s="26"/>
      <c r="N304" s="26"/>
      <c r="O304" s="78">
        <v>156.80000000000001</v>
      </c>
      <c r="P304" s="127" t="s">
        <v>3898</v>
      </c>
    </row>
    <row r="305" spans="1:16">
      <c r="A305" s="38" t="s">
        <v>3899</v>
      </c>
      <c r="B305" s="76" t="s">
        <v>3135</v>
      </c>
      <c r="C305" s="13">
        <v>8404721</v>
      </c>
      <c r="D305" s="13" t="s">
        <v>2208</v>
      </c>
      <c r="E305" s="13">
        <v>2608020120</v>
      </c>
      <c r="F305" s="16">
        <v>46791</v>
      </c>
      <c r="G305" s="13" t="s">
        <v>3136</v>
      </c>
      <c r="H305" s="13">
        <v>29</v>
      </c>
      <c r="I305" s="13" t="s">
        <v>288</v>
      </c>
      <c r="J305" s="13">
        <v>435</v>
      </c>
      <c r="K305" s="41">
        <v>46089</v>
      </c>
      <c r="L305" s="25"/>
      <c r="M305" s="25"/>
      <c r="N305" s="25"/>
      <c r="O305" s="79">
        <v>324.8</v>
      </c>
      <c r="P305" s="127" t="s">
        <v>3900</v>
      </c>
    </row>
    <row r="306" spans="1:16">
      <c r="A306" s="39" t="s">
        <v>3901</v>
      </c>
      <c r="B306" s="77" t="s">
        <v>3135</v>
      </c>
      <c r="C306" s="11">
        <v>8404722</v>
      </c>
      <c r="D306" s="11" t="s">
        <v>2210</v>
      </c>
      <c r="E306" s="11">
        <v>2607220120</v>
      </c>
      <c r="F306" s="15" t="s">
        <v>3333</v>
      </c>
      <c r="G306" s="11" t="s">
        <v>3136</v>
      </c>
      <c r="H306" s="11">
        <v>10</v>
      </c>
      <c r="I306" s="11" t="s">
        <v>288</v>
      </c>
      <c r="J306" s="11">
        <v>70</v>
      </c>
      <c r="K306" s="11" t="s">
        <v>3287</v>
      </c>
      <c r="L306" s="26"/>
      <c r="M306" s="26"/>
      <c r="N306" s="26"/>
      <c r="O306" s="78">
        <v>142.1</v>
      </c>
      <c r="P306" s="127" t="s">
        <v>3902</v>
      </c>
    </row>
    <row r="307" spans="1:16">
      <c r="A307" s="38" t="s">
        <v>3903</v>
      </c>
      <c r="B307" s="76" t="s">
        <v>3135</v>
      </c>
      <c r="C307" s="13">
        <v>8404723</v>
      </c>
      <c r="D307" s="13" t="s">
        <v>2212</v>
      </c>
      <c r="E307" s="13">
        <v>2607170120</v>
      </c>
      <c r="F307" s="16" t="s">
        <v>3277</v>
      </c>
      <c r="G307" s="13" t="s">
        <v>3136</v>
      </c>
      <c r="H307" s="13">
        <v>24</v>
      </c>
      <c r="I307" s="13" t="s">
        <v>288</v>
      </c>
      <c r="J307" s="13">
        <v>576</v>
      </c>
      <c r="K307" s="14" t="s">
        <v>3287</v>
      </c>
      <c r="L307" s="25"/>
      <c r="M307" s="25"/>
      <c r="N307" s="25"/>
      <c r="O307" s="79">
        <v>266.59199999999998</v>
      </c>
      <c r="P307" s="127" t="s">
        <v>3904</v>
      </c>
    </row>
    <row r="308" spans="1:16">
      <c r="A308" s="39" t="s">
        <v>3905</v>
      </c>
      <c r="B308" s="77" t="s">
        <v>3135</v>
      </c>
      <c r="C308" s="11">
        <v>8404724</v>
      </c>
      <c r="D308" s="11" t="s">
        <v>2214</v>
      </c>
      <c r="E308" s="11">
        <v>2608215030</v>
      </c>
      <c r="F308" s="15" t="s">
        <v>3261</v>
      </c>
      <c r="G308" s="11" t="s">
        <v>3136</v>
      </c>
      <c r="H308" s="11">
        <v>14</v>
      </c>
      <c r="I308" s="11" t="s">
        <v>100</v>
      </c>
      <c r="J308" s="11">
        <v>14</v>
      </c>
      <c r="K308" s="11" t="s">
        <v>3776</v>
      </c>
      <c r="L308" s="26"/>
      <c r="M308" s="26"/>
      <c r="N308" s="26"/>
      <c r="O308" s="78">
        <v>190.4</v>
      </c>
      <c r="P308" s="127" t="s">
        <v>3906</v>
      </c>
    </row>
    <row r="309" spans="1:16">
      <c r="A309" s="38" t="s">
        <v>3907</v>
      </c>
      <c r="B309" s="76" t="s">
        <v>3135</v>
      </c>
      <c r="C309" s="13">
        <v>8404724</v>
      </c>
      <c r="D309" s="13" t="s">
        <v>2214</v>
      </c>
      <c r="E309" s="13">
        <v>2608215030</v>
      </c>
      <c r="F309" s="16" t="s">
        <v>3261</v>
      </c>
      <c r="G309" s="13" t="s">
        <v>3136</v>
      </c>
      <c r="H309" s="13">
        <v>29</v>
      </c>
      <c r="I309" s="13" t="s">
        <v>100</v>
      </c>
      <c r="J309" s="13">
        <v>29</v>
      </c>
      <c r="K309" s="14" t="s">
        <v>3776</v>
      </c>
      <c r="L309" s="25"/>
      <c r="M309" s="25"/>
      <c r="N309" s="25"/>
      <c r="O309" s="79">
        <v>394.4</v>
      </c>
      <c r="P309" s="127" t="s">
        <v>3908</v>
      </c>
    </row>
    <row r="310" spans="1:16">
      <c r="A310" s="39" t="s">
        <v>3909</v>
      </c>
      <c r="B310" s="77" t="s">
        <v>3135</v>
      </c>
      <c r="C310" s="11">
        <v>8404725</v>
      </c>
      <c r="D310" s="11" t="s">
        <v>2216</v>
      </c>
      <c r="E310" s="11">
        <v>2607220120</v>
      </c>
      <c r="F310" s="15" t="s">
        <v>3333</v>
      </c>
      <c r="G310" s="11" t="s">
        <v>3136</v>
      </c>
      <c r="H310" s="11">
        <v>11</v>
      </c>
      <c r="I310" s="11" t="s">
        <v>288</v>
      </c>
      <c r="J310" s="11">
        <v>165</v>
      </c>
      <c r="K310" s="11" t="s">
        <v>3287</v>
      </c>
      <c r="L310" s="26"/>
      <c r="M310" s="26"/>
      <c r="N310" s="26"/>
      <c r="O310" s="78">
        <v>123.2</v>
      </c>
      <c r="P310" s="127" t="s">
        <v>3910</v>
      </c>
    </row>
    <row r="311" spans="1:16">
      <c r="A311" s="38" t="s">
        <v>3911</v>
      </c>
      <c r="B311" s="76" t="s">
        <v>3135</v>
      </c>
      <c r="C311" s="13">
        <v>8404726</v>
      </c>
      <c r="D311" s="13" t="s">
        <v>2218</v>
      </c>
      <c r="E311" s="13">
        <v>2608200120</v>
      </c>
      <c r="F311" s="16" t="s">
        <v>3264</v>
      </c>
      <c r="G311" s="13" t="s">
        <v>3136</v>
      </c>
      <c r="H311" s="13">
        <v>34</v>
      </c>
      <c r="I311" s="13" t="s">
        <v>288</v>
      </c>
      <c r="J311" s="13">
        <v>238</v>
      </c>
      <c r="K311" s="14" t="s">
        <v>3321</v>
      </c>
      <c r="L311" s="25"/>
      <c r="M311" s="25"/>
      <c r="N311" s="25"/>
      <c r="O311" s="79">
        <v>483.14</v>
      </c>
      <c r="P311" s="127" t="s">
        <v>3912</v>
      </c>
    </row>
    <row r="312" spans="1:16">
      <c r="A312" s="39" t="s">
        <v>3913</v>
      </c>
      <c r="B312" s="77" t="s">
        <v>3135</v>
      </c>
      <c r="C312" s="11">
        <v>8404727</v>
      </c>
      <c r="D312" s="11" t="s">
        <v>2220</v>
      </c>
      <c r="E312" s="11">
        <v>2608120120</v>
      </c>
      <c r="F312" s="15">
        <v>47095</v>
      </c>
      <c r="G312" s="11" t="s">
        <v>3136</v>
      </c>
      <c r="H312" s="11">
        <v>39</v>
      </c>
      <c r="I312" s="11" t="s">
        <v>288</v>
      </c>
      <c r="J312" s="11">
        <v>585</v>
      </c>
      <c r="K312" s="11" t="s">
        <v>3521</v>
      </c>
      <c r="L312" s="26"/>
      <c r="M312" s="26"/>
      <c r="N312" s="26"/>
      <c r="O312" s="78">
        <v>436.8</v>
      </c>
      <c r="P312" s="127" t="s">
        <v>3914</v>
      </c>
    </row>
    <row r="313" spans="1:16">
      <c r="A313" s="38" t="s">
        <v>3915</v>
      </c>
      <c r="B313" s="76" t="s">
        <v>3135</v>
      </c>
      <c r="C313" s="13">
        <v>8404728</v>
      </c>
      <c r="D313" s="13" t="s">
        <v>2222</v>
      </c>
      <c r="E313" s="13">
        <v>2607220120</v>
      </c>
      <c r="F313" s="16" t="s">
        <v>3333</v>
      </c>
      <c r="G313" s="13" t="s">
        <v>3136</v>
      </c>
      <c r="H313" s="13">
        <v>16</v>
      </c>
      <c r="I313" s="13" t="s">
        <v>288</v>
      </c>
      <c r="J313" s="13">
        <v>480</v>
      </c>
      <c r="K313" s="14" t="s">
        <v>3287</v>
      </c>
      <c r="L313" s="25"/>
      <c r="M313" s="25"/>
      <c r="N313" s="25"/>
      <c r="O313" s="79">
        <v>158.24</v>
      </c>
      <c r="P313" s="129" t="s">
        <v>3916</v>
      </c>
    </row>
    <row r="314" spans="1:16">
      <c r="A314" s="39" t="s">
        <v>3917</v>
      </c>
      <c r="B314" s="77" t="s">
        <v>3135</v>
      </c>
      <c r="C314" s="11">
        <v>8404729</v>
      </c>
      <c r="D314" s="11" t="s">
        <v>2224</v>
      </c>
      <c r="E314" s="11">
        <v>2608060120</v>
      </c>
      <c r="F314" s="15">
        <v>46912</v>
      </c>
      <c r="G314" s="11" t="s">
        <v>3136</v>
      </c>
      <c r="H314" s="11">
        <v>21</v>
      </c>
      <c r="I314" s="11" t="s">
        <v>288</v>
      </c>
      <c r="J314" s="11">
        <v>504</v>
      </c>
      <c r="K314" s="15">
        <v>46211</v>
      </c>
      <c r="L314" s="26"/>
      <c r="M314" s="26"/>
      <c r="N314" s="26"/>
      <c r="O314" s="78">
        <v>233.268</v>
      </c>
      <c r="P314" s="127" t="s">
        <v>3918</v>
      </c>
    </row>
    <row r="315" spans="1:16">
      <c r="A315" s="38" t="s">
        <v>3919</v>
      </c>
      <c r="B315" s="76" t="s">
        <v>3135</v>
      </c>
      <c r="C315" s="13">
        <v>8404730</v>
      </c>
      <c r="D315" s="13" t="s">
        <v>2226</v>
      </c>
      <c r="E315" s="13">
        <v>2608020120</v>
      </c>
      <c r="F315" s="16">
        <v>46791</v>
      </c>
      <c r="G315" s="13" t="s">
        <v>3136</v>
      </c>
      <c r="H315" s="13">
        <v>33</v>
      </c>
      <c r="I315" s="13" t="s">
        <v>288</v>
      </c>
      <c r="J315" s="40">
        <v>1980</v>
      </c>
      <c r="K315" s="41">
        <v>46120</v>
      </c>
      <c r="L315" s="25"/>
      <c r="M315" s="25"/>
      <c r="N315" s="25"/>
      <c r="O315" s="79">
        <v>285.45</v>
      </c>
      <c r="P315" s="127" t="s">
        <v>3920</v>
      </c>
    </row>
    <row r="316" spans="1:16">
      <c r="A316" s="39" t="s">
        <v>3921</v>
      </c>
      <c r="B316" s="77" t="s">
        <v>3135</v>
      </c>
      <c r="C316" s="11">
        <v>8406134</v>
      </c>
      <c r="D316" s="11" t="s">
        <v>2246</v>
      </c>
      <c r="E316" s="11">
        <v>2607190120</v>
      </c>
      <c r="F316" s="15" t="s">
        <v>3829</v>
      </c>
      <c r="G316" s="11" t="s">
        <v>3136</v>
      </c>
      <c r="H316" s="11">
        <v>24</v>
      </c>
      <c r="I316" s="11" t="s">
        <v>100</v>
      </c>
      <c r="J316" s="11">
        <v>24</v>
      </c>
      <c r="K316" s="11" t="s">
        <v>3287</v>
      </c>
      <c r="L316" s="26"/>
      <c r="M316" s="26"/>
      <c r="N316" s="26"/>
      <c r="O316" s="78">
        <v>217.77600000000001</v>
      </c>
      <c r="P316" s="127" t="s">
        <v>3922</v>
      </c>
    </row>
    <row r="317" spans="1:16">
      <c r="A317" s="38" t="s">
        <v>3923</v>
      </c>
      <c r="B317" s="76" t="s">
        <v>3135</v>
      </c>
      <c r="C317" s="13">
        <v>8406140</v>
      </c>
      <c r="D317" s="13" t="s">
        <v>3924</v>
      </c>
      <c r="E317" s="13">
        <v>2607310120</v>
      </c>
      <c r="F317" s="16" t="s">
        <v>3807</v>
      </c>
      <c r="G317" s="13" t="s">
        <v>3136</v>
      </c>
      <c r="H317" s="13">
        <v>24</v>
      </c>
      <c r="I317" s="13" t="s">
        <v>288</v>
      </c>
      <c r="J317" s="40">
        <v>1440</v>
      </c>
      <c r="K317" s="14" t="s">
        <v>3733</v>
      </c>
      <c r="L317" s="25"/>
      <c r="M317" s="25"/>
      <c r="N317" s="25"/>
      <c r="O317" s="79">
        <v>207.6</v>
      </c>
      <c r="P317" s="127" t="s">
        <v>3925</v>
      </c>
    </row>
    <row r="318" spans="1:16">
      <c r="A318" s="39" t="s">
        <v>3926</v>
      </c>
      <c r="B318" s="77" t="s">
        <v>3135</v>
      </c>
      <c r="C318" s="11">
        <v>8406141</v>
      </c>
      <c r="D318" s="11" t="s">
        <v>3927</v>
      </c>
      <c r="E318" s="11">
        <v>2608220120</v>
      </c>
      <c r="F318" s="15" t="s">
        <v>3790</v>
      </c>
      <c r="G318" s="11" t="s">
        <v>3136</v>
      </c>
      <c r="H318" s="11">
        <v>25</v>
      </c>
      <c r="I318" s="11" t="s">
        <v>288</v>
      </c>
      <c r="J318" s="11">
        <v>150</v>
      </c>
      <c r="K318" s="11" t="s">
        <v>3791</v>
      </c>
      <c r="L318" s="26"/>
      <c r="M318" s="26"/>
      <c r="N318" s="26"/>
      <c r="O318" s="78">
        <v>365.5</v>
      </c>
      <c r="P318" s="127" t="s">
        <v>3928</v>
      </c>
    </row>
    <row r="319" spans="1:16">
      <c r="A319" s="38" t="s">
        <v>3929</v>
      </c>
      <c r="B319" s="76" t="s">
        <v>3135</v>
      </c>
      <c r="C319" s="13">
        <v>8406143</v>
      </c>
      <c r="D319" s="13" t="s">
        <v>2253</v>
      </c>
      <c r="E319" s="13">
        <v>2608220120</v>
      </c>
      <c r="F319" s="16" t="s">
        <v>3790</v>
      </c>
      <c r="G319" s="13" t="s">
        <v>3136</v>
      </c>
      <c r="H319" s="13">
        <v>17</v>
      </c>
      <c r="I319" s="13" t="s">
        <v>288</v>
      </c>
      <c r="J319" s="13">
        <v>68</v>
      </c>
      <c r="K319" s="14" t="s">
        <v>3791</v>
      </c>
      <c r="L319" s="25"/>
      <c r="M319" s="25"/>
      <c r="N319" s="25"/>
      <c r="O319" s="79">
        <v>276.25</v>
      </c>
      <c r="P319" s="127" t="s">
        <v>3930</v>
      </c>
    </row>
    <row r="320" spans="1:16">
      <c r="A320" s="39" t="s">
        <v>3931</v>
      </c>
      <c r="B320" s="77" t="s">
        <v>3135</v>
      </c>
      <c r="C320" s="11">
        <v>8406143</v>
      </c>
      <c r="D320" s="11" t="s">
        <v>2253</v>
      </c>
      <c r="E320" s="11">
        <v>2608220120</v>
      </c>
      <c r="F320" s="15" t="s">
        <v>3790</v>
      </c>
      <c r="G320" s="11" t="s">
        <v>3136</v>
      </c>
      <c r="H320" s="11">
        <v>25</v>
      </c>
      <c r="I320" s="11" t="s">
        <v>288</v>
      </c>
      <c r="J320" s="11">
        <v>100</v>
      </c>
      <c r="K320" s="11" t="s">
        <v>3791</v>
      </c>
      <c r="L320" s="26"/>
      <c r="M320" s="26"/>
      <c r="N320" s="26"/>
      <c r="O320" s="78">
        <v>406.25</v>
      </c>
      <c r="P320" s="127" t="s">
        <v>3932</v>
      </c>
    </row>
    <row r="321" spans="1:16">
      <c r="A321" s="38" t="s">
        <v>3933</v>
      </c>
      <c r="B321" s="76" t="s">
        <v>3135</v>
      </c>
      <c r="C321" s="13">
        <v>8406144</v>
      </c>
      <c r="D321" s="13" t="s">
        <v>2255</v>
      </c>
      <c r="E321" s="13">
        <v>2608120120</v>
      </c>
      <c r="F321" s="16">
        <v>47095</v>
      </c>
      <c r="G321" s="13" t="s">
        <v>3136</v>
      </c>
      <c r="H321" s="13">
        <v>9</v>
      </c>
      <c r="I321" s="13" t="s">
        <v>288</v>
      </c>
      <c r="J321" s="13">
        <v>27</v>
      </c>
      <c r="K321" s="14" t="s">
        <v>3494</v>
      </c>
      <c r="L321" s="25"/>
      <c r="M321" s="25"/>
      <c r="N321" s="25"/>
      <c r="O321" s="79">
        <v>153.20699999999999</v>
      </c>
      <c r="P321" s="127" t="s">
        <v>3934</v>
      </c>
    </row>
    <row r="322" spans="1:16">
      <c r="A322" s="39" t="s">
        <v>3935</v>
      </c>
      <c r="B322" s="77" t="s">
        <v>3135</v>
      </c>
      <c r="C322" s="11">
        <v>8406145</v>
      </c>
      <c r="D322" s="11" t="s">
        <v>3936</v>
      </c>
      <c r="E322" s="11">
        <v>2608210120</v>
      </c>
      <c r="F322" s="15" t="s">
        <v>3261</v>
      </c>
      <c r="G322" s="11" t="s">
        <v>3136</v>
      </c>
      <c r="H322" s="11">
        <v>9</v>
      </c>
      <c r="I322" s="11" t="s">
        <v>288</v>
      </c>
      <c r="J322" s="11">
        <v>135</v>
      </c>
      <c r="K322" s="11" t="s">
        <v>3321</v>
      </c>
      <c r="L322" s="26"/>
      <c r="M322" s="26"/>
      <c r="N322" s="26"/>
      <c r="O322" s="78">
        <v>100.8</v>
      </c>
      <c r="P322" s="127" t="s">
        <v>3937</v>
      </c>
    </row>
    <row r="323" spans="1:16">
      <c r="A323" s="38" t="s">
        <v>3938</v>
      </c>
      <c r="B323" s="76" t="s">
        <v>3135</v>
      </c>
      <c r="C323" s="13">
        <v>8406146</v>
      </c>
      <c r="D323" s="13" t="s">
        <v>2259</v>
      </c>
      <c r="E323" s="13">
        <v>2506250120</v>
      </c>
      <c r="F323" s="16" t="s">
        <v>3939</v>
      </c>
      <c r="G323" s="13" t="s">
        <v>3136</v>
      </c>
      <c r="H323" s="13">
        <v>30</v>
      </c>
      <c r="I323" s="13" t="s">
        <v>288</v>
      </c>
      <c r="J323" s="13">
        <v>720</v>
      </c>
      <c r="K323" s="14" t="s">
        <v>3287</v>
      </c>
      <c r="L323" s="25"/>
      <c r="M323" s="25"/>
      <c r="N323" s="25"/>
      <c r="O323" s="79">
        <v>333.24</v>
      </c>
      <c r="P323" s="127" t="s">
        <v>3940</v>
      </c>
    </row>
    <row r="324" spans="1:16">
      <c r="A324" s="39" t="s">
        <v>3941</v>
      </c>
      <c r="B324" s="77" t="s">
        <v>3135</v>
      </c>
      <c r="C324" s="11">
        <v>8406147</v>
      </c>
      <c r="D324" s="11" t="s">
        <v>2261</v>
      </c>
      <c r="E324" s="11">
        <v>2506250120</v>
      </c>
      <c r="F324" s="15" t="s">
        <v>3939</v>
      </c>
      <c r="G324" s="11" t="s">
        <v>3136</v>
      </c>
      <c r="H324" s="11">
        <v>7</v>
      </c>
      <c r="I324" s="11" t="s">
        <v>288</v>
      </c>
      <c r="J324" s="11">
        <v>210</v>
      </c>
      <c r="K324" s="11" t="s">
        <v>3287</v>
      </c>
      <c r="L324" s="26"/>
      <c r="M324" s="26"/>
      <c r="N324" s="26"/>
      <c r="O324" s="78">
        <v>69.23</v>
      </c>
      <c r="P324" s="127" t="s">
        <v>3942</v>
      </c>
    </row>
    <row r="325" spans="1:16">
      <c r="A325" s="38" t="s">
        <v>3943</v>
      </c>
      <c r="B325" s="76" t="s">
        <v>3135</v>
      </c>
      <c r="C325" s="13">
        <v>8406148</v>
      </c>
      <c r="D325" s="13" t="s">
        <v>2263</v>
      </c>
      <c r="E325" s="13">
        <v>2608120120</v>
      </c>
      <c r="F325" s="16">
        <v>47095</v>
      </c>
      <c r="G325" s="13" t="s">
        <v>3136</v>
      </c>
      <c r="H325" s="13">
        <v>24</v>
      </c>
      <c r="I325" s="13" t="s">
        <v>288</v>
      </c>
      <c r="J325" s="13">
        <v>144</v>
      </c>
      <c r="K325" s="14" t="s">
        <v>3494</v>
      </c>
      <c r="L325" s="25"/>
      <c r="M325" s="25"/>
      <c r="N325" s="25"/>
      <c r="O325" s="79">
        <v>350.88</v>
      </c>
      <c r="P325" s="127" t="s">
        <v>3944</v>
      </c>
    </row>
    <row r="326" spans="1:16">
      <c r="A326" s="39" t="s">
        <v>3945</v>
      </c>
      <c r="B326" s="77" t="s">
        <v>3135</v>
      </c>
      <c r="C326" s="11">
        <v>8406150</v>
      </c>
      <c r="D326" s="11" t="s">
        <v>2267</v>
      </c>
      <c r="E326" s="11">
        <v>2608120120</v>
      </c>
      <c r="F326" s="15">
        <v>47095</v>
      </c>
      <c r="G326" s="11" t="s">
        <v>3136</v>
      </c>
      <c r="H326" s="11">
        <v>13</v>
      </c>
      <c r="I326" s="11" t="s">
        <v>288</v>
      </c>
      <c r="J326" s="11">
        <v>52</v>
      </c>
      <c r="K326" s="11" t="s">
        <v>3494</v>
      </c>
      <c r="L326" s="26"/>
      <c r="M326" s="26"/>
      <c r="N326" s="26"/>
      <c r="O326" s="78">
        <v>211.25</v>
      </c>
      <c r="P326" s="127" t="s">
        <v>3946</v>
      </c>
    </row>
    <row r="327" spans="1:16">
      <c r="A327" s="38" t="s">
        <v>3947</v>
      </c>
      <c r="B327" s="76" t="s">
        <v>3135</v>
      </c>
      <c r="C327" s="13">
        <v>8406151</v>
      </c>
      <c r="D327" s="13" t="s">
        <v>2269</v>
      </c>
      <c r="E327" s="13">
        <v>2608120120</v>
      </c>
      <c r="F327" s="16">
        <v>47095</v>
      </c>
      <c r="G327" s="13" t="s">
        <v>3136</v>
      </c>
      <c r="H327" s="13">
        <v>24</v>
      </c>
      <c r="I327" s="13" t="s">
        <v>288</v>
      </c>
      <c r="J327" s="13">
        <v>360</v>
      </c>
      <c r="K327" s="14" t="s">
        <v>3494</v>
      </c>
      <c r="L327" s="25"/>
      <c r="M327" s="25"/>
      <c r="N327" s="25"/>
      <c r="O327" s="79">
        <v>268.8</v>
      </c>
      <c r="P327" s="127" t="s">
        <v>3948</v>
      </c>
    </row>
    <row r="328" spans="1:16">
      <c r="A328" s="39" t="s">
        <v>3949</v>
      </c>
      <c r="B328" s="77" t="s">
        <v>3135</v>
      </c>
      <c r="C328" s="11">
        <v>8406152</v>
      </c>
      <c r="D328" s="11" t="s">
        <v>2271</v>
      </c>
      <c r="E328" s="11">
        <v>2607190120</v>
      </c>
      <c r="F328" s="15" t="s">
        <v>3829</v>
      </c>
      <c r="G328" s="11" t="s">
        <v>3136</v>
      </c>
      <c r="H328" s="11">
        <v>8</v>
      </c>
      <c r="I328" s="11" t="s">
        <v>288</v>
      </c>
      <c r="J328" s="11">
        <v>192</v>
      </c>
      <c r="K328" s="11" t="s">
        <v>3287</v>
      </c>
      <c r="L328" s="26"/>
      <c r="M328" s="26"/>
      <c r="N328" s="26"/>
      <c r="O328" s="78">
        <v>88.864000000000004</v>
      </c>
      <c r="P328" s="127" t="s">
        <v>3950</v>
      </c>
    </row>
    <row r="329" spans="1:16">
      <c r="A329" s="38" t="s">
        <v>3951</v>
      </c>
      <c r="B329" s="76" t="s">
        <v>3135</v>
      </c>
      <c r="C329" s="13">
        <v>8406153</v>
      </c>
      <c r="D329" s="13" t="s">
        <v>2273</v>
      </c>
      <c r="E329" s="13">
        <v>2608120120</v>
      </c>
      <c r="F329" s="16">
        <v>47095</v>
      </c>
      <c r="G329" s="13" t="s">
        <v>3136</v>
      </c>
      <c r="H329" s="13">
        <v>4</v>
      </c>
      <c r="I329" s="13" t="s">
        <v>288</v>
      </c>
      <c r="J329" s="13">
        <v>24</v>
      </c>
      <c r="K329" s="14" t="s">
        <v>3494</v>
      </c>
      <c r="L329" s="25"/>
      <c r="M329" s="25"/>
      <c r="N329" s="25"/>
      <c r="O329" s="79">
        <v>58.48</v>
      </c>
      <c r="P329" s="127" t="s">
        <v>3952</v>
      </c>
    </row>
    <row r="330" spans="1:16">
      <c r="A330" s="39" t="s">
        <v>3953</v>
      </c>
      <c r="B330" s="77" t="s">
        <v>3135</v>
      </c>
      <c r="C330" s="11">
        <v>8406155</v>
      </c>
      <c r="D330" s="11" t="s">
        <v>2277</v>
      </c>
      <c r="E330" s="11">
        <v>2608120120</v>
      </c>
      <c r="F330" s="15">
        <v>47095</v>
      </c>
      <c r="G330" s="11" t="s">
        <v>3136</v>
      </c>
      <c r="H330" s="11">
        <v>15</v>
      </c>
      <c r="I330" s="11" t="s">
        <v>288</v>
      </c>
      <c r="J330" s="11">
        <v>60</v>
      </c>
      <c r="K330" s="15">
        <v>46364</v>
      </c>
      <c r="L330" s="26"/>
      <c r="M330" s="26"/>
      <c r="N330" s="26"/>
      <c r="O330" s="78">
        <v>243.75</v>
      </c>
      <c r="P330" s="127" t="s">
        <v>3954</v>
      </c>
    </row>
    <row r="331" spans="1:16">
      <c r="A331" s="38" t="s">
        <v>3955</v>
      </c>
      <c r="B331" s="76" t="s">
        <v>3135</v>
      </c>
      <c r="C331" s="13">
        <v>8406156</v>
      </c>
      <c r="D331" s="13" t="s">
        <v>2279</v>
      </c>
      <c r="E331" s="13">
        <v>2608110120</v>
      </c>
      <c r="F331" s="16">
        <v>47065</v>
      </c>
      <c r="G331" s="13" t="s">
        <v>3136</v>
      </c>
      <c r="H331" s="13">
        <v>29</v>
      </c>
      <c r="I331" s="13" t="s">
        <v>288</v>
      </c>
      <c r="J331" s="13">
        <v>435</v>
      </c>
      <c r="K331" s="41">
        <v>46364</v>
      </c>
      <c r="L331" s="25"/>
      <c r="M331" s="25"/>
      <c r="N331" s="25"/>
      <c r="O331" s="79">
        <v>332.63</v>
      </c>
      <c r="P331" s="127" t="s">
        <v>3956</v>
      </c>
    </row>
    <row r="332" spans="1:16">
      <c r="A332" s="39" t="s">
        <v>3957</v>
      </c>
      <c r="B332" s="77" t="s">
        <v>3135</v>
      </c>
      <c r="C332" s="11">
        <v>8406214</v>
      </c>
      <c r="D332" s="11" t="s">
        <v>2352</v>
      </c>
      <c r="E332" s="11">
        <v>2602100120</v>
      </c>
      <c r="F332" s="15">
        <v>47028</v>
      </c>
      <c r="G332" s="11" t="s">
        <v>3136</v>
      </c>
      <c r="H332" s="11">
        <v>21</v>
      </c>
      <c r="I332" s="11" t="s">
        <v>288</v>
      </c>
      <c r="J332" s="11">
        <v>168</v>
      </c>
      <c r="K332" s="11" t="s">
        <v>3287</v>
      </c>
      <c r="L332" s="26"/>
      <c r="M332" s="26"/>
      <c r="N332" s="26"/>
      <c r="O332" s="78">
        <v>264.60000000000002</v>
      </c>
      <c r="P332" s="127" t="s">
        <v>3958</v>
      </c>
    </row>
    <row r="333" spans="1:16">
      <c r="A333" s="38" t="s">
        <v>3959</v>
      </c>
      <c r="B333" s="76" t="s">
        <v>3135</v>
      </c>
      <c r="C333" s="13">
        <v>8406216</v>
      </c>
      <c r="D333" s="13" t="s">
        <v>3960</v>
      </c>
      <c r="E333" s="13">
        <v>2608210120</v>
      </c>
      <c r="F333" s="16" t="s">
        <v>3261</v>
      </c>
      <c r="G333" s="13" t="s">
        <v>3136</v>
      </c>
      <c r="H333" s="13">
        <v>28</v>
      </c>
      <c r="I333" s="13" t="s">
        <v>288</v>
      </c>
      <c r="J333" s="13">
        <v>168</v>
      </c>
      <c r="K333" s="14" t="s">
        <v>3328</v>
      </c>
      <c r="L333" s="25"/>
      <c r="M333" s="25"/>
      <c r="N333" s="25"/>
      <c r="O333" s="79">
        <v>409.36</v>
      </c>
      <c r="P333" s="127" t="s">
        <v>3961</v>
      </c>
    </row>
    <row r="334" spans="1:16">
      <c r="A334" s="39" t="s">
        <v>3962</v>
      </c>
      <c r="B334" s="77" t="s">
        <v>3135</v>
      </c>
      <c r="C334" s="11">
        <v>8406217</v>
      </c>
      <c r="D334" s="11" t="s">
        <v>3963</v>
      </c>
      <c r="E334" s="11">
        <v>2608080120</v>
      </c>
      <c r="F334" s="15">
        <v>46973</v>
      </c>
      <c r="G334" s="11" t="s">
        <v>3136</v>
      </c>
      <c r="H334" s="11">
        <v>11</v>
      </c>
      <c r="I334" s="11" t="s">
        <v>288</v>
      </c>
      <c r="J334" s="11">
        <v>165</v>
      </c>
      <c r="K334" s="15">
        <v>46303</v>
      </c>
      <c r="L334" s="26"/>
      <c r="M334" s="26"/>
      <c r="N334" s="26"/>
      <c r="O334" s="78">
        <v>123.2</v>
      </c>
      <c r="P334" s="127" t="s">
        <v>3964</v>
      </c>
    </row>
    <row r="335" spans="1:16">
      <c r="A335" s="38" t="s">
        <v>3965</v>
      </c>
      <c r="B335" s="76" t="s">
        <v>3135</v>
      </c>
      <c r="C335" s="13">
        <v>8406218</v>
      </c>
      <c r="D335" s="13" t="s">
        <v>2358</v>
      </c>
      <c r="E335" s="13">
        <v>2607180120</v>
      </c>
      <c r="F335" s="16" t="s">
        <v>3966</v>
      </c>
      <c r="G335" s="13" t="s">
        <v>3136</v>
      </c>
      <c r="H335" s="13">
        <v>49</v>
      </c>
      <c r="I335" s="13" t="s">
        <v>288</v>
      </c>
      <c r="J335" s="40">
        <v>1176</v>
      </c>
      <c r="K335" s="14" t="s">
        <v>3287</v>
      </c>
      <c r="L335" s="25"/>
      <c r="M335" s="25"/>
      <c r="N335" s="25"/>
      <c r="O335" s="79">
        <v>544.29200000000003</v>
      </c>
      <c r="P335" s="127" t="s">
        <v>3967</v>
      </c>
    </row>
    <row r="336" spans="1:16">
      <c r="A336" s="39" t="s">
        <v>3968</v>
      </c>
      <c r="B336" s="77" t="s">
        <v>3135</v>
      </c>
      <c r="C336" s="11">
        <v>8406219</v>
      </c>
      <c r="D336" s="11" t="s">
        <v>3969</v>
      </c>
      <c r="E336" s="11">
        <v>2607100120</v>
      </c>
      <c r="F336" s="15">
        <v>47033</v>
      </c>
      <c r="G336" s="11" t="s">
        <v>3136</v>
      </c>
      <c r="H336" s="11">
        <v>41</v>
      </c>
      <c r="I336" s="11" t="s">
        <v>288</v>
      </c>
      <c r="J336" s="17">
        <v>1230</v>
      </c>
      <c r="K336" s="11" t="s">
        <v>3396</v>
      </c>
      <c r="L336" s="26"/>
      <c r="M336" s="26"/>
      <c r="N336" s="26"/>
      <c r="O336" s="78">
        <v>405.49</v>
      </c>
      <c r="P336" s="127" t="s">
        <v>3970</v>
      </c>
    </row>
    <row r="337" spans="1:16">
      <c r="A337" s="38" t="s">
        <v>3971</v>
      </c>
      <c r="B337" s="76" t="s">
        <v>3135</v>
      </c>
      <c r="C337" s="13">
        <v>8408040</v>
      </c>
      <c r="D337" s="13" t="s">
        <v>2400</v>
      </c>
      <c r="E337" s="13">
        <v>2608115030</v>
      </c>
      <c r="F337" s="16">
        <v>47065</v>
      </c>
      <c r="G337" s="13" t="s">
        <v>3136</v>
      </c>
      <c r="H337" s="13">
        <v>33</v>
      </c>
      <c r="I337" s="13" t="s">
        <v>100</v>
      </c>
      <c r="J337" s="13">
        <v>33</v>
      </c>
      <c r="K337" s="41">
        <v>46364</v>
      </c>
      <c r="L337" s="25"/>
      <c r="M337" s="25"/>
      <c r="N337" s="25"/>
      <c r="O337" s="79">
        <v>497.673</v>
      </c>
      <c r="P337" s="127" t="s">
        <v>3972</v>
      </c>
    </row>
    <row r="338" spans="1:16">
      <c r="A338" s="39" t="s">
        <v>3973</v>
      </c>
      <c r="B338" s="77" t="s">
        <v>3135</v>
      </c>
      <c r="C338" s="11">
        <v>8408041</v>
      </c>
      <c r="D338" s="11" t="s">
        <v>2402</v>
      </c>
      <c r="E338" s="11">
        <v>2608185030</v>
      </c>
      <c r="F338" s="15" t="s">
        <v>3974</v>
      </c>
      <c r="G338" s="11" t="s">
        <v>3136</v>
      </c>
      <c r="H338" s="11">
        <v>31</v>
      </c>
      <c r="I338" s="11" t="s">
        <v>288</v>
      </c>
      <c r="J338" s="11">
        <v>372</v>
      </c>
      <c r="K338" s="11" t="s">
        <v>3328</v>
      </c>
      <c r="L338" s="26"/>
      <c r="M338" s="26"/>
      <c r="N338" s="26"/>
      <c r="O338" s="78">
        <v>388.83300000000003</v>
      </c>
      <c r="P338" s="127" t="s">
        <v>3975</v>
      </c>
    </row>
    <row r="339" spans="1:16">
      <c r="A339" s="38" t="s">
        <v>3976</v>
      </c>
      <c r="B339" s="76" t="s">
        <v>3135</v>
      </c>
      <c r="C339" s="13">
        <v>8408041</v>
      </c>
      <c r="D339" s="13" t="s">
        <v>2402</v>
      </c>
      <c r="E339" s="13">
        <v>2608185030</v>
      </c>
      <c r="F339" s="16" t="s">
        <v>3974</v>
      </c>
      <c r="G339" s="13" t="s">
        <v>3136</v>
      </c>
      <c r="H339" s="13">
        <v>15</v>
      </c>
      <c r="I339" s="13" t="s">
        <v>288</v>
      </c>
      <c r="J339" s="13">
        <v>180</v>
      </c>
      <c r="K339" s="14" t="s">
        <v>3328</v>
      </c>
      <c r="L339" s="25"/>
      <c r="M339" s="25"/>
      <c r="N339" s="25"/>
      <c r="O339" s="79">
        <v>188.14500000000001</v>
      </c>
      <c r="P339" s="127" t="s">
        <v>3977</v>
      </c>
    </row>
    <row r="340" spans="1:16">
      <c r="A340" s="39" t="s">
        <v>3978</v>
      </c>
      <c r="B340" s="77" t="s">
        <v>3135</v>
      </c>
      <c r="C340" s="11">
        <v>8408042</v>
      </c>
      <c r="D340" s="11" t="s">
        <v>2404</v>
      </c>
      <c r="E340" s="11">
        <v>2608275030</v>
      </c>
      <c r="F340" s="15" t="s">
        <v>3747</v>
      </c>
      <c r="G340" s="11" t="s">
        <v>3136</v>
      </c>
      <c r="H340" s="11">
        <v>14</v>
      </c>
      <c r="I340" s="11" t="s">
        <v>100</v>
      </c>
      <c r="J340" s="11">
        <v>14</v>
      </c>
      <c r="K340" s="11" t="s">
        <v>3334</v>
      </c>
      <c r="L340" s="26"/>
      <c r="M340" s="26"/>
      <c r="N340" s="26"/>
      <c r="O340" s="78">
        <v>211.13399999999999</v>
      </c>
      <c r="P340" s="127" t="s">
        <v>3979</v>
      </c>
    </row>
    <row r="341" spans="1:16">
      <c r="A341" s="38" t="s">
        <v>3980</v>
      </c>
      <c r="B341" s="76" t="s">
        <v>3135</v>
      </c>
      <c r="C341" s="13">
        <v>8408044</v>
      </c>
      <c r="D341" s="13" t="s">
        <v>3981</v>
      </c>
      <c r="E341" s="13">
        <v>2608065030</v>
      </c>
      <c r="F341" s="16">
        <v>46912</v>
      </c>
      <c r="G341" s="13" t="s">
        <v>3136</v>
      </c>
      <c r="H341" s="13">
        <v>7</v>
      </c>
      <c r="I341" s="13" t="s">
        <v>288</v>
      </c>
      <c r="J341" s="13">
        <v>28</v>
      </c>
      <c r="K341" s="14" t="s">
        <v>3328</v>
      </c>
      <c r="L341" s="25"/>
      <c r="M341" s="25"/>
      <c r="N341" s="25"/>
      <c r="O341" s="79">
        <v>115.22</v>
      </c>
      <c r="P341" s="127" t="s">
        <v>3982</v>
      </c>
    </row>
    <row r="342" spans="1:16">
      <c r="A342" s="39" t="s">
        <v>3983</v>
      </c>
      <c r="B342" s="77" t="s">
        <v>3135</v>
      </c>
      <c r="C342" s="11">
        <v>8408045</v>
      </c>
      <c r="D342" s="11" t="s">
        <v>2408</v>
      </c>
      <c r="E342" s="11">
        <v>2608205030</v>
      </c>
      <c r="F342" s="15" t="s">
        <v>3264</v>
      </c>
      <c r="G342" s="11" t="s">
        <v>3136</v>
      </c>
      <c r="H342" s="11">
        <v>5</v>
      </c>
      <c r="I342" s="11" t="s">
        <v>100</v>
      </c>
      <c r="J342" s="11">
        <v>5</v>
      </c>
      <c r="K342" s="11" t="s">
        <v>3328</v>
      </c>
      <c r="L342" s="26"/>
      <c r="M342" s="26"/>
      <c r="N342" s="26"/>
      <c r="O342" s="78">
        <v>75.405000000000001</v>
      </c>
      <c r="P342" s="127" t="s">
        <v>3984</v>
      </c>
    </row>
    <row r="343" spans="1:16">
      <c r="A343" s="38" t="s">
        <v>3985</v>
      </c>
      <c r="B343" s="76" t="s">
        <v>3135</v>
      </c>
      <c r="C343" s="13">
        <v>8410147</v>
      </c>
      <c r="D343" s="13" t="s">
        <v>2498</v>
      </c>
      <c r="E343" s="13">
        <v>2604155030</v>
      </c>
      <c r="F343" s="16" t="s">
        <v>3986</v>
      </c>
      <c r="G343" s="13" t="s">
        <v>3136</v>
      </c>
      <c r="H343" s="13">
        <v>29</v>
      </c>
      <c r="I343" s="13" t="s">
        <v>288</v>
      </c>
      <c r="J343" s="40">
        <v>1740</v>
      </c>
      <c r="K343" s="14" t="s">
        <v>3287</v>
      </c>
      <c r="L343" s="25"/>
      <c r="M343" s="25"/>
      <c r="N343" s="25"/>
      <c r="O343" s="79">
        <v>266.8</v>
      </c>
      <c r="P343" s="127" t="s">
        <v>3987</v>
      </c>
    </row>
    <row r="344" spans="1:16">
      <c r="A344" s="39" t="s">
        <v>3988</v>
      </c>
      <c r="B344" s="77" t="s">
        <v>3135</v>
      </c>
      <c r="C344" s="11">
        <v>8410190</v>
      </c>
      <c r="D344" s="11" t="s">
        <v>2518</v>
      </c>
      <c r="E344" s="11">
        <v>2608115030</v>
      </c>
      <c r="F344" s="15">
        <v>47430</v>
      </c>
      <c r="G344" s="11" t="s">
        <v>3136</v>
      </c>
      <c r="H344" s="11">
        <v>14</v>
      </c>
      <c r="I344" s="11" t="s">
        <v>100</v>
      </c>
      <c r="J344" s="11">
        <v>14</v>
      </c>
      <c r="K344" s="11" t="s">
        <v>3585</v>
      </c>
      <c r="L344" s="26"/>
      <c r="M344" s="26"/>
      <c r="N344" s="26"/>
      <c r="O344" s="78">
        <v>190.13399999999999</v>
      </c>
      <c r="P344" s="127" t="s">
        <v>3989</v>
      </c>
    </row>
    <row r="345" spans="1:16">
      <c r="A345" s="38" t="s">
        <v>3990</v>
      </c>
      <c r="B345" s="76" t="s">
        <v>3135</v>
      </c>
      <c r="C345" s="13">
        <v>8410190</v>
      </c>
      <c r="D345" s="13" t="s">
        <v>2518</v>
      </c>
      <c r="E345" s="13">
        <v>2608175030</v>
      </c>
      <c r="F345" s="16" t="s">
        <v>3188</v>
      </c>
      <c r="G345" s="13" t="s">
        <v>3136</v>
      </c>
      <c r="H345" s="13">
        <v>16</v>
      </c>
      <c r="I345" s="13" t="s">
        <v>100</v>
      </c>
      <c r="J345" s="13">
        <v>16</v>
      </c>
      <c r="K345" s="14" t="s">
        <v>3344</v>
      </c>
      <c r="L345" s="25"/>
      <c r="M345" s="25"/>
      <c r="N345" s="25"/>
      <c r="O345" s="79">
        <v>217.29599999999999</v>
      </c>
      <c r="P345" s="127" t="s">
        <v>3991</v>
      </c>
    </row>
    <row r="346" spans="1:16">
      <c r="A346" s="39" t="s">
        <v>3992</v>
      </c>
      <c r="B346" s="77" t="s">
        <v>3135</v>
      </c>
      <c r="C346" s="11">
        <v>8410192</v>
      </c>
      <c r="D346" s="11" t="s">
        <v>2522</v>
      </c>
      <c r="E346" s="11">
        <v>2505165030</v>
      </c>
      <c r="F346" s="15" t="s">
        <v>3993</v>
      </c>
      <c r="G346" s="11" t="s">
        <v>3136</v>
      </c>
      <c r="H346" s="11">
        <v>139</v>
      </c>
      <c r="I346" s="11" t="s">
        <v>1590</v>
      </c>
      <c r="J346" s="11">
        <v>139</v>
      </c>
      <c r="K346" s="11" t="s">
        <v>3287</v>
      </c>
      <c r="L346" s="26"/>
      <c r="M346" s="26"/>
      <c r="N346" s="26"/>
      <c r="O346" s="78">
        <v>248.67099999999999</v>
      </c>
      <c r="P346" s="127" t="s">
        <v>3994</v>
      </c>
    </row>
    <row r="347" spans="1:16">
      <c r="A347" s="38" t="s">
        <v>3995</v>
      </c>
      <c r="B347" s="76" t="s">
        <v>3135</v>
      </c>
      <c r="C347" s="13">
        <v>8410211</v>
      </c>
      <c r="D347" s="13" t="s">
        <v>2546</v>
      </c>
      <c r="E347" s="13">
        <v>2608195030</v>
      </c>
      <c r="F347" s="16" t="s">
        <v>3230</v>
      </c>
      <c r="G347" s="13" t="s">
        <v>3136</v>
      </c>
      <c r="H347" s="13">
        <v>25</v>
      </c>
      <c r="I347" s="13" t="s">
        <v>288</v>
      </c>
      <c r="J347" s="40">
        <v>1500</v>
      </c>
      <c r="K347" s="14" t="s">
        <v>3321</v>
      </c>
      <c r="L347" s="25"/>
      <c r="M347" s="25"/>
      <c r="N347" s="25"/>
      <c r="O347" s="79">
        <v>223.25</v>
      </c>
      <c r="P347" s="127" t="s">
        <v>3996</v>
      </c>
    </row>
    <row r="348" spans="1:16">
      <c r="A348" s="39" t="s">
        <v>3997</v>
      </c>
      <c r="B348" s="77" t="s">
        <v>3135</v>
      </c>
      <c r="C348" s="11">
        <v>8410211</v>
      </c>
      <c r="D348" s="11" t="s">
        <v>2546</v>
      </c>
      <c r="E348" s="11">
        <v>2608195030</v>
      </c>
      <c r="F348" s="15" t="s">
        <v>3230</v>
      </c>
      <c r="G348" s="11" t="s">
        <v>3136</v>
      </c>
      <c r="H348" s="11">
        <v>42</v>
      </c>
      <c r="I348" s="11" t="s">
        <v>288</v>
      </c>
      <c r="J348" s="17">
        <v>2520</v>
      </c>
      <c r="K348" s="11" t="s">
        <v>3321</v>
      </c>
      <c r="L348" s="26"/>
      <c r="M348" s="26"/>
      <c r="N348" s="26"/>
      <c r="O348" s="78">
        <v>375.06</v>
      </c>
      <c r="P348" s="127" t="s">
        <v>3998</v>
      </c>
    </row>
    <row r="349" spans="1:16">
      <c r="A349" s="38" t="s">
        <v>3999</v>
      </c>
      <c r="B349" s="76" t="s">
        <v>3135</v>
      </c>
      <c r="C349" s="13">
        <v>8410212</v>
      </c>
      <c r="D349" s="13" t="s">
        <v>2548</v>
      </c>
      <c r="E349" s="13">
        <v>2607095030</v>
      </c>
      <c r="F349" s="16">
        <v>47003</v>
      </c>
      <c r="G349" s="13" t="s">
        <v>3136</v>
      </c>
      <c r="H349" s="13">
        <v>34</v>
      </c>
      <c r="I349" s="13" t="s">
        <v>288</v>
      </c>
      <c r="J349" s="40">
        <v>2040</v>
      </c>
      <c r="K349" s="14" t="s">
        <v>3287</v>
      </c>
      <c r="L349" s="25"/>
      <c r="M349" s="25"/>
      <c r="N349" s="25"/>
      <c r="O349" s="79">
        <v>303.62</v>
      </c>
      <c r="P349" s="127" t="s">
        <v>4000</v>
      </c>
    </row>
    <row r="350" spans="1:16">
      <c r="A350" s="39" t="s">
        <v>4001</v>
      </c>
      <c r="B350" s="77" t="s">
        <v>3135</v>
      </c>
      <c r="C350" s="11">
        <v>8410213</v>
      </c>
      <c r="D350" s="11" t="s">
        <v>2550</v>
      </c>
      <c r="E350" s="11">
        <v>2608195030</v>
      </c>
      <c r="F350" s="15" t="s">
        <v>3230</v>
      </c>
      <c r="G350" s="11" t="s">
        <v>3136</v>
      </c>
      <c r="H350" s="11">
        <v>40</v>
      </c>
      <c r="I350" s="11" t="s">
        <v>288</v>
      </c>
      <c r="J350" s="17">
        <v>2400</v>
      </c>
      <c r="K350" s="11" t="s">
        <v>3321</v>
      </c>
      <c r="L350" s="26"/>
      <c r="M350" s="26"/>
      <c r="N350" s="26"/>
      <c r="O350" s="78">
        <v>357.2</v>
      </c>
      <c r="P350" s="127" t="s">
        <v>4002</v>
      </c>
    </row>
    <row r="351" spans="1:16">
      <c r="A351" s="38" t="s">
        <v>4003</v>
      </c>
      <c r="B351" s="76" t="s">
        <v>3135</v>
      </c>
      <c r="C351" s="13">
        <v>8410213</v>
      </c>
      <c r="D351" s="13" t="s">
        <v>2550</v>
      </c>
      <c r="E351" s="13">
        <v>2608195030</v>
      </c>
      <c r="F351" s="16" t="s">
        <v>3230</v>
      </c>
      <c r="G351" s="13" t="s">
        <v>3136</v>
      </c>
      <c r="H351" s="13">
        <v>23</v>
      </c>
      <c r="I351" s="13" t="s">
        <v>288</v>
      </c>
      <c r="J351" s="40">
        <v>1380</v>
      </c>
      <c r="K351" s="14" t="s">
        <v>3321</v>
      </c>
      <c r="L351" s="25"/>
      <c r="M351" s="25"/>
      <c r="N351" s="25"/>
      <c r="O351" s="79">
        <v>205.39</v>
      </c>
      <c r="P351" s="127" t="s">
        <v>4004</v>
      </c>
    </row>
    <row r="352" spans="1:16">
      <c r="A352" s="39" t="s">
        <v>4005</v>
      </c>
      <c r="B352" s="77" t="s">
        <v>3135</v>
      </c>
      <c r="C352" s="11">
        <v>8410217</v>
      </c>
      <c r="D352" s="11" t="s">
        <v>2552</v>
      </c>
      <c r="E352" s="11">
        <v>2605225030</v>
      </c>
      <c r="F352" s="15" t="s">
        <v>4006</v>
      </c>
      <c r="G352" s="11" t="s">
        <v>3136</v>
      </c>
      <c r="H352" s="11">
        <v>19</v>
      </c>
      <c r="I352" s="11" t="s">
        <v>288</v>
      </c>
      <c r="J352" s="11">
        <v>456</v>
      </c>
      <c r="K352" s="11" t="s">
        <v>3344</v>
      </c>
      <c r="L352" s="26"/>
      <c r="M352" s="26"/>
      <c r="N352" s="26"/>
      <c r="O352" s="78">
        <v>243.2</v>
      </c>
      <c r="P352" s="127" t="s">
        <v>4007</v>
      </c>
    </row>
    <row r="353" spans="1:16">
      <c r="A353" s="38" t="s">
        <v>4008</v>
      </c>
      <c r="B353" s="76" t="s">
        <v>3135</v>
      </c>
      <c r="C353" s="13">
        <v>8410218</v>
      </c>
      <c r="D353" s="13" t="s">
        <v>4009</v>
      </c>
      <c r="E353" s="13">
        <v>2605195030</v>
      </c>
      <c r="F353" s="16" t="s">
        <v>4010</v>
      </c>
      <c r="G353" s="13" t="s">
        <v>3136</v>
      </c>
      <c r="H353" s="13">
        <v>159</v>
      </c>
      <c r="I353" s="13" t="s">
        <v>1590</v>
      </c>
      <c r="J353" s="13">
        <v>159</v>
      </c>
      <c r="K353" s="14" t="s">
        <v>3287</v>
      </c>
      <c r="L353" s="25"/>
      <c r="M353" s="25"/>
      <c r="N353" s="25"/>
      <c r="O353" s="79">
        <v>275.07</v>
      </c>
      <c r="P353" s="127" t="s">
        <v>4011</v>
      </c>
    </row>
    <row r="354" spans="1:16">
      <c r="A354" s="39" t="s">
        <v>4012</v>
      </c>
      <c r="B354" s="77" t="s">
        <v>3135</v>
      </c>
      <c r="C354" s="11">
        <v>8410219</v>
      </c>
      <c r="D354" s="11" t="s">
        <v>4013</v>
      </c>
      <c r="E354" s="11">
        <v>2607045030</v>
      </c>
      <c r="F354" s="15">
        <v>47215</v>
      </c>
      <c r="G354" s="11" t="s">
        <v>3136</v>
      </c>
      <c r="H354" s="11">
        <v>29</v>
      </c>
      <c r="I354" s="11" t="s">
        <v>100</v>
      </c>
      <c r="J354" s="11">
        <v>29</v>
      </c>
      <c r="K354" s="15">
        <v>46120</v>
      </c>
      <c r="L354" s="26"/>
      <c r="M354" s="26"/>
      <c r="N354" s="26"/>
      <c r="O354" s="78">
        <v>263.89999999999998</v>
      </c>
      <c r="P354" s="127" t="s">
        <v>4014</v>
      </c>
    </row>
    <row r="355" spans="1:16">
      <c r="A355" s="38" t="s">
        <v>4015</v>
      </c>
      <c r="B355" s="76" t="s">
        <v>3135</v>
      </c>
      <c r="C355" s="13">
        <v>8410220</v>
      </c>
      <c r="D355" s="13" t="s">
        <v>2558</v>
      </c>
      <c r="E355" s="13">
        <v>2608170120</v>
      </c>
      <c r="F355" s="16" t="s">
        <v>3188</v>
      </c>
      <c r="G355" s="13" t="s">
        <v>3136</v>
      </c>
      <c r="H355" s="13">
        <v>22</v>
      </c>
      <c r="I355" s="13" t="s">
        <v>288</v>
      </c>
      <c r="J355" s="40">
        <v>1320</v>
      </c>
      <c r="K355" s="14" t="s">
        <v>3304</v>
      </c>
      <c r="L355" s="25"/>
      <c r="M355" s="25"/>
      <c r="N355" s="25"/>
      <c r="O355" s="79">
        <v>202.4</v>
      </c>
      <c r="P355" s="127" t="s">
        <v>4016</v>
      </c>
    </row>
    <row r="356" spans="1:16">
      <c r="A356" s="39" t="s">
        <v>4017</v>
      </c>
      <c r="B356" s="77" t="s">
        <v>3135</v>
      </c>
      <c r="C356" s="11">
        <v>8410221</v>
      </c>
      <c r="D356" s="11" t="s">
        <v>2560</v>
      </c>
      <c r="E356" s="11">
        <v>2608160120</v>
      </c>
      <c r="F356" s="15" t="s">
        <v>4018</v>
      </c>
      <c r="G356" s="11" t="s">
        <v>3136</v>
      </c>
      <c r="H356" s="11">
        <v>28</v>
      </c>
      <c r="I356" s="11" t="s">
        <v>288</v>
      </c>
      <c r="J356" s="11">
        <v>420</v>
      </c>
      <c r="K356" s="11" t="s">
        <v>3353</v>
      </c>
      <c r="L356" s="26"/>
      <c r="M356" s="26"/>
      <c r="N356" s="26"/>
      <c r="O356" s="78">
        <v>316.70800000000003</v>
      </c>
      <c r="P356" s="127" t="s">
        <v>4019</v>
      </c>
    </row>
    <row r="357" spans="1:16">
      <c r="A357" s="38" t="s">
        <v>4020</v>
      </c>
      <c r="B357" s="76" t="s">
        <v>3135</v>
      </c>
      <c r="C357" s="13">
        <v>8410222</v>
      </c>
      <c r="D357" s="13" t="s">
        <v>2562</v>
      </c>
      <c r="E357" s="13">
        <v>2608170120</v>
      </c>
      <c r="F357" s="16" t="s">
        <v>3188</v>
      </c>
      <c r="G357" s="13" t="s">
        <v>3136</v>
      </c>
      <c r="H357" s="13">
        <v>13</v>
      </c>
      <c r="I357" s="13" t="s">
        <v>288</v>
      </c>
      <c r="J357" s="13">
        <v>78</v>
      </c>
      <c r="K357" s="14" t="s">
        <v>3304</v>
      </c>
      <c r="L357" s="25"/>
      <c r="M357" s="25"/>
      <c r="N357" s="25"/>
      <c r="O357" s="79">
        <v>161.83699999999999</v>
      </c>
      <c r="P357" s="127" t="s">
        <v>4021</v>
      </c>
    </row>
    <row r="358" spans="1:16">
      <c r="A358" s="39" t="s">
        <v>4022</v>
      </c>
      <c r="B358" s="77" t="s">
        <v>3135</v>
      </c>
      <c r="C358" s="11">
        <v>8410223</v>
      </c>
      <c r="D358" s="11" t="s">
        <v>4023</v>
      </c>
      <c r="E358" s="11">
        <v>2606025030</v>
      </c>
      <c r="F358" s="15">
        <v>47155</v>
      </c>
      <c r="G358" s="11" t="s">
        <v>3136</v>
      </c>
      <c r="H358" s="11">
        <v>10</v>
      </c>
      <c r="I358" s="11" t="s">
        <v>288</v>
      </c>
      <c r="J358" s="11">
        <v>90</v>
      </c>
      <c r="K358" s="11" t="s">
        <v>3287</v>
      </c>
      <c r="L358" s="26"/>
      <c r="M358" s="26"/>
      <c r="N358" s="26"/>
      <c r="O358" s="78">
        <v>91.48</v>
      </c>
      <c r="P358" s="127" t="s">
        <v>4024</v>
      </c>
    </row>
    <row r="359" spans="1:16">
      <c r="A359" s="38" t="s">
        <v>4025</v>
      </c>
      <c r="B359" s="76" t="s">
        <v>3135</v>
      </c>
      <c r="C359" s="13">
        <v>8412039</v>
      </c>
      <c r="D359" s="13" t="s">
        <v>2590</v>
      </c>
      <c r="E359" s="13">
        <v>2607225030</v>
      </c>
      <c r="F359" s="16" t="s">
        <v>3469</v>
      </c>
      <c r="G359" s="13" t="s">
        <v>3136</v>
      </c>
      <c r="H359" s="13">
        <v>54</v>
      </c>
      <c r="I359" s="13" t="s">
        <v>288</v>
      </c>
      <c r="J359" s="40">
        <v>3240</v>
      </c>
      <c r="K359" s="14" t="s">
        <v>3367</v>
      </c>
      <c r="L359" s="25"/>
      <c r="M359" s="25"/>
      <c r="N359" s="25"/>
      <c r="O359" s="79">
        <v>484.488</v>
      </c>
      <c r="P359" s="127" t="s">
        <v>4026</v>
      </c>
    </row>
    <row r="360" spans="1:16">
      <c r="A360" s="39" t="s">
        <v>4027</v>
      </c>
      <c r="B360" s="77" t="s">
        <v>3135</v>
      </c>
      <c r="C360" s="11">
        <v>8412039</v>
      </c>
      <c r="D360" s="11" t="s">
        <v>2590</v>
      </c>
      <c r="E360" s="11">
        <v>2607225030</v>
      </c>
      <c r="F360" s="15" t="s">
        <v>3469</v>
      </c>
      <c r="G360" s="11" t="s">
        <v>3136</v>
      </c>
      <c r="H360" s="11">
        <v>9</v>
      </c>
      <c r="I360" s="11" t="s">
        <v>288</v>
      </c>
      <c r="J360" s="11">
        <v>540</v>
      </c>
      <c r="K360" s="11" t="s">
        <v>3370</v>
      </c>
      <c r="L360" s="26"/>
      <c r="M360" s="26"/>
      <c r="N360" s="26"/>
      <c r="O360" s="78">
        <v>80.748000000000005</v>
      </c>
      <c r="P360" s="127" t="s">
        <v>4028</v>
      </c>
    </row>
    <row r="361" spans="1:16">
      <c r="A361" s="38" t="s">
        <v>4029</v>
      </c>
      <c r="B361" s="76" t="s">
        <v>3135</v>
      </c>
      <c r="C361" s="13">
        <v>8412040</v>
      </c>
      <c r="D361" s="13" t="s">
        <v>4030</v>
      </c>
      <c r="E361" s="13">
        <v>2607315030</v>
      </c>
      <c r="F361" s="16" t="s">
        <v>3477</v>
      </c>
      <c r="G361" s="13" t="s">
        <v>3136</v>
      </c>
      <c r="H361" s="13">
        <v>47</v>
      </c>
      <c r="I361" s="13" t="s">
        <v>288</v>
      </c>
      <c r="J361" s="40">
        <v>2820</v>
      </c>
      <c r="K361" s="14" t="s">
        <v>3321</v>
      </c>
      <c r="L361" s="25"/>
      <c r="M361" s="25"/>
      <c r="N361" s="25"/>
      <c r="O361" s="79">
        <v>421.68400000000003</v>
      </c>
      <c r="P361" s="127" t="s">
        <v>4031</v>
      </c>
    </row>
    <row r="362" spans="1:16">
      <c r="A362" s="39" t="s">
        <v>4032</v>
      </c>
      <c r="B362" s="77" t="s">
        <v>3135</v>
      </c>
      <c r="C362" s="11">
        <v>8412041</v>
      </c>
      <c r="D362" s="11" t="s">
        <v>4033</v>
      </c>
      <c r="E362" s="11">
        <v>2607305030</v>
      </c>
      <c r="F362" s="15" t="s">
        <v>4034</v>
      </c>
      <c r="G362" s="11" t="s">
        <v>3136</v>
      </c>
      <c r="H362" s="11">
        <v>49</v>
      </c>
      <c r="I362" s="11" t="s">
        <v>288</v>
      </c>
      <c r="J362" s="17">
        <v>2940</v>
      </c>
      <c r="K362" s="15">
        <v>46120</v>
      </c>
      <c r="L362" s="26"/>
      <c r="M362" s="26"/>
      <c r="N362" s="26"/>
      <c r="O362" s="78">
        <v>439.62799999999999</v>
      </c>
      <c r="P362" s="127" t="s">
        <v>4035</v>
      </c>
    </row>
    <row r="363" spans="1:16">
      <c r="A363" s="38" t="s">
        <v>4036</v>
      </c>
      <c r="B363" s="76" t="s">
        <v>3135</v>
      </c>
      <c r="C363" s="13">
        <v>8412041</v>
      </c>
      <c r="D363" s="13" t="s">
        <v>4033</v>
      </c>
      <c r="E363" s="13">
        <v>2607305030</v>
      </c>
      <c r="F363" s="16" t="s">
        <v>4034</v>
      </c>
      <c r="G363" s="13" t="s">
        <v>3136</v>
      </c>
      <c r="H363" s="13">
        <v>55</v>
      </c>
      <c r="I363" s="13" t="s">
        <v>288</v>
      </c>
      <c r="J363" s="40">
        <v>3300</v>
      </c>
      <c r="K363" s="41">
        <v>46120</v>
      </c>
      <c r="L363" s="25"/>
      <c r="M363" s="25"/>
      <c r="N363" s="25"/>
      <c r="O363" s="79">
        <v>493.46</v>
      </c>
      <c r="P363" s="127" t="s">
        <v>4037</v>
      </c>
    </row>
    <row r="364" spans="1:16">
      <c r="A364" s="39" t="s">
        <v>4038</v>
      </c>
      <c r="B364" s="77" t="s">
        <v>3135</v>
      </c>
      <c r="C364" s="11">
        <v>8412042</v>
      </c>
      <c r="D364" s="11" t="s">
        <v>2596</v>
      </c>
      <c r="E364" s="11">
        <v>2608160120</v>
      </c>
      <c r="F364" s="15" t="s">
        <v>4018</v>
      </c>
      <c r="G364" s="11" t="s">
        <v>3136</v>
      </c>
      <c r="H364" s="11">
        <v>18</v>
      </c>
      <c r="I364" s="11" t="s">
        <v>288</v>
      </c>
      <c r="J364" s="11">
        <v>72</v>
      </c>
      <c r="K364" s="11" t="s">
        <v>3521</v>
      </c>
      <c r="L364" s="26"/>
      <c r="M364" s="26"/>
      <c r="N364" s="26"/>
      <c r="O364" s="78">
        <v>292.01400000000001</v>
      </c>
      <c r="P364" s="127" t="s">
        <v>4039</v>
      </c>
    </row>
    <row r="365" spans="1:16">
      <c r="A365" s="38" t="s">
        <v>4040</v>
      </c>
      <c r="B365" s="76" t="s">
        <v>3135</v>
      </c>
      <c r="C365" s="13">
        <v>8412042</v>
      </c>
      <c r="D365" s="13" t="s">
        <v>2596</v>
      </c>
      <c r="E365" s="13">
        <v>2608160120</v>
      </c>
      <c r="F365" s="16" t="s">
        <v>4018</v>
      </c>
      <c r="G365" s="13" t="s">
        <v>3136</v>
      </c>
      <c r="H365" s="13">
        <v>20</v>
      </c>
      <c r="I365" s="13" t="s">
        <v>288</v>
      </c>
      <c r="J365" s="13">
        <v>80</v>
      </c>
      <c r="K365" s="14" t="s">
        <v>3521</v>
      </c>
      <c r="L365" s="25"/>
      <c r="M365" s="25"/>
      <c r="N365" s="25"/>
      <c r="O365" s="79">
        <v>324.45999999999998</v>
      </c>
      <c r="P365" s="127" t="s">
        <v>4041</v>
      </c>
    </row>
    <row r="366" spans="1:16">
      <c r="A366" s="39" t="s">
        <v>4042</v>
      </c>
      <c r="B366" s="77" t="s">
        <v>3135</v>
      </c>
      <c r="C366" s="11">
        <v>8412043</v>
      </c>
      <c r="D366" s="11" t="s">
        <v>2598</v>
      </c>
      <c r="E366" s="11">
        <v>2608135030</v>
      </c>
      <c r="F366" s="15" t="s">
        <v>3459</v>
      </c>
      <c r="G366" s="11" t="s">
        <v>3136</v>
      </c>
      <c r="H366" s="11">
        <v>35</v>
      </c>
      <c r="I366" s="11" t="s">
        <v>288</v>
      </c>
      <c r="J366" s="11">
        <v>140</v>
      </c>
      <c r="K366" s="11" t="s">
        <v>3321</v>
      </c>
      <c r="L366" s="26"/>
      <c r="M366" s="26"/>
      <c r="N366" s="26"/>
      <c r="O366" s="78">
        <v>569.27499999999998</v>
      </c>
      <c r="P366" s="127" t="s">
        <v>4043</v>
      </c>
    </row>
    <row r="367" spans="1:16">
      <c r="A367" s="38" t="s">
        <v>4044</v>
      </c>
      <c r="B367" s="76" t="s">
        <v>3135</v>
      </c>
      <c r="C367" s="13">
        <v>8412044</v>
      </c>
      <c r="D367" s="13" t="s">
        <v>2600</v>
      </c>
      <c r="E367" s="13">
        <v>2607140120</v>
      </c>
      <c r="F367" s="16" t="s">
        <v>3299</v>
      </c>
      <c r="G367" s="13" t="s">
        <v>3136</v>
      </c>
      <c r="H367" s="13">
        <v>33</v>
      </c>
      <c r="I367" s="13" t="s">
        <v>288</v>
      </c>
      <c r="J367" s="13">
        <v>66</v>
      </c>
      <c r="K367" s="14" t="s">
        <v>3521</v>
      </c>
      <c r="L367" s="25"/>
      <c r="M367" s="25"/>
      <c r="N367" s="25"/>
      <c r="O367" s="79">
        <v>376.959</v>
      </c>
      <c r="P367" s="127" t="s">
        <v>4045</v>
      </c>
    </row>
    <row r="368" spans="1:16">
      <c r="A368" s="39" t="s">
        <v>4046</v>
      </c>
      <c r="B368" s="77" t="s">
        <v>3135</v>
      </c>
      <c r="C368" s="11">
        <v>8412044</v>
      </c>
      <c r="D368" s="11" t="s">
        <v>2600</v>
      </c>
      <c r="E368" s="11">
        <v>2607140120</v>
      </c>
      <c r="F368" s="15" t="s">
        <v>3299</v>
      </c>
      <c r="G368" s="11" t="s">
        <v>3136</v>
      </c>
      <c r="H368" s="11">
        <v>14</v>
      </c>
      <c r="I368" s="11" t="s">
        <v>288</v>
      </c>
      <c r="J368" s="11">
        <v>28</v>
      </c>
      <c r="K368" s="11" t="s">
        <v>3521</v>
      </c>
      <c r="L368" s="26"/>
      <c r="M368" s="26"/>
      <c r="N368" s="26"/>
      <c r="O368" s="78">
        <v>159.922</v>
      </c>
      <c r="P368" s="129" t="s">
        <v>4047</v>
      </c>
    </row>
    <row r="369" spans="1:16">
      <c r="A369" s="38" t="s">
        <v>4048</v>
      </c>
      <c r="B369" s="76" t="s">
        <v>3135</v>
      </c>
      <c r="C369" s="13">
        <v>8412045</v>
      </c>
      <c r="D369" s="13" t="s">
        <v>2602</v>
      </c>
      <c r="E369" s="13">
        <v>2608205030</v>
      </c>
      <c r="F369" s="16" t="s">
        <v>3192</v>
      </c>
      <c r="G369" s="13" t="s">
        <v>3136</v>
      </c>
      <c r="H369" s="13">
        <v>5</v>
      </c>
      <c r="I369" s="13" t="s">
        <v>288</v>
      </c>
      <c r="J369" s="13">
        <v>10</v>
      </c>
      <c r="K369" s="14" t="s">
        <v>3328</v>
      </c>
      <c r="L369" s="25"/>
      <c r="M369" s="25"/>
      <c r="N369" s="25"/>
      <c r="O369" s="79">
        <v>57.115000000000002</v>
      </c>
      <c r="P369" s="127" t="s">
        <v>4049</v>
      </c>
    </row>
    <row r="370" spans="1:16">
      <c r="A370" s="39" t="s">
        <v>4050</v>
      </c>
      <c r="B370" s="77" t="s">
        <v>3135</v>
      </c>
      <c r="C370" s="11">
        <v>8412045</v>
      </c>
      <c r="D370" s="11" t="s">
        <v>2602</v>
      </c>
      <c r="E370" s="11">
        <v>2608205030</v>
      </c>
      <c r="F370" s="15" t="s">
        <v>3192</v>
      </c>
      <c r="G370" s="11" t="s">
        <v>3136</v>
      </c>
      <c r="H370" s="11">
        <v>26</v>
      </c>
      <c r="I370" s="11" t="s">
        <v>288</v>
      </c>
      <c r="J370" s="11">
        <v>52</v>
      </c>
      <c r="K370" s="11" t="s">
        <v>3328</v>
      </c>
      <c r="L370" s="26"/>
      <c r="M370" s="26"/>
      <c r="N370" s="26"/>
      <c r="O370" s="78">
        <v>296.99799999999999</v>
      </c>
      <c r="P370" s="127" t="s">
        <v>4051</v>
      </c>
    </row>
    <row r="371" spans="1:16">
      <c r="A371" s="38" t="s">
        <v>4052</v>
      </c>
      <c r="B371" s="76" t="s">
        <v>3135</v>
      </c>
      <c r="C371" s="13">
        <v>8412046</v>
      </c>
      <c r="D371" s="13" t="s">
        <v>2604</v>
      </c>
      <c r="E371" s="13">
        <v>2608150120</v>
      </c>
      <c r="F371" s="16" t="s">
        <v>3554</v>
      </c>
      <c r="G371" s="13" t="s">
        <v>3136</v>
      </c>
      <c r="H371" s="13">
        <v>1</v>
      </c>
      <c r="I371" s="13" t="s">
        <v>288</v>
      </c>
      <c r="J371" s="13">
        <v>12</v>
      </c>
      <c r="K371" s="14" t="s">
        <v>3304</v>
      </c>
      <c r="L371" s="25"/>
      <c r="M371" s="25"/>
      <c r="N371" s="25"/>
      <c r="O371" s="79">
        <v>12.542999999999999</v>
      </c>
      <c r="P371" s="127" t="s">
        <v>4053</v>
      </c>
    </row>
    <row r="372" spans="1:16">
      <c r="A372" s="39" t="s">
        <v>4054</v>
      </c>
      <c r="B372" s="77" t="s">
        <v>3135</v>
      </c>
      <c r="C372" s="11">
        <v>8412046</v>
      </c>
      <c r="D372" s="11" t="s">
        <v>2604</v>
      </c>
      <c r="E372" s="11">
        <v>2608150120</v>
      </c>
      <c r="F372" s="15" t="s">
        <v>3554</v>
      </c>
      <c r="G372" s="11" t="s">
        <v>3136</v>
      </c>
      <c r="H372" s="11">
        <v>5</v>
      </c>
      <c r="I372" s="11" t="s">
        <v>288</v>
      </c>
      <c r="J372" s="11">
        <v>60</v>
      </c>
      <c r="K372" s="11" t="s">
        <v>3304</v>
      </c>
      <c r="L372" s="26"/>
      <c r="M372" s="26"/>
      <c r="N372" s="26"/>
      <c r="O372" s="78">
        <v>62.715000000000003</v>
      </c>
      <c r="P372" s="127" t="s">
        <v>4055</v>
      </c>
    </row>
    <row r="373" spans="1:16">
      <c r="A373" s="38" t="s">
        <v>4056</v>
      </c>
      <c r="B373" s="76" t="s">
        <v>3135</v>
      </c>
      <c r="C373" s="13">
        <v>8412047</v>
      </c>
      <c r="D373" s="13" t="s">
        <v>2606</v>
      </c>
      <c r="E373" s="13">
        <v>2608145030</v>
      </c>
      <c r="F373" s="16" t="s">
        <v>3184</v>
      </c>
      <c r="G373" s="13" t="s">
        <v>3136</v>
      </c>
      <c r="H373" s="13">
        <v>3</v>
      </c>
      <c r="I373" s="13" t="s">
        <v>288</v>
      </c>
      <c r="J373" s="13">
        <v>18</v>
      </c>
      <c r="K373" s="14" t="s">
        <v>3367</v>
      </c>
      <c r="L373" s="25"/>
      <c r="M373" s="25"/>
      <c r="N373" s="25"/>
      <c r="O373" s="79">
        <v>30.402000000000001</v>
      </c>
      <c r="P373" s="127" t="s">
        <v>4057</v>
      </c>
    </row>
    <row r="374" spans="1:16">
      <c r="A374" s="39" t="s">
        <v>4058</v>
      </c>
      <c r="B374" s="77" t="s">
        <v>3135</v>
      </c>
      <c r="C374" s="11">
        <v>8412048</v>
      </c>
      <c r="D374" s="11" t="s">
        <v>2608</v>
      </c>
      <c r="E374" s="11">
        <v>2607070120</v>
      </c>
      <c r="F374" s="15">
        <v>47306</v>
      </c>
      <c r="G374" s="11" t="s">
        <v>3136</v>
      </c>
      <c r="H374" s="11">
        <v>18</v>
      </c>
      <c r="I374" s="11" t="s">
        <v>288</v>
      </c>
      <c r="J374" s="11">
        <v>270</v>
      </c>
      <c r="K374" s="11" t="s">
        <v>3287</v>
      </c>
      <c r="L374" s="26"/>
      <c r="M374" s="26"/>
      <c r="N374" s="26"/>
      <c r="O374" s="78">
        <v>179.316</v>
      </c>
      <c r="P374" s="127" t="s">
        <v>4059</v>
      </c>
    </row>
    <row r="375" spans="1:16">
      <c r="A375" s="38" t="s">
        <v>4060</v>
      </c>
      <c r="B375" s="76" t="s">
        <v>3135</v>
      </c>
      <c r="C375" s="13">
        <v>8412049</v>
      </c>
      <c r="D375" s="13" t="s">
        <v>2610</v>
      </c>
      <c r="E375" s="13">
        <v>2607235030</v>
      </c>
      <c r="F375" s="16" t="s">
        <v>3283</v>
      </c>
      <c r="G375" s="13" t="s">
        <v>3136</v>
      </c>
      <c r="H375" s="13">
        <v>20</v>
      </c>
      <c r="I375" s="13" t="s">
        <v>288</v>
      </c>
      <c r="J375" s="13">
        <v>120</v>
      </c>
      <c r="K375" s="14" t="s">
        <v>3287</v>
      </c>
      <c r="L375" s="25"/>
      <c r="M375" s="25"/>
      <c r="N375" s="25"/>
      <c r="O375" s="79">
        <v>202.72</v>
      </c>
      <c r="P375" s="127" t="s">
        <v>4061</v>
      </c>
    </row>
    <row r="376" spans="1:16">
      <c r="A376" s="39" t="s">
        <v>4062</v>
      </c>
      <c r="B376" s="77" t="s">
        <v>3135</v>
      </c>
      <c r="C376" s="11">
        <v>8412050</v>
      </c>
      <c r="D376" s="11" t="s">
        <v>2612</v>
      </c>
      <c r="E376" s="11">
        <v>2606135030</v>
      </c>
      <c r="F376" s="15" t="s">
        <v>3318</v>
      </c>
      <c r="G376" s="11" t="s">
        <v>3136</v>
      </c>
      <c r="H376" s="11">
        <v>16</v>
      </c>
      <c r="I376" s="11" t="s">
        <v>288</v>
      </c>
      <c r="J376" s="11">
        <v>240</v>
      </c>
      <c r="K376" s="15">
        <v>46181</v>
      </c>
      <c r="L376" s="26"/>
      <c r="M376" s="26"/>
      <c r="N376" s="26"/>
      <c r="O376" s="78">
        <v>159.392</v>
      </c>
      <c r="P376" s="127" t="s">
        <v>4063</v>
      </c>
    </row>
    <row r="377" spans="1:16">
      <c r="A377" s="38" t="s">
        <v>4064</v>
      </c>
      <c r="B377" s="76" t="s">
        <v>3135</v>
      </c>
      <c r="C377" s="13">
        <v>8412073</v>
      </c>
      <c r="D377" s="13" t="s">
        <v>4065</v>
      </c>
      <c r="E377" s="13">
        <v>2607215030</v>
      </c>
      <c r="F377" s="16" t="s">
        <v>4066</v>
      </c>
      <c r="G377" s="13" t="s">
        <v>3136</v>
      </c>
      <c r="H377" s="13">
        <v>23</v>
      </c>
      <c r="I377" s="13" t="s">
        <v>100</v>
      </c>
      <c r="J377" s="13">
        <v>23</v>
      </c>
      <c r="K377" s="14" t="s">
        <v>3287</v>
      </c>
      <c r="L377" s="25"/>
      <c r="M377" s="25"/>
      <c r="N377" s="25"/>
      <c r="O377" s="79">
        <v>262.72899999999998</v>
      </c>
      <c r="P377" s="127" t="s">
        <v>4067</v>
      </c>
    </row>
    <row r="378" spans="1:16">
      <c r="A378" s="39" t="s">
        <v>4068</v>
      </c>
      <c r="B378" s="77" t="s">
        <v>3135</v>
      </c>
      <c r="C378" s="11">
        <v>8412074</v>
      </c>
      <c r="D378" s="11" t="s">
        <v>4069</v>
      </c>
      <c r="E378" s="11">
        <v>2607250120</v>
      </c>
      <c r="F378" s="15" t="s">
        <v>3616</v>
      </c>
      <c r="G378" s="11" t="s">
        <v>3136</v>
      </c>
      <c r="H378" s="11">
        <v>16</v>
      </c>
      <c r="I378" s="11" t="s">
        <v>100</v>
      </c>
      <c r="J378" s="11">
        <v>16</v>
      </c>
      <c r="K378" s="11" t="s">
        <v>3313</v>
      </c>
      <c r="L378" s="26"/>
      <c r="M378" s="26"/>
      <c r="N378" s="26"/>
      <c r="O378" s="78">
        <v>182.768</v>
      </c>
      <c r="P378" s="127" t="s">
        <v>4070</v>
      </c>
    </row>
    <row r="379" spans="1:16">
      <c r="A379" s="38" t="s">
        <v>4071</v>
      </c>
      <c r="B379" s="76" t="s">
        <v>3135</v>
      </c>
      <c r="C379" s="13">
        <v>8414017</v>
      </c>
      <c r="D379" s="13" t="s">
        <v>2678</v>
      </c>
      <c r="E379" s="13">
        <v>2607185030</v>
      </c>
      <c r="F379" s="16" t="s">
        <v>3665</v>
      </c>
      <c r="G379" s="13" t="s">
        <v>3136</v>
      </c>
      <c r="H379" s="13">
        <v>18</v>
      </c>
      <c r="I379" s="13" t="s">
        <v>100</v>
      </c>
      <c r="J379" s="13">
        <v>18</v>
      </c>
      <c r="K379" s="41">
        <v>46150</v>
      </c>
      <c r="L379" s="25"/>
      <c r="M379" s="25"/>
      <c r="N379" s="25"/>
      <c r="O379" s="79">
        <v>253.458</v>
      </c>
      <c r="P379" s="127" t="s">
        <v>4072</v>
      </c>
    </row>
    <row r="380" spans="1:16">
      <c r="A380" s="39" t="s">
        <v>4073</v>
      </c>
      <c r="B380" s="77" t="s">
        <v>3135</v>
      </c>
      <c r="C380" s="11">
        <v>8414018</v>
      </c>
      <c r="D380" s="11" t="s">
        <v>2680</v>
      </c>
      <c r="E380" s="11">
        <v>2607175030</v>
      </c>
      <c r="F380" s="15" t="s">
        <v>4074</v>
      </c>
      <c r="G380" s="11" t="s">
        <v>3136</v>
      </c>
      <c r="H380" s="11">
        <v>1</v>
      </c>
      <c r="I380" s="11" t="s">
        <v>100</v>
      </c>
      <c r="J380" s="11">
        <v>1</v>
      </c>
      <c r="K380" s="15">
        <v>46334</v>
      </c>
      <c r="L380" s="26"/>
      <c r="M380" s="26"/>
      <c r="N380" s="26"/>
      <c r="O380" s="78">
        <v>14.081</v>
      </c>
      <c r="P380" s="127" t="s">
        <v>4075</v>
      </c>
    </row>
    <row r="381" spans="1:16">
      <c r="A381" s="38" t="s">
        <v>4076</v>
      </c>
      <c r="B381" s="76" t="s">
        <v>3135</v>
      </c>
      <c r="C381" s="13">
        <v>8414023</v>
      </c>
      <c r="D381" s="13" t="s">
        <v>2688</v>
      </c>
      <c r="E381" s="13">
        <v>2608195060</v>
      </c>
      <c r="F381" s="16" t="s">
        <v>3447</v>
      </c>
      <c r="G381" s="13" t="s">
        <v>3136</v>
      </c>
      <c r="H381" s="13">
        <v>29</v>
      </c>
      <c r="I381" s="13" t="s">
        <v>100</v>
      </c>
      <c r="J381" s="13">
        <v>29</v>
      </c>
      <c r="K381" s="14" t="s">
        <v>3321</v>
      </c>
      <c r="L381" s="25"/>
      <c r="M381" s="25"/>
      <c r="N381" s="25"/>
      <c r="O381" s="79">
        <v>586.66999999999996</v>
      </c>
      <c r="P381" s="127" t="s">
        <v>4077</v>
      </c>
    </row>
    <row r="382" spans="1:16">
      <c r="A382" s="39" t="s">
        <v>4078</v>
      </c>
      <c r="B382" s="77" t="s">
        <v>3135</v>
      </c>
      <c r="C382" s="11">
        <v>8414035</v>
      </c>
      <c r="D382" s="11" t="s">
        <v>2692</v>
      </c>
      <c r="E382" s="11">
        <v>2606140120</v>
      </c>
      <c r="F382" s="15" t="s">
        <v>4079</v>
      </c>
      <c r="G382" s="11" t="s">
        <v>3136</v>
      </c>
      <c r="H382" s="11">
        <v>39</v>
      </c>
      <c r="I382" s="11" t="s">
        <v>288</v>
      </c>
      <c r="J382" s="11">
        <v>585</v>
      </c>
      <c r="K382" s="11" t="s">
        <v>3287</v>
      </c>
      <c r="L382" s="26"/>
      <c r="M382" s="26"/>
      <c r="N382" s="26"/>
      <c r="O382" s="78">
        <v>441.12900000000002</v>
      </c>
      <c r="P382" s="127" t="s">
        <v>4080</v>
      </c>
    </row>
    <row r="383" spans="1:16">
      <c r="A383" s="38" t="s">
        <v>4081</v>
      </c>
      <c r="B383" s="76" t="s">
        <v>3135</v>
      </c>
      <c r="C383" s="13">
        <v>8414036</v>
      </c>
      <c r="D383" s="13" t="s">
        <v>2694</v>
      </c>
      <c r="E383" s="13">
        <v>2607095030</v>
      </c>
      <c r="F383" s="16">
        <v>47368</v>
      </c>
      <c r="G383" s="13" t="s">
        <v>3136</v>
      </c>
      <c r="H383" s="13">
        <v>4</v>
      </c>
      <c r="I383" s="13" t="s">
        <v>288</v>
      </c>
      <c r="J383" s="13">
        <v>60</v>
      </c>
      <c r="K383" s="14" t="s">
        <v>3396</v>
      </c>
      <c r="L383" s="25"/>
      <c r="M383" s="25"/>
      <c r="N383" s="25"/>
      <c r="O383" s="79">
        <v>45.244</v>
      </c>
      <c r="P383" s="127" t="s">
        <v>4082</v>
      </c>
    </row>
    <row r="384" spans="1:16">
      <c r="A384" s="39" t="s">
        <v>4083</v>
      </c>
      <c r="B384" s="77" t="s">
        <v>3135</v>
      </c>
      <c r="C384" s="11">
        <v>8414037</v>
      </c>
      <c r="D384" s="11" t="s">
        <v>2696</v>
      </c>
      <c r="E384" s="11">
        <v>2608045030</v>
      </c>
      <c r="F384" s="15">
        <v>47216</v>
      </c>
      <c r="G384" s="11" t="s">
        <v>3136</v>
      </c>
      <c r="H384" s="11">
        <v>3</v>
      </c>
      <c r="I384" s="11" t="s">
        <v>288</v>
      </c>
      <c r="J384" s="11">
        <v>45</v>
      </c>
      <c r="K384" s="11" t="s">
        <v>3304</v>
      </c>
      <c r="L384" s="26"/>
      <c r="M384" s="26"/>
      <c r="N384" s="26"/>
      <c r="O384" s="78">
        <v>33.933</v>
      </c>
      <c r="P384" s="127" t="s">
        <v>4084</v>
      </c>
    </row>
    <row r="385" spans="1:16">
      <c r="A385" s="38" t="s">
        <v>4085</v>
      </c>
      <c r="B385" s="76" t="s">
        <v>3135</v>
      </c>
      <c r="C385" s="13">
        <v>8414038</v>
      </c>
      <c r="D385" s="13" t="s">
        <v>2698</v>
      </c>
      <c r="E385" s="13">
        <v>2608160120</v>
      </c>
      <c r="F385" s="16" t="s">
        <v>4018</v>
      </c>
      <c r="G385" s="13" t="s">
        <v>3136</v>
      </c>
      <c r="H385" s="13">
        <v>12</v>
      </c>
      <c r="I385" s="13" t="s">
        <v>288</v>
      </c>
      <c r="J385" s="13">
        <v>240</v>
      </c>
      <c r="K385" s="14" t="s">
        <v>3367</v>
      </c>
      <c r="L385" s="25"/>
      <c r="M385" s="25"/>
      <c r="N385" s="25"/>
      <c r="O385" s="79">
        <v>108.624</v>
      </c>
      <c r="P385" s="127" t="s">
        <v>4086</v>
      </c>
    </row>
    <row r="386" spans="1:16">
      <c r="A386" s="39" t="s">
        <v>4087</v>
      </c>
      <c r="B386" s="77" t="s">
        <v>3135</v>
      </c>
      <c r="C386" s="11">
        <v>8414042</v>
      </c>
      <c r="D386" s="11" t="s">
        <v>2703</v>
      </c>
      <c r="E386" s="11">
        <v>2608060120</v>
      </c>
      <c r="F386" s="15">
        <v>47277</v>
      </c>
      <c r="G386" s="11" t="s">
        <v>3136</v>
      </c>
      <c r="H386" s="11">
        <v>11</v>
      </c>
      <c r="I386" s="11" t="s">
        <v>288</v>
      </c>
      <c r="J386" s="11">
        <v>132</v>
      </c>
      <c r="K386" s="15">
        <v>46273</v>
      </c>
      <c r="L386" s="26"/>
      <c r="M386" s="26"/>
      <c r="N386" s="26"/>
      <c r="O386" s="78">
        <v>137.97300000000001</v>
      </c>
      <c r="P386" s="127" t="s">
        <v>4088</v>
      </c>
    </row>
    <row r="387" spans="1:16">
      <c r="A387" s="38" t="s">
        <v>4089</v>
      </c>
      <c r="B387" s="76" t="s">
        <v>3135</v>
      </c>
      <c r="C387" s="13">
        <v>8600134</v>
      </c>
      <c r="D387" s="13" t="s">
        <v>2765</v>
      </c>
      <c r="E387" s="13">
        <v>2607180120</v>
      </c>
      <c r="F387" s="16" t="s">
        <v>4090</v>
      </c>
      <c r="G387" s="13" t="s">
        <v>3136</v>
      </c>
      <c r="H387" s="13">
        <v>41</v>
      </c>
      <c r="I387" s="13" t="s">
        <v>9</v>
      </c>
      <c r="J387" s="40">
        <v>1968</v>
      </c>
      <c r="K387" s="14" t="s">
        <v>3287</v>
      </c>
      <c r="L387" s="25"/>
      <c r="M387" s="25"/>
      <c r="N387" s="25"/>
      <c r="O387" s="79">
        <v>384.62099999999998</v>
      </c>
      <c r="P387" s="127" t="s">
        <v>4091</v>
      </c>
    </row>
    <row r="388" spans="1:16">
      <c r="A388" s="39" t="s">
        <v>4092</v>
      </c>
      <c r="B388" s="77" t="s">
        <v>3135</v>
      </c>
      <c r="C388" s="11">
        <v>8600135</v>
      </c>
      <c r="D388" s="11" t="s">
        <v>2767</v>
      </c>
      <c r="E388" s="11">
        <v>2608130120</v>
      </c>
      <c r="F388" s="15" t="s">
        <v>3173</v>
      </c>
      <c r="G388" s="11" t="s">
        <v>3136</v>
      </c>
      <c r="H388" s="11">
        <v>36</v>
      </c>
      <c r="I388" s="11" t="s">
        <v>9</v>
      </c>
      <c r="J388" s="17">
        <v>1728</v>
      </c>
      <c r="K388" s="11" t="s">
        <v>3321</v>
      </c>
      <c r="L388" s="26"/>
      <c r="M388" s="26"/>
      <c r="N388" s="26"/>
      <c r="O388" s="78">
        <v>337.71600000000001</v>
      </c>
      <c r="P388" s="127" t="s">
        <v>4093</v>
      </c>
    </row>
    <row r="389" spans="1:16">
      <c r="A389" s="38" t="s">
        <v>4094</v>
      </c>
      <c r="B389" s="76" t="s">
        <v>3135</v>
      </c>
      <c r="C389" s="13">
        <v>8600136</v>
      </c>
      <c r="D389" s="13" t="s">
        <v>2769</v>
      </c>
      <c r="E389" s="13">
        <v>2608240120</v>
      </c>
      <c r="F389" s="16" t="s">
        <v>3147</v>
      </c>
      <c r="G389" s="13" t="s">
        <v>3136</v>
      </c>
      <c r="H389" s="13">
        <v>68</v>
      </c>
      <c r="I389" s="13" t="s">
        <v>9</v>
      </c>
      <c r="J389" s="40">
        <v>1632</v>
      </c>
      <c r="K389" s="14" t="s">
        <v>3396</v>
      </c>
      <c r="L389" s="25"/>
      <c r="M389" s="25"/>
      <c r="N389" s="25"/>
      <c r="O389" s="79">
        <v>635.66399999999999</v>
      </c>
      <c r="P389" s="127" t="s">
        <v>4095</v>
      </c>
    </row>
    <row r="390" spans="1:16">
      <c r="A390" s="39" t="s">
        <v>4096</v>
      </c>
      <c r="B390" s="77" t="s">
        <v>3135</v>
      </c>
      <c r="C390" s="11">
        <v>8600136</v>
      </c>
      <c r="D390" s="11" t="s">
        <v>2769</v>
      </c>
      <c r="E390" s="11">
        <v>2608180120</v>
      </c>
      <c r="F390" s="15" t="s">
        <v>4097</v>
      </c>
      <c r="G390" s="11" t="s">
        <v>3136</v>
      </c>
      <c r="H390" s="11">
        <v>29</v>
      </c>
      <c r="I390" s="11" t="s">
        <v>9</v>
      </c>
      <c r="J390" s="11">
        <v>696</v>
      </c>
      <c r="K390" s="11" t="s">
        <v>3344</v>
      </c>
      <c r="L390" s="26"/>
      <c r="M390" s="26"/>
      <c r="N390" s="26"/>
      <c r="O390" s="78">
        <v>271.09199999999998</v>
      </c>
      <c r="P390" s="127" t="s">
        <v>4098</v>
      </c>
    </row>
    <row r="391" spans="1:16">
      <c r="A391" s="38" t="s">
        <v>4099</v>
      </c>
      <c r="B391" s="76" t="s">
        <v>3135</v>
      </c>
      <c r="C391" s="13">
        <v>8600137</v>
      </c>
      <c r="D391" s="13" t="s">
        <v>2771</v>
      </c>
      <c r="E391" s="13">
        <v>2607240120</v>
      </c>
      <c r="F391" s="16" t="s">
        <v>4100</v>
      </c>
      <c r="G391" s="13" t="s">
        <v>3136</v>
      </c>
      <c r="H391" s="13">
        <v>31</v>
      </c>
      <c r="I391" s="13" t="s">
        <v>9</v>
      </c>
      <c r="J391" s="40">
        <v>1488</v>
      </c>
      <c r="K391" s="41">
        <v>46120</v>
      </c>
      <c r="L391" s="25"/>
      <c r="M391" s="25"/>
      <c r="N391" s="25"/>
      <c r="O391" s="79">
        <v>290.81099999999998</v>
      </c>
      <c r="P391" s="127" t="s">
        <v>4101</v>
      </c>
    </row>
    <row r="392" spans="1:16">
      <c r="A392" s="39" t="s">
        <v>4102</v>
      </c>
      <c r="B392" s="77" t="s">
        <v>3135</v>
      </c>
      <c r="C392" s="11">
        <v>8600138</v>
      </c>
      <c r="D392" s="11" t="s">
        <v>2773</v>
      </c>
      <c r="E392" s="11">
        <v>2607220120</v>
      </c>
      <c r="F392" s="15" t="s">
        <v>4103</v>
      </c>
      <c r="G392" s="11" t="s">
        <v>3136</v>
      </c>
      <c r="H392" s="11">
        <v>43</v>
      </c>
      <c r="I392" s="11" t="s">
        <v>9</v>
      </c>
      <c r="J392" s="17">
        <v>1032</v>
      </c>
      <c r="K392" s="11" t="s">
        <v>3287</v>
      </c>
      <c r="L392" s="26"/>
      <c r="M392" s="26"/>
      <c r="N392" s="26"/>
      <c r="O392" s="78">
        <v>401.964</v>
      </c>
      <c r="P392" s="127" t="s">
        <v>4104</v>
      </c>
    </row>
    <row r="393" spans="1:16">
      <c r="A393" s="38" t="s">
        <v>4105</v>
      </c>
      <c r="B393" s="76" t="s">
        <v>3135</v>
      </c>
      <c r="C393" s="13">
        <v>8600138</v>
      </c>
      <c r="D393" s="13" t="s">
        <v>2773</v>
      </c>
      <c r="E393" s="13">
        <v>2607150120</v>
      </c>
      <c r="F393" s="16" t="s">
        <v>4106</v>
      </c>
      <c r="G393" s="13" t="s">
        <v>3136</v>
      </c>
      <c r="H393" s="13">
        <v>59</v>
      </c>
      <c r="I393" s="13" t="s">
        <v>9</v>
      </c>
      <c r="J393" s="40">
        <v>1416</v>
      </c>
      <c r="K393" s="14" t="s">
        <v>3287</v>
      </c>
      <c r="L393" s="25"/>
      <c r="M393" s="25"/>
      <c r="N393" s="25"/>
      <c r="O393" s="79">
        <v>551.53200000000004</v>
      </c>
      <c r="P393" s="127" t="s">
        <v>4107</v>
      </c>
    </row>
    <row r="394" spans="1:16">
      <c r="A394" s="39" t="s">
        <v>4108</v>
      </c>
      <c r="B394" s="77" t="s">
        <v>3135</v>
      </c>
      <c r="C394" s="11">
        <v>8600139</v>
      </c>
      <c r="D394" s="11" t="s">
        <v>2775</v>
      </c>
      <c r="E394" s="11">
        <v>2607150120</v>
      </c>
      <c r="F394" s="15" t="s">
        <v>4106</v>
      </c>
      <c r="G394" s="11" t="s">
        <v>3136</v>
      </c>
      <c r="H394" s="11">
        <v>75</v>
      </c>
      <c r="I394" s="11" t="s">
        <v>9</v>
      </c>
      <c r="J394" s="17">
        <v>3000</v>
      </c>
      <c r="K394" s="11" t="s">
        <v>3287</v>
      </c>
      <c r="L394" s="26"/>
      <c r="M394" s="26"/>
      <c r="N394" s="26"/>
      <c r="O394" s="78">
        <v>588.375</v>
      </c>
      <c r="P394" s="127" t="s">
        <v>4109</v>
      </c>
    </row>
    <row r="395" spans="1:16">
      <c r="A395" s="38" t="s">
        <v>4110</v>
      </c>
      <c r="B395" s="76" t="s">
        <v>3135</v>
      </c>
      <c r="C395" s="13">
        <v>8600140</v>
      </c>
      <c r="D395" s="13" t="s">
        <v>2777</v>
      </c>
      <c r="E395" s="13">
        <v>2607210120</v>
      </c>
      <c r="F395" s="16" t="s">
        <v>4111</v>
      </c>
      <c r="G395" s="13" t="s">
        <v>3136</v>
      </c>
      <c r="H395" s="13">
        <v>50</v>
      </c>
      <c r="I395" s="13" t="s">
        <v>9</v>
      </c>
      <c r="J395" s="40">
        <v>2000</v>
      </c>
      <c r="K395" s="14" t="s">
        <v>3287</v>
      </c>
      <c r="L395" s="25"/>
      <c r="M395" s="25"/>
      <c r="N395" s="25"/>
      <c r="O395" s="79">
        <v>392.25</v>
      </c>
      <c r="P395" s="127" t="s">
        <v>4112</v>
      </c>
    </row>
    <row r="396" spans="1:16">
      <c r="A396" s="39" t="s">
        <v>4113</v>
      </c>
      <c r="B396" s="77" t="s">
        <v>3135</v>
      </c>
      <c r="C396" s="11">
        <v>8600141</v>
      </c>
      <c r="D396" s="11" t="s">
        <v>2779</v>
      </c>
      <c r="E396" s="11">
        <v>2608130120</v>
      </c>
      <c r="F396" s="15" t="s">
        <v>3173</v>
      </c>
      <c r="G396" s="11" t="s">
        <v>3136</v>
      </c>
      <c r="H396" s="11">
        <v>35</v>
      </c>
      <c r="I396" s="11" t="s">
        <v>9</v>
      </c>
      <c r="J396" s="17">
        <v>1680</v>
      </c>
      <c r="K396" s="11" t="s">
        <v>3367</v>
      </c>
      <c r="L396" s="26"/>
      <c r="M396" s="26"/>
      <c r="N396" s="26"/>
      <c r="O396" s="78">
        <v>328.33499999999998</v>
      </c>
      <c r="P396" s="127" t="s">
        <v>4114</v>
      </c>
    </row>
    <row r="397" spans="1:16">
      <c r="A397" s="38" t="s">
        <v>4115</v>
      </c>
      <c r="B397" s="76" t="s">
        <v>3135</v>
      </c>
      <c r="C397" s="13">
        <v>8600142</v>
      </c>
      <c r="D397" s="13" t="s">
        <v>2781</v>
      </c>
      <c r="E397" s="13">
        <v>2608130120</v>
      </c>
      <c r="F397" s="16" t="s">
        <v>3173</v>
      </c>
      <c r="G397" s="13" t="s">
        <v>3136</v>
      </c>
      <c r="H397" s="13">
        <v>6</v>
      </c>
      <c r="I397" s="13" t="s">
        <v>9</v>
      </c>
      <c r="J397" s="13">
        <v>144</v>
      </c>
      <c r="K397" s="14" t="s">
        <v>3338</v>
      </c>
      <c r="L397" s="25"/>
      <c r="M397" s="25"/>
      <c r="N397" s="25"/>
      <c r="O397" s="79">
        <v>56.088000000000001</v>
      </c>
      <c r="P397" s="127" t="s">
        <v>4116</v>
      </c>
    </row>
    <row r="398" spans="1:16">
      <c r="A398" s="39" t="s">
        <v>4117</v>
      </c>
      <c r="B398" s="77" t="s">
        <v>3135</v>
      </c>
      <c r="C398" s="11">
        <v>8600142</v>
      </c>
      <c r="D398" s="11" t="s">
        <v>2781</v>
      </c>
      <c r="E398" s="11">
        <v>2608130120</v>
      </c>
      <c r="F398" s="15" t="s">
        <v>3173</v>
      </c>
      <c r="G398" s="11" t="s">
        <v>3136</v>
      </c>
      <c r="H398" s="11">
        <v>55</v>
      </c>
      <c r="I398" s="11" t="s">
        <v>9</v>
      </c>
      <c r="J398" s="17">
        <v>1320</v>
      </c>
      <c r="K398" s="11" t="s">
        <v>3338</v>
      </c>
      <c r="L398" s="26"/>
      <c r="M398" s="26"/>
      <c r="N398" s="26"/>
      <c r="O398" s="78">
        <v>514.14</v>
      </c>
      <c r="P398" s="127" t="s">
        <v>4118</v>
      </c>
    </row>
    <row r="399" spans="1:16">
      <c r="A399" s="38" t="s">
        <v>4119</v>
      </c>
      <c r="B399" s="76" t="s">
        <v>3135</v>
      </c>
      <c r="C399" s="13">
        <v>8600143</v>
      </c>
      <c r="D399" s="13" t="s">
        <v>2783</v>
      </c>
      <c r="E399" s="13">
        <v>2607230120</v>
      </c>
      <c r="F399" s="16" t="s">
        <v>4120</v>
      </c>
      <c r="G399" s="13" t="s">
        <v>3136</v>
      </c>
      <c r="H399" s="13">
        <v>54</v>
      </c>
      <c r="I399" s="13" t="s">
        <v>9</v>
      </c>
      <c r="J399" s="40">
        <v>2592</v>
      </c>
      <c r="K399" s="41">
        <v>46211</v>
      </c>
      <c r="L399" s="25"/>
      <c r="M399" s="25"/>
      <c r="N399" s="25"/>
      <c r="O399" s="79">
        <v>506.57400000000001</v>
      </c>
      <c r="P399" s="127" t="s">
        <v>4121</v>
      </c>
    </row>
    <row r="400" spans="1:16">
      <c r="A400" s="39" t="s">
        <v>4122</v>
      </c>
      <c r="B400" s="77" t="s">
        <v>3135</v>
      </c>
      <c r="C400" s="11">
        <v>8603029</v>
      </c>
      <c r="D400" s="11" t="s">
        <v>2799</v>
      </c>
      <c r="E400" s="11">
        <v>2608070120</v>
      </c>
      <c r="F400" s="15">
        <v>46576</v>
      </c>
      <c r="G400" s="11" t="s">
        <v>3136</v>
      </c>
      <c r="H400" s="11">
        <v>6</v>
      </c>
      <c r="I400" s="11" t="s">
        <v>9</v>
      </c>
      <c r="J400" s="11">
        <v>240</v>
      </c>
      <c r="K400" s="11" t="s">
        <v>3321</v>
      </c>
      <c r="L400" s="26"/>
      <c r="M400" s="26"/>
      <c r="N400" s="26"/>
      <c r="O400" s="78">
        <v>44.73</v>
      </c>
      <c r="P400" s="129" t="s">
        <v>4123</v>
      </c>
    </row>
    <row r="401" spans="1:16">
      <c r="A401" s="38" t="s">
        <v>4124</v>
      </c>
      <c r="B401" s="76" t="s">
        <v>3135</v>
      </c>
      <c r="C401" s="13">
        <v>8603030</v>
      </c>
      <c r="D401" s="13" t="s">
        <v>2801</v>
      </c>
      <c r="E401" s="13">
        <v>2608140120</v>
      </c>
      <c r="F401" s="16" t="s">
        <v>4125</v>
      </c>
      <c r="G401" s="13" t="s">
        <v>3136</v>
      </c>
      <c r="H401" s="13">
        <v>17</v>
      </c>
      <c r="I401" s="13" t="s">
        <v>9</v>
      </c>
      <c r="J401" s="13">
        <v>680</v>
      </c>
      <c r="K401" s="14" t="s">
        <v>3370</v>
      </c>
      <c r="L401" s="25"/>
      <c r="M401" s="25"/>
      <c r="N401" s="25"/>
      <c r="O401" s="79">
        <v>126.735</v>
      </c>
      <c r="P401" s="127" t="s">
        <v>4126</v>
      </c>
    </row>
    <row r="402" spans="1:16">
      <c r="A402" s="39" t="s">
        <v>4127</v>
      </c>
      <c r="B402" s="77" t="s">
        <v>3135</v>
      </c>
      <c r="C402" s="11">
        <v>8603031</v>
      </c>
      <c r="D402" s="11" t="s">
        <v>2803</v>
      </c>
      <c r="E402" s="11">
        <v>2608150120</v>
      </c>
      <c r="F402" s="15" t="s">
        <v>3161</v>
      </c>
      <c r="G402" s="11" t="s">
        <v>3136</v>
      </c>
      <c r="H402" s="11">
        <v>75</v>
      </c>
      <c r="I402" s="11" t="s">
        <v>9</v>
      </c>
      <c r="J402" s="17">
        <v>1500</v>
      </c>
      <c r="K402" s="11" t="s">
        <v>4128</v>
      </c>
      <c r="L402" s="26"/>
      <c r="M402" s="26"/>
      <c r="N402" s="26"/>
      <c r="O402" s="78">
        <v>557.625</v>
      </c>
      <c r="P402" s="127" t="s">
        <v>4129</v>
      </c>
    </row>
    <row r="403" spans="1:16">
      <c r="A403" s="38" t="s">
        <v>4130</v>
      </c>
      <c r="B403" s="76" t="s">
        <v>3135</v>
      </c>
      <c r="C403" s="13">
        <v>8606037</v>
      </c>
      <c r="D403" s="13" t="s">
        <v>2815</v>
      </c>
      <c r="E403" s="13">
        <v>2605030120</v>
      </c>
      <c r="F403" s="16">
        <v>46451</v>
      </c>
      <c r="G403" s="13" t="s">
        <v>3136</v>
      </c>
      <c r="H403" s="13">
        <v>29</v>
      </c>
      <c r="I403" s="13" t="s">
        <v>9</v>
      </c>
      <c r="J403" s="40">
        <v>1160</v>
      </c>
      <c r="K403" s="14" t="s">
        <v>3287</v>
      </c>
      <c r="L403" s="25"/>
      <c r="M403" s="25"/>
      <c r="N403" s="25"/>
      <c r="O403" s="79">
        <v>227.505</v>
      </c>
      <c r="P403" s="127" t="s">
        <v>4131</v>
      </c>
    </row>
    <row r="404" spans="1:16">
      <c r="A404" s="39" t="s">
        <v>4132</v>
      </c>
      <c r="B404" s="77" t="s">
        <v>3135</v>
      </c>
      <c r="C404" s="11">
        <v>8606041</v>
      </c>
      <c r="D404" s="11" t="s">
        <v>2821</v>
      </c>
      <c r="E404" s="11">
        <v>2604180120</v>
      </c>
      <c r="F404" s="15" t="s">
        <v>4133</v>
      </c>
      <c r="G404" s="11" t="s">
        <v>3136</v>
      </c>
      <c r="H404" s="11">
        <v>80</v>
      </c>
      <c r="I404" s="11" t="s">
        <v>9</v>
      </c>
      <c r="J404" s="17">
        <v>3200</v>
      </c>
      <c r="K404" s="11" t="s">
        <v>3287</v>
      </c>
      <c r="L404" s="26"/>
      <c r="M404" s="26"/>
      <c r="N404" s="26"/>
      <c r="O404" s="78">
        <v>627.6</v>
      </c>
      <c r="P404" s="127" t="s">
        <v>4134</v>
      </c>
    </row>
    <row r="405" spans="1:16">
      <c r="A405" s="38" t="s">
        <v>4135</v>
      </c>
      <c r="B405" s="76" t="s">
        <v>3135</v>
      </c>
      <c r="C405" s="13">
        <v>8606050</v>
      </c>
      <c r="D405" s="13" t="s">
        <v>2838</v>
      </c>
      <c r="E405" s="13">
        <v>260807215</v>
      </c>
      <c r="F405" s="16">
        <v>46576</v>
      </c>
      <c r="G405" s="13" t="s">
        <v>3136</v>
      </c>
      <c r="H405" s="13">
        <v>75</v>
      </c>
      <c r="I405" s="13" t="s">
        <v>288</v>
      </c>
      <c r="J405" s="40">
        <v>3000</v>
      </c>
      <c r="K405" s="14" t="s">
        <v>3791</v>
      </c>
      <c r="L405" s="25"/>
      <c r="M405" s="25"/>
      <c r="N405" s="25"/>
      <c r="O405" s="79">
        <v>588.75</v>
      </c>
      <c r="P405" s="127" t="s">
        <v>4136</v>
      </c>
    </row>
    <row r="406" spans="1:16">
      <c r="A406" s="39" t="s">
        <v>4137</v>
      </c>
      <c r="B406" s="77" t="s">
        <v>3135</v>
      </c>
      <c r="C406" s="11">
        <v>9350356</v>
      </c>
      <c r="D406" s="11" t="s">
        <v>3029</v>
      </c>
      <c r="E406" s="11">
        <v>20918435</v>
      </c>
      <c r="F406" s="15" t="s">
        <v>4138</v>
      </c>
      <c r="G406" s="11" t="s">
        <v>3136</v>
      </c>
      <c r="H406" s="11">
        <v>17</v>
      </c>
      <c r="I406" s="11" t="s">
        <v>9</v>
      </c>
      <c r="J406" s="11">
        <v>51</v>
      </c>
      <c r="K406" s="11" t="s">
        <v>3287</v>
      </c>
      <c r="L406" s="26"/>
      <c r="M406" s="26"/>
      <c r="N406" s="26"/>
      <c r="O406" s="78">
        <v>267.08699999999999</v>
      </c>
      <c r="P406" s="127" t="s">
        <v>4139</v>
      </c>
    </row>
    <row r="407" spans="1:16">
      <c r="A407" s="38" t="s">
        <v>4140</v>
      </c>
      <c r="B407" s="76" t="s">
        <v>3135</v>
      </c>
      <c r="C407" s="13">
        <v>9350382</v>
      </c>
      <c r="D407" s="13" t="s">
        <v>3053</v>
      </c>
      <c r="E407" s="13" t="s">
        <v>4141</v>
      </c>
      <c r="F407" s="16" t="s">
        <v>4142</v>
      </c>
      <c r="G407" s="13" t="s">
        <v>4143</v>
      </c>
      <c r="H407" s="13">
        <v>7</v>
      </c>
      <c r="I407" s="13" t="s">
        <v>9</v>
      </c>
      <c r="J407" s="13">
        <v>42</v>
      </c>
      <c r="K407" s="14" t="s">
        <v>3287</v>
      </c>
      <c r="L407" s="25"/>
      <c r="M407" s="25"/>
      <c r="N407" s="25"/>
      <c r="O407" s="79">
        <v>126.7</v>
      </c>
      <c r="P407" s="127" t="s">
        <v>4144</v>
      </c>
    </row>
    <row r="408" spans="1:16">
      <c r="A408" s="39" t="s">
        <v>4145</v>
      </c>
      <c r="B408" s="77" t="s">
        <v>3135</v>
      </c>
      <c r="C408" s="11">
        <v>9350397</v>
      </c>
      <c r="D408" s="11" t="s">
        <v>3065</v>
      </c>
      <c r="E408" s="11">
        <v>21125055</v>
      </c>
      <c r="F408" s="15">
        <v>46540</v>
      </c>
      <c r="G408" s="11" t="s">
        <v>3136</v>
      </c>
      <c r="H408" s="11">
        <v>8</v>
      </c>
      <c r="I408" s="11" t="s">
        <v>9</v>
      </c>
      <c r="J408" s="11">
        <v>48</v>
      </c>
      <c r="K408" s="11" t="s">
        <v>3287</v>
      </c>
      <c r="L408" s="26"/>
      <c r="M408" s="26"/>
      <c r="N408" s="26"/>
      <c r="O408" s="78">
        <v>143.43199999999999</v>
      </c>
      <c r="P408" s="127" t="s">
        <v>4146</v>
      </c>
    </row>
    <row r="409" spans="1:16">
      <c r="A409" s="38" t="s">
        <v>4147</v>
      </c>
      <c r="B409" s="76" t="s">
        <v>3135</v>
      </c>
      <c r="C409" s="13">
        <v>9350406</v>
      </c>
      <c r="D409" s="13" t="s">
        <v>3069</v>
      </c>
      <c r="E409" s="13" t="s">
        <v>4148</v>
      </c>
      <c r="F409" s="16" t="s">
        <v>4149</v>
      </c>
      <c r="G409" s="13" t="s">
        <v>3136</v>
      </c>
      <c r="H409" s="13">
        <v>39</v>
      </c>
      <c r="I409" s="13" t="s">
        <v>9</v>
      </c>
      <c r="J409" s="13">
        <v>468</v>
      </c>
      <c r="K409" s="41">
        <v>46120</v>
      </c>
      <c r="L409" s="25"/>
      <c r="M409" s="25"/>
      <c r="N409" s="25"/>
      <c r="O409" s="79">
        <v>411.21600000000001</v>
      </c>
      <c r="P409" s="127" t="s">
        <v>4150</v>
      </c>
    </row>
    <row r="410" spans="1:16">
      <c r="A410" s="39" t="s">
        <v>4151</v>
      </c>
      <c r="B410" s="77" t="s">
        <v>3135</v>
      </c>
      <c r="C410" s="11">
        <v>9350406</v>
      </c>
      <c r="D410" s="11" t="s">
        <v>3069</v>
      </c>
      <c r="E410" s="11" t="s">
        <v>4148</v>
      </c>
      <c r="F410" s="15" t="s">
        <v>4149</v>
      </c>
      <c r="G410" s="11" t="s">
        <v>3136</v>
      </c>
      <c r="H410" s="11">
        <v>24</v>
      </c>
      <c r="I410" s="11" t="s">
        <v>9</v>
      </c>
      <c r="J410" s="11">
        <v>288</v>
      </c>
      <c r="K410" s="15">
        <v>46120</v>
      </c>
      <c r="L410" s="26"/>
      <c r="M410" s="26"/>
      <c r="N410" s="26"/>
      <c r="O410" s="78">
        <v>253.05600000000001</v>
      </c>
      <c r="P410" s="127" t="s">
        <v>4152</v>
      </c>
    </row>
    <row r="411" spans="1:16">
      <c r="A411" s="38" t="s">
        <v>4153</v>
      </c>
      <c r="B411" s="76" t="s">
        <v>3135</v>
      </c>
      <c r="C411" s="13">
        <v>9350407</v>
      </c>
      <c r="D411" s="13" t="s">
        <v>3071</v>
      </c>
      <c r="E411" s="13" t="s">
        <v>4154</v>
      </c>
      <c r="F411" s="16" t="s">
        <v>4155</v>
      </c>
      <c r="G411" s="13" t="s">
        <v>3136</v>
      </c>
      <c r="H411" s="13">
        <v>28</v>
      </c>
      <c r="I411" s="13" t="s">
        <v>9</v>
      </c>
      <c r="J411" s="13">
        <v>224</v>
      </c>
      <c r="K411" s="41">
        <v>46242</v>
      </c>
      <c r="L411" s="25"/>
      <c r="M411" s="25"/>
      <c r="N411" s="25"/>
      <c r="O411" s="79">
        <v>353.92</v>
      </c>
      <c r="P411" s="127" t="s">
        <v>4156</v>
      </c>
    </row>
    <row r="412" spans="1:16">
      <c r="A412" s="39" t="s">
        <v>4157</v>
      </c>
      <c r="B412" s="77" t="s">
        <v>3135</v>
      </c>
      <c r="C412" s="11">
        <v>9350408</v>
      </c>
      <c r="D412" s="11" t="s">
        <v>3073</v>
      </c>
      <c r="E412" s="11" t="s">
        <v>4158</v>
      </c>
      <c r="F412" s="15" t="s">
        <v>4159</v>
      </c>
      <c r="G412" s="11" t="s">
        <v>3136</v>
      </c>
      <c r="H412" s="11">
        <v>25</v>
      </c>
      <c r="I412" s="11" t="s">
        <v>9</v>
      </c>
      <c r="J412" s="11">
        <v>75</v>
      </c>
      <c r="K412" s="11" t="s">
        <v>3321</v>
      </c>
      <c r="L412" s="26"/>
      <c r="M412" s="26"/>
      <c r="N412" s="26"/>
      <c r="O412" s="78">
        <v>384.4</v>
      </c>
      <c r="P412" s="127" t="s">
        <v>4160</v>
      </c>
    </row>
    <row r="413" spans="1:16">
      <c r="A413" s="38" t="s">
        <v>4161</v>
      </c>
      <c r="B413" s="76" t="s">
        <v>3135</v>
      </c>
      <c r="C413" s="13">
        <v>9350410</v>
      </c>
      <c r="D413" s="13" t="s">
        <v>3077</v>
      </c>
      <c r="E413" s="13" t="s">
        <v>4162</v>
      </c>
      <c r="F413" s="16" t="s">
        <v>4163</v>
      </c>
      <c r="G413" s="13" t="s">
        <v>3136</v>
      </c>
      <c r="H413" s="13">
        <v>1</v>
      </c>
      <c r="I413" s="13" t="s">
        <v>9</v>
      </c>
      <c r="J413" s="13">
        <v>24</v>
      </c>
      <c r="K413" s="41">
        <v>46364</v>
      </c>
      <c r="L413" s="25"/>
      <c r="M413" s="25"/>
      <c r="N413" s="25"/>
      <c r="O413" s="79">
        <v>12.204000000000001</v>
      </c>
      <c r="P413" s="127" t="s">
        <v>4164</v>
      </c>
    </row>
    <row r="414" spans="1:16">
      <c r="A414" s="39" t="s">
        <v>4165</v>
      </c>
      <c r="B414" s="77" t="s">
        <v>3135</v>
      </c>
      <c r="C414" s="11">
        <v>9350411</v>
      </c>
      <c r="D414" s="11" t="s">
        <v>3079</v>
      </c>
      <c r="E414" s="11" t="s">
        <v>4166</v>
      </c>
      <c r="F414" s="15" t="s">
        <v>4167</v>
      </c>
      <c r="G414" s="11" t="s">
        <v>3136</v>
      </c>
      <c r="H414" s="11">
        <v>7</v>
      </c>
      <c r="I414" s="11" t="s">
        <v>9</v>
      </c>
      <c r="J414" s="11">
        <v>42</v>
      </c>
      <c r="K414" s="11" t="s">
        <v>3776</v>
      </c>
      <c r="L414" s="26"/>
      <c r="M414" s="26"/>
      <c r="N414" s="26"/>
      <c r="O414" s="78">
        <v>125.503</v>
      </c>
      <c r="P414" s="127" t="s">
        <v>4168</v>
      </c>
    </row>
    <row r="415" spans="1:16">
      <c r="A415" s="38" t="s">
        <v>4169</v>
      </c>
      <c r="B415" s="76" t="s">
        <v>3135</v>
      </c>
      <c r="C415" s="13">
        <v>9350413</v>
      </c>
      <c r="D415" s="13" t="s">
        <v>3083</v>
      </c>
      <c r="E415" s="13" t="s">
        <v>4170</v>
      </c>
      <c r="F415" s="16" t="s">
        <v>4171</v>
      </c>
      <c r="G415" s="13" t="s">
        <v>3136</v>
      </c>
      <c r="H415" s="13">
        <v>20</v>
      </c>
      <c r="I415" s="13" t="s">
        <v>9</v>
      </c>
      <c r="J415" s="13">
        <v>160</v>
      </c>
      <c r="K415" s="14" t="s">
        <v>3313</v>
      </c>
      <c r="L415" s="25"/>
      <c r="M415" s="25"/>
      <c r="N415" s="25"/>
      <c r="O415" s="79">
        <v>252.8</v>
      </c>
      <c r="P415" s="127" t="s">
        <v>4172</v>
      </c>
    </row>
    <row r="416" spans="1:16">
      <c r="A416" s="39" t="s">
        <v>4173</v>
      </c>
      <c r="B416" s="77" t="s">
        <v>3135</v>
      </c>
      <c r="C416" s="11">
        <v>9350414</v>
      </c>
      <c r="D416" s="11" t="s">
        <v>3085</v>
      </c>
      <c r="E416" s="11" t="s">
        <v>4174</v>
      </c>
      <c r="F416" s="15" t="s">
        <v>4167</v>
      </c>
      <c r="G416" s="11" t="s">
        <v>3136</v>
      </c>
      <c r="H416" s="11">
        <v>22</v>
      </c>
      <c r="I416" s="11" t="s">
        <v>9</v>
      </c>
      <c r="J416" s="11">
        <v>132</v>
      </c>
      <c r="K416" s="11" t="s">
        <v>3776</v>
      </c>
      <c r="L416" s="26"/>
      <c r="M416" s="26"/>
      <c r="N416" s="26"/>
      <c r="O416" s="78">
        <v>394.43799999999999</v>
      </c>
      <c r="P416" s="127" t="s">
        <v>4175</v>
      </c>
    </row>
    <row r="417" spans="1:16">
      <c r="A417" s="38" t="s">
        <v>4176</v>
      </c>
      <c r="B417" s="76" t="s">
        <v>3135</v>
      </c>
      <c r="C417" s="13">
        <v>9350415</v>
      </c>
      <c r="D417" s="13" t="s">
        <v>3087</v>
      </c>
      <c r="E417" s="13" t="s">
        <v>4177</v>
      </c>
      <c r="F417" s="16" t="s">
        <v>4155</v>
      </c>
      <c r="G417" s="13" t="s">
        <v>3136</v>
      </c>
      <c r="H417" s="13">
        <v>21</v>
      </c>
      <c r="I417" s="13" t="s">
        <v>9</v>
      </c>
      <c r="J417" s="13">
        <v>126</v>
      </c>
      <c r="K417" s="41">
        <v>46273</v>
      </c>
      <c r="L417" s="25"/>
      <c r="M417" s="25"/>
      <c r="N417" s="25"/>
      <c r="O417" s="79">
        <v>376.50900000000001</v>
      </c>
      <c r="P417" s="127" t="s">
        <v>4178</v>
      </c>
    </row>
    <row r="418" spans="1:16">
      <c r="A418" s="39" t="s">
        <v>4179</v>
      </c>
      <c r="B418" s="77" t="s">
        <v>3135</v>
      </c>
      <c r="C418" s="11">
        <v>9350416</v>
      </c>
      <c r="D418" s="11" t="s">
        <v>3089</v>
      </c>
      <c r="E418" s="11" t="s">
        <v>4180</v>
      </c>
      <c r="F418" s="15">
        <v>46668</v>
      </c>
      <c r="G418" s="11" t="s">
        <v>3136</v>
      </c>
      <c r="H418" s="11">
        <v>3</v>
      </c>
      <c r="I418" s="11" t="s">
        <v>9</v>
      </c>
      <c r="J418" s="11">
        <v>18</v>
      </c>
      <c r="K418" s="11" t="s">
        <v>3344</v>
      </c>
      <c r="L418" s="26"/>
      <c r="M418" s="26"/>
      <c r="N418" s="26"/>
      <c r="O418" s="78">
        <v>54.3</v>
      </c>
      <c r="P418" s="127" t="s">
        <v>4181</v>
      </c>
    </row>
    <row r="419" spans="1:16">
      <c r="A419" s="38" t="s">
        <v>4182</v>
      </c>
      <c r="B419" s="76" t="s">
        <v>3135</v>
      </c>
      <c r="C419" s="13">
        <v>9350417</v>
      </c>
      <c r="D419" s="13" t="s">
        <v>3091</v>
      </c>
      <c r="E419" s="13" t="s">
        <v>4183</v>
      </c>
      <c r="F419" s="16" t="s">
        <v>4184</v>
      </c>
      <c r="G419" s="13" t="s">
        <v>3136</v>
      </c>
      <c r="H419" s="13">
        <v>7</v>
      </c>
      <c r="I419" s="13" t="s">
        <v>9</v>
      </c>
      <c r="J419" s="13">
        <v>168</v>
      </c>
      <c r="K419" s="41">
        <v>46150</v>
      </c>
      <c r="L419" s="25"/>
      <c r="M419" s="25"/>
      <c r="N419" s="25"/>
      <c r="O419" s="79">
        <v>85.427999999999997</v>
      </c>
      <c r="P419" s="127" t="s">
        <v>4185</v>
      </c>
    </row>
    <row r="420" spans="1:16">
      <c r="A420" s="39" t="s">
        <v>4186</v>
      </c>
      <c r="B420" s="77" t="s">
        <v>3135</v>
      </c>
      <c r="C420" s="11">
        <v>9350418</v>
      </c>
      <c r="D420" s="11" t="s">
        <v>3093</v>
      </c>
      <c r="E420" s="11" t="s">
        <v>4187</v>
      </c>
      <c r="F420" s="15" t="s">
        <v>4188</v>
      </c>
      <c r="G420" s="11" t="s">
        <v>3136</v>
      </c>
      <c r="H420" s="11">
        <v>36</v>
      </c>
      <c r="I420" s="11" t="s">
        <v>9</v>
      </c>
      <c r="J420" s="11">
        <v>864</v>
      </c>
      <c r="K420" s="15">
        <v>46211</v>
      </c>
      <c r="L420" s="26"/>
      <c r="M420" s="26"/>
      <c r="N420" s="26"/>
      <c r="O420" s="78">
        <v>439.34399999999999</v>
      </c>
      <c r="P420" s="127" t="s">
        <v>4189</v>
      </c>
    </row>
    <row r="421" spans="1:16">
      <c r="A421" s="38" t="s">
        <v>4190</v>
      </c>
      <c r="B421" s="76" t="s">
        <v>3135</v>
      </c>
      <c r="C421" s="13">
        <v>9350420</v>
      </c>
      <c r="D421" s="13" t="s">
        <v>3095</v>
      </c>
      <c r="E421" s="13" t="s">
        <v>4191</v>
      </c>
      <c r="F421" s="16">
        <v>46485</v>
      </c>
      <c r="G421" s="13" t="s">
        <v>3136</v>
      </c>
      <c r="H421" s="13">
        <v>49</v>
      </c>
      <c r="I421" s="13" t="s">
        <v>9</v>
      </c>
      <c r="J421" s="13">
        <v>588</v>
      </c>
      <c r="K421" s="14" t="s">
        <v>3367</v>
      </c>
      <c r="L421" s="25"/>
      <c r="M421" s="25"/>
      <c r="N421" s="25"/>
      <c r="O421" s="79">
        <v>520.38</v>
      </c>
      <c r="P421" s="127" t="s">
        <v>4192</v>
      </c>
    </row>
    <row r="422" spans="1:16">
      <c r="A422" s="39" t="s">
        <v>4193</v>
      </c>
      <c r="B422" s="77" t="s">
        <v>3135</v>
      </c>
      <c r="C422" s="11">
        <v>9350420</v>
      </c>
      <c r="D422" s="11" t="s">
        <v>3095</v>
      </c>
      <c r="E422" s="11" t="s">
        <v>4191</v>
      </c>
      <c r="F422" s="15">
        <v>46485</v>
      </c>
      <c r="G422" s="11" t="s">
        <v>3136</v>
      </c>
      <c r="H422" s="11">
        <v>56</v>
      </c>
      <c r="I422" s="11" t="s">
        <v>9</v>
      </c>
      <c r="J422" s="11">
        <v>672</v>
      </c>
      <c r="K422" s="11" t="s">
        <v>3367</v>
      </c>
      <c r="L422" s="26"/>
      <c r="M422" s="26"/>
      <c r="N422" s="26"/>
      <c r="O422" s="78">
        <v>594.72</v>
      </c>
      <c r="P422" s="127" t="s">
        <v>4194</v>
      </c>
    </row>
    <row r="423" spans="1:16">
      <c r="A423" s="38" t="s">
        <v>4195</v>
      </c>
      <c r="B423" s="76" t="s">
        <v>3135</v>
      </c>
      <c r="C423" s="13">
        <v>9350421</v>
      </c>
      <c r="D423" s="13" t="s">
        <v>3097</v>
      </c>
      <c r="E423" s="13" t="s">
        <v>4196</v>
      </c>
      <c r="F423" s="16">
        <v>46640</v>
      </c>
      <c r="G423" s="13" t="s">
        <v>3136</v>
      </c>
      <c r="H423" s="13">
        <v>29</v>
      </c>
      <c r="I423" s="13" t="s">
        <v>9</v>
      </c>
      <c r="J423" s="13">
        <v>348</v>
      </c>
      <c r="K423" s="41">
        <v>46364</v>
      </c>
      <c r="L423" s="25"/>
      <c r="M423" s="25"/>
      <c r="N423" s="25"/>
      <c r="O423" s="79">
        <v>305.77600000000001</v>
      </c>
      <c r="P423" s="127" t="s">
        <v>4197</v>
      </c>
    </row>
    <row r="424" spans="1:16">
      <c r="A424" s="39" t="s">
        <v>4198</v>
      </c>
      <c r="B424" s="77" t="s">
        <v>3135</v>
      </c>
      <c r="C424" s="11">
        <v>9350422</v>
      </c>
      <c r="D424" s="11" t="s">
        <v>3099</v>
      </c>
      <c r="E424" s="11" t="s">
        <v>4199</v>
      </c>
      <c r="F424" s="15" t="s">
        <v>3939</v>
      </c>
      <c r="G424" s="11" t="s">
        <v>3136</v>
      </c>
      <c r="H424" s="11">
        <v>7</v>
      </c>
      <c r="I424" s="11" t="s">
        <v>9</v>
      </c>
      <c r="J424" s="11">
        <v>168</v>
      </c>
      <c r="K424" s="15">
        <v>46303</v>
      </c>
      <c r="L424" s="26"/>
      <c r="M424" s="26"/>
      <c r="N424" s="26"/>
      <c r="O424" s="78">
        <v>82.697999999999993</v>
      </c>
      <c r="P424" s="127" t="s">
        <v>4200</v>
      </c>
    </row>
    <row r="425" spans="1:16">
      <c r="A425" s="38" t="s">
        <v>4201</v>
      </c>
      <c r="B425" s="76" t="s">
        <v>3135</v>
      </c>
      <c r="C425" s="13">
        <v>9350423</v>
      </c>
      <c r="D425" s="13" t="s">
        <v>3101</v>
      </c>
      <c r="E425" s="13" t="s">
        <v>4202</v>
      </c>
      <c r="F425" s="16" t="s">
        <v>4203</v>
      </c>
      <c r="G425" s="13" t="s">
        <v>3136</v>
      </c>
      <c r="H425" s="13">
        <v>22</v>
      </c>
      <c r="I425" s="13" t="s">
        <v>9</v>
      </c>
      <c r="J425" s="13">
        <v>132</v>
      </c>
      <c r="K425" s="14" t="s">
        <v>3328</v>
      </c>
      <c r="L425" s="25"/>
      <c r="M425" s="25"/>
      <c r="N425" s="25"/>
      <c r="O425" s="79">
        <v>317.81200000000001</v>
      </c>
      <c r="P425" s="127" t="s">
        <v>4204</v>
      </c>
    </row>
    <row r="426" spans="1:16">
      <c r="A426" s="39" t="s">
        <v>4205</v>
      </c>
      <c r="B426" s="77" t="s">
        <v>3135</v>
      </c>
      <c r="C426" s="11">
        <v>9350424</v>
      </c>
      <c r="D426" s="11" t="s">
        <v>3103</v>
      </c>
      <c r="E426" s="11" t="s">
        <v>4206</v>
      </c>
      <c r="F426" s="15" t="s">
        <v>3497</v>
      </c>
      <c r="G426" s="11" t="s">
        <v>3136</v>
      </c>
      <c r="H426" s="11">
        <v>17</v>
      </c>
      <c r="I426" s="11" t="s">
        <v>9</v>
      </c>
      <c r="J426" s="11">
        <v>204</v>
      </c>
      <c r="K426" s="11" t="s">
        <v>3287</v>
      </c>
      <c r="L426" s="26"/>
      <c r="M426" s="26"/>
      <c r="N426" s="26"/>
      <c r="O426" s="78">
        <v>86.257999999999996</v>
      </c>
      <c r="P426" s="127" t="s">
        <v>4207</v>
      </c>
    </row>
    <row r="427" spans="1:16">
      <c r="A427" s="85" t="s">
        <v>4208</v>
      </c>
      <c r="B427" s="84" t="s">
        <v>3135</v>
      </c>
      <c r="C427" s="86">
        <v>9350425</v>
      </c>
      <c r="D427" s="86" t="s">
        <v>3105</v>
      </c>
      <c r="E427" s="86" t="s">
        <v>4209</v>
      </c>
      <c r="F427" s="87">
        <v>46456</v>
      </c>
      <c r="G427" s="86" t="s">
        <v>3136</v>
      </c>
      <c r="H427" s="86">
        <v>98</v>
      </c>
      <c r="I427" s="86" t="s">
        <v>9</v>
      </c>
      <c r="J427" s="88">
        <v>1176</v>
      </c>
      <c r="K427" s="89" t="s">
        <v>3287</v>
      </c>
      <c r="L427" s="90"/>
      <c r="M427" s="90"/>
      <c r="N427" s="90"/>
      <c r="O427" s="91">
        <v>497.25200000000001</v>
      </c>
      <c r="P427" s="127" t="s">
        <v>4210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0C819-208F-4691-A139-97E9A3E39BE9}">
  <dimension ref="A1:N601"/>
  <sheetViews>
    <sheetView workbookViewId="0">
      <selection activeCell="D34" sqref="D34"/>
    </sheetView>
  </sheetViews>
  <sheetFormatPr defaultRowHeight="15"/>
  <cols>
    <col min="1" max="1" width="11.28515625" customWidth="1"/>
    <col min="2" max="2" width="11.5703125" bestFit="1" customWidth="1"/>
    <col min="3" max="3" width="19.28515625" style="36" customWidth="1"/>
    <col min="4" max="4" width="48.7109375" customWidth="1"/>
    <col min="5" max="5" width="13" customWidth="1"/>
    <col min="6" max="6" width="13.85546875" bestFit="1" customWidth="1"/>
    <col min="7" max="7" width="11.42578125" bestFit="1" customWidth="1"/>
    <col min="8" max="8" width="24.42578125" style="121" bestFit="1" customWidth="1"/>
    <col min="9" max="9" width="15.5703125" bestFit="1" customWidth="1"/>
    <col min="10" max="10" width="8.42578125" bestFit="1" customWidth="1"/>
    <col min="11" max="12" width="9.140625" style="53"/>
  </cols>
  <sheetData>
    <row r="1" spans="1:14">
      <c r="A1" t="s">
        <v>4211</v>
      </c>
      <c r="B1" s="115" t="s">
        <v>3119</v>
      </c>
      <c r="C1" s="82" t="s">
        <v>3121</v>
      </c>
      <c r="D1" s="96" t="s">
        <v>4212</v>
      </c>
      <c r="E1" s="97" t="s">
        <v>3122</v>
      </c>
      <c r="F1" s="82" t="s">
        <v>4213</v>
      </c>
      <c r="G1" s="82" t="s">
        <v>4214</v>
      </c>
      <c r="H1" s="82" t="s">
        <v>3123</v>
      </c>
      <c r="I1" s="118" t="s">
        <v>3124</v>
      </c>
      <c r="J1" s="82" t="s">
        <v>3125</v>
      </c>
      <c r="K1" s="82" t="s">
        <v>3128</v>
      </c>
      <c r="L1" s="98" t="s">
        <v>4215</v>
      </c>
      <c r="M1" s="98" t="s">
        <v>3</v>
      </c>
      <c r="N1" s="135" t="s">
        <v>7</v>
      </c>
    </row>
    <row r="2" spans="1:14">
      <c r="A2" s="139" t="str">
        <f t="shared" ref="A2:A65" si="0">"PASILLO " &amp; VALUE(MID(B2, 4, 2))</f>
        <v>PASILLO 1</v>
      </c>
      <c r="B2" s="92" t="s">
        <v>3721</v>
      </c>
      <c r="C2" s="11">
        <f>IFERROR(VLOOKUP(CANTIDAD[[#This Row],[Ubicación]],SAP[],3,FALSE),"")</f>
        <v>8325056</v>
      </c>
      <c r="D2" s="30">
        <f>IFERROR(VLOOKUP(CANTIDAD[[#This Row],[Producto]],MARA[],3,FALSE),"")</f>
        <v>37751851006645</v>
      </c>
      <c r="E2" s="11" t="str">
        <f>IFERROR(VLOOKUP(CANTIDAD[[#This Row],[Ubicación]],SAP[],4,FALSE),"")</f>
        <v>INSEC.CASA&amp;JARDIN SAPOLIO 2A 360ML 12UND</v>
      </c>
      <c r="F2" s="11">
        <f>IFERROR(VLOOKUP(CANTIDAD[[#This Row],[Ubicación]],SAP[],8,FALSE),"")</f>
        <v>5</v>
      </c>
      <c r="G2" s="11" t="str">
        <f>IFERROR(VLOOKUP(CANTIDAD[[#This Row],[Ubicación]],SAP[],9,FALSE),"")</f>
        <v>CJA</v>
      </c>
      <c r="H2" s="11">
        <f>IFERROR(VLOOKUP(CANTIDAD[[#This Row],[Ubicación]],SAP[],5,FALSE),"")</f>
        <v>2601205060</v>
      </c>
      <c r="I2" s="42" t="str">
        <f>IFERROR(VLOOKUP(CANTIDAD[[#This Row],[Ubicación]],SAP[],6,FALSE),"")</f>
        <v>20/01/2028</v>
      </c>
      <c r="J2" s="11" t="str">
        <f>IFERROR(VLOOKUP(CANTIDAD[[#This Row],[Ubicación]],SAP[],7,FALSE),"")</f>
        <v>1F</v>
      </c>
      <c r="K2" s="11">
        <f>IFERROR(VLOOKUP(CANTIDAD[[#This Row],[Ubicación]],SAP[],10,FALSE),"")</f>
        <v>60</v>
      </c>
      <c r="L2" s="48">
        <f>IFERROR(VLOOKUP(CANTIDAD[[#This Row],[Producto]],MARA[],5,FALSE),"")</f>
        <v>26</v>
      </c>
      <c r="M2" s="48" t="str">
        <f>IFERROR(VLOOKUP(CANTIDAD[[#This Row],[Producto]],MARA[],4,FALSE),"")</f>
        <v>CJA</v>
      </c>
      <c r="N2" s="136" t="s">
        <v>4216</v>
      </c>
    </row>
    <row r="3" spans="1:14">
      <c r="A3" s="139" t="str">
        <f t="shared" si="0"/>
        <v>PASILLO 1</v>
      </c>
      <c r="B3" s="93" t="s">
        <v>3732</v>
      </c>
      <c r="C3" s="11">
        <f>IFERROR(VLOOKUP(CANTIDAD[[#This Row],[Ubicación]],SAP[],3,FALSE),"")</f>
        <v>8325096</v>
      </c>
      <c r="D3" s="30">
        <f>IFERROR(VLOOKUP(CANTIDAD[[#This Row],[Producto]],MARA[],3,FALSE),"")</f>
        <v>37751851006652</v>
      </c>
      <c r="E3" s="13" t="str">
        <f>IFERROR(VLOOKUP(CANTIDAD[[#This Row],[Ubicación]],SAP[],4,FALSE),"")</f>
        <v>INSEC.MATAPOLILLAS SAPOLIO 2A 360ML 12UN</v>
      </c>
      <c r="F3" s="13">
        <f>IFERROR(VLOOKUP(CANTIDAD[[#This Row],[Ubicación]],SAP[],8,FALSE),"")</f>
        <v>9</v>
      </c>
      <c r="G3" s="13" t="str">
        <f>IFERROR(VLOOKUP(CANTIDAD[[#This Row],[Ubicación]],SAP[],9,FALSE),"")</f>
        <v>CJA</v>
      </c>
      <c r="H3" s="13">
        <f>IFERROR(VLOOKUP(CANTIDAD[[#This Row],[Ubicación]],SAP[],5,FALSE),"")</f>
        <v>2607215060</v>
      </c>
      <c r="I3" s="43" t="str">
        <f>IFERROR(VLOOKUP(CANTIDAD[[#This Row],[Ubicación]],SAP[],6,FALSE),"")</f>
        <v>21/07/2028</v>
      </c>
      <c r="J3" s="13" t="str">
        <f>IFERROR(VLOOKUP(CANTIDAD[[#This Row],[Ubicación]],SAP[],7,FALSE),"")</f>
        <v>1F</v>
      </c>
      <c r="K3" s="14">
        <f>IFERROR(VLOOKUP(CANTIDAD[[#This Row],[Ubicación]],SAP[],10,FALSE),"")</f>
        <v>108</v>
      </c>
      <c r="L3" s="48">
        <f>IFERROR(VLOOKUP(CANTIDAD[[#This Row],[Producto]],MARA[],5,FALSE),"")</f>
        <v>26</v>
      </c>
      <c r="M3" s="48" t="str">
        <f>IFERROR(VLOOKUP(CANTIDAD[[#This Row],[Producto]],MARA[],4,FALSE),"")</f>
        <v>CJA</v>
      </c>
      <c r="N3" s="136" t="s">
        <v>4217</v>
      </c>
    </row>
    <row r="4" spans="1:14">
      <c r="A4" s="139" t="str">
        <f t="shared" si="0"/>
        <v>PASILLO 1</v>
      </c>
      <c r="B4" s="92" t="s">
        <v>3528</v>
      </c>
      <c r="C4" s="11">
        <f>IFERROR(VLOOKUP(CANTIDAD[[#This Row],[Ubicación]],SAP[],3,FALSE),"")</f>
        <v>8315030</v>
      </c>
      <c r="D4" s="29">
        <f>IFERROR(VLOOKUP(CANTIDAD[[#This Row],[Producto]],MARA[],3,FALSE),"")</f>
        <v>27751851006129</v>
      </c>
      <c r="E4" s="11" t="str">
        <f>IFERROR(VLOOKUP(CANTIDAD[[#This Row],[Ubicación]],SAP[],4,FALSE),"")</f>
        <v>LIMPIAHORNOS SAPOLIO 360ML 12UND</v>
      </c>
      <c r="F4" s="11">
        <f>IFERROR(VLOOKUP(CANTIDAD[[#This Row],[Ubicación]],SAP[],8,FALSE),"")</f>
        <v>39</v>
      </c>
      <c r="G4" s="11" t="str">
        <f>IFERROR(VLOOKUP(CANTIDAD[[#This Row],[Ubicación]],SAP[],9,FALSE),"")</f>
        <v>CJA</v>
      </c>
      <c r="H4" s="11">
        <f>IFERROR(VLOOKUP(CANTIDAD[[#This Row],[Ubicación]],SAP[],5,FALSE),"")</f>
        <v>2606235060</v>
      </c>
      <c r="I4" s="42" t="str">
        <f>IFERROR(VLOOKUP(CANTIDAD[[#This Row],[Ubicación]],SAP[],6,FALSE),"")</f>
        <v>23/06/2029</v>
      </c>
      <c r="J4" s="11" t="str">
        <f>IFERROR(VLOOKUP(CANTIDAD[[#This Row],[Ubicación]],SAP[],7,FALSE),"")</f>
        <v>1F</v>
      </c>
      <c r="K4" s="11">
        <f>IFERROR(VLOOKUP(CANTIDAD[[#This Row],[Ubicación]],SAP[],10,FALSE),"")</f>
        <v>468</v>
      </c>
      <c r="L4" s="48">
        <f>IFERROR(VLOOKUP(CANTIDAD[[#This Row],[Producto]],MARA[],5,FALSE),"")</f>
        <v>26</v>
      </c>
      <c r="M4" s="48" t="str">
        <f>IFERROR(VLOOKUP(CANTIDAD[[#This Row],[Producto]],MARA[],4,FALSE),"")</f>
        <v>CJA</v>
      </c>
      <c r="N4" s="136" t="s">
        <v>4218</v>
      </c>
    </row>
    <row r="5" spans="1:14">
      <c r="A5" s="139" t="str">
        <f t="shared" si="0"/>
        <v>PASILLO 1</v>
      </c>
      <c r="B5" s="93" t="s">
        <v>3489</v>
      </c>
      <c r="C5" s="11">
        <f>IFERROR(VLOOKUP(CANTIDAD[[#This Row],[Ubicación]],SAP[],3,FALSE),"")</f>
        <v>8315000</v>
      </c>
      <c r="D5" s="30">
        <f>IFERROR(VLOOKUP(CANTIDAD[[#This Row],[Producto]],MARA[],3,FALSE),"")</f>
        <v>17751851007556</v>
      </c>
      <c r="E5" s="13" t="str">
        <f>IFERROR(VLOOKUP(CANTIDAD[[#This Row],[Ubicación]],SAP[],4,FALSE),"")</f>
        <v>LUSTRAMUEBLE LAVANDA PREMIO 360ML 12UND</v>
      </c>
      <c r="F5" s="13">
        <f>IFERROR(VLOOKUP(CANTIDAD[[#This Row],[Ubicación]],SAP[],8,FALSE),"")</f>
        <v>15</v>
      </c>
      <c r="G5" s="13" t="str">
        <f>IFERROR(VLOOKUP(CANTIDAD[[#This Row],[Ubicación]],SAP[],9,FALSE),"")</f>
        <v>CJA</v>
      </c>
      <c r="H5" s="13">
        <f>IFERROR(VLOOKUP(CANTIDAD[[#This Row],[Ubicación]],SAP[],5,FALSE),"")</f>
        <v>2608175060</v>
      </c>
      <c r="I5" s="43" t="str">
        <f>IFERROR(VLOOKUP(CANTIDAD[[#This Row],[Ubicación]],SAP[],6,FALSE),"")</f>
        <v>17/08/2028</v>
      </c>
      <c r="J5" s="13" t="str">
        <f>IFERROR(VLOOKUP(CANTIDAD[[#This Row],[Ubicación]],SAP[],7,FALSE),"")</f>
        <v>1F</v>
      </c>
      <c r="K5" s="14">
        <f>IFERROR(VLOOKUP(CANTIDAD[[#This Row],[Ubicación]],SAP[],10,FALSE),"")</f>
        <v>180</v>
      </c>
      <c r="L5" s="48">
        <f>IFERROR(VLOOKUP(CANTIDAD[[#This Row],[Producto]],MARA[],5,FALSE),"")</f>
        <v>26</v>
      </c>
      <c r="M5" s="48" t="str">
        <f>IFERROR(VLOOKUP(CANTIDAD[[#This Row],[Producto]],MARA[],4,FALSE),"")</f>
        <v>CJA</v>
      </c>
      <c r="N5" s="136" t="s">
        <v>4219</v>
      </c>
    </row>
    <row r="6" spans="1:14">
      <c r="A6" s="139" t="str">
        <f t="shared" si="0"/>
        <v>PASILLO 1</v>
      </c>
      <c r="B6" s="92" t="s">
        <v>3493</v>
      </c>
      <c r="C6" s="11">
        <f>IFERROR(VLOOKUP(CANTIDAD[[#This Row],[Ubicación]],SAP[],3,FALSE),"")</f>
        <v>8315001</v>
      </c>
      <c r="D6" s="29">
        <f>IFERROR(VLOOKUP(CANTIDAD[[#This Row],[Producto]],MARA[],3,FALSE),"")</f>
        <v>17751851007563</v>
      </c>
      <c r="E6" s="11" t="str">
        <f>IFERROR(VLOOKUP(CANTIDAD[[#This Row],[Ubicación]],SAP[],4,FALSE),"")</f>
        <v>LUSTRAMUEBLE LIMON PREMIO 360ML 12UND</v>
      </c>
      <c r="F6" s="11">
        <f>IFERROR(VLOOKUP(CANTIDAD[[#This Row],[Ubicación]],SAP[],8,FALSE),"")</f>
        <v>57</v>
      </c>
      <c r="G6" s="11" t="str">
        <f>IFERROR(VLOOKUP(CANTIDAD[[#This Row],[Ubicación]],SAP[],9,FALSE),"")</f>
        <v>CJA</v>
      </c>
      <c r="H6" s="11">
        <f>IFERROR(VLOOKUP(CANTIDAD[[#This Row],[Ubicación]],SAP[],5,FALSE),"")</f>
        <v>2608045060</v>
      </c>
      <c r="I6" s="42">
        <f>IFERROR(VLOOKUP(CANTIDAD[[#This Row],[Ubicación]],SAP[],6,FALSE),"")</f>
        <v>46851</v>
      </c>
      <c r="J6" s="11" t="str">
        <f>IFERROR(VLOOKUP(CANTIDAD[[#This Row],[Ubicación]],SAP[],7,FALSE),"")</f>
        <v>1F</v>
      </c>
      <c r="K6" s="11">
        <f>IFERROR(VLOOKUP(CANTIDAD[[#This Row],[Ubicación]],SAP[],10,FALSE),"")</f>
        <v>684</v>
      </c>
      <c r="L6" s="48">
        <f>IFERROR(VLOOKUP(CANTIDAD[[#This Row],[Producto]],MARA[],5,FALSE),"")</f>
        <v>26</v>
      </c>
      <c r="M6" s="48" t="str">
        <f>IFERROR(VLOOKUP(CANTIDAD[[#This Row],[Producto]],MARA[],4,FALSE),"")</f>
        <v>CJA</v>
      </c>
      <c r="N6" s="136" t="s">
        <v>4220</v>
      </c>
    </row>
    <row r="7" spans="1:14">
      <c r="A7" s="139" t="str">
        <f t="shared" si="0"/>
        <v>PASILLO 1</v>
      </c>
      <c r="B7" s="93" t="s">
        <v>3751</v>
      </c>
      <c r="C7" s="11">
        <f>IFERROR(VLOOKUP(CANTIDAD[[#This Row],[Ubicación]],SAP[],3,FALSE),"")</f>
        <v>8325116</v>
      </c>
      <c r="D7" s="30">
        <f>IFERROR(VLOOKUP(CANTIDAD[[#This Row],[Producto]],MARA[],3,FALSE),"")</f>
        <v>47751851011196</v>
      </c>
      <c r="E7" s="13" t="str">
        <f>IFERROR(VLOOKUP(CANTIDAD[[#This Row],[Ubicación]],SAP[],4,FALSE),"")</f>
        <v>INSEC. MATA ACAROS SAPOLIO RE 360ML 12UN</v>
      </c>
      <c r="F7" s="13">
        <f>IFERROR(VLOOKUP(CANTIDAD[[#This Row],[Ubicación]],SAP[],8,FALSE),"")</f>
        <v>76</v>
      </c>
      <c r="G7" s="13" t="str">
        <f>IFERROR(VLOOKUP(CANTIDAD[[#This Row],[Ubicación]],SAP[],9,FALSE),"")</f>
        <v>CJA</v>
      </c>
      <c r="H7" s="13">
        <f>IFERROR(VLOOKUP(CANTIDAD[[#This Row],[Ubicación]],SAP[],5,FALSE),"")</f>
        <v>2608175060</v>
      </c>
      <c r="I7" s="43" t="str">
        <f>IFERROR(VLOOKUP(CANTIDAD[[#This Row],[Ubicación]],SAP[],6,FALSE),"")</f>
        <v>17/08/2028</v>
      </c>
      <c r="J7" s="13" t="str">
        <f>IFERROR(VLOOKUP(CANTIDAD[[#This Row],[Ubicación]],SAP[],7,FALSE),"")</f>
        <v>1F</v>
      </c>
      <c r="K7" s="14">
        <f>IFERROR(VLOOKUP(CANTIDAD[[#This Row],[Ubicación]],SAP[],10,FALSE),"")</f>
        <v>912</v>
      </c>
      <c r="L7" s="48">
        <f>IFERROR(VLOOKUP(CANTIDAD[[#This Row],[Producto]],MARA[],5,FALSE),"")</f>
        <v>26</v>
      </c>
      <c r="M7" s="48" t="str">
        <f>IFERROR(VLOOKUP(CANTIDAD[[#This Row],[Producto]],MARA[],4,FALSE),"")</f>
        <v>CJA</v>
      </c>
      <c r="N7" s="136" t="s">
        <v>4221</v>
      </c>
    </row>
    <row r="8" spans="1:14">
      <c r="A8" s="139" t="str">
        <f t="shared" si="0"/>
        <v>PASILLO 1</v>
      </c>
      <c r="B8" s="92" t="s">
        <v>3753</v>
      </c>
      <c r="C8" s="11">
        <f>IFERROR(VLOOKUP(CANTIDAD[[#This Row],[Ubicación]],SAP[],3,FALSE),"")</f>
        <v>8325118</v>
      </c>
      <c r="D8" s="29">
        <f>IFERROR(VLOOKUP(CANTIDAD[[#This Row],[Producto]],MARA[],3,FALSE),"")</f>
        <v>47751851006666</v>
      </c>
      <c r="E8" s="11" t="str">
        <f>IFERROR(VLOOKUP(CANTIDAD[[#This Row],[Ubicación]],SAP[],4,FALSE),"")</f>
        <v>INSEC MATA TERMITAS SAPOLIO RE 360ML12UN</v>
      </c>
      <c r="F8" s="11">
        <f>IFERROR(VLOOKUP(CANTIDAD[[#This Row],[Ubicación]],SAP[],8,FALSE),"")</f>
        <v>76</v>
      </c>
      <c r="G8" s="11" t="str">
        <f>IFERROR(VLOOKUP(CANTIDAD[[#This Row],[Ubicación]],SAP[],9,FALSE),"")</f>
        <v>CJA</v>
      </c>
      <c r="H8" s="11">
        <f>IFERROR(VLOOKUP(CANTIDAD[[#This Row],[Ubicación]],SAP[],5,FALSE),"")</f>
        <v>2608245060</v>
      </c>
      <c r="I8" s="42" t="str">
        <f>IFERROR(VLOOKUP(CANTIDAD[[#This Row],[Ubicación]],SAP[],6,FALSE),"")</f>
        <v>24/08/2028</v>
      </c>
      <c r="J8" s="11" t="str">
        <f>IFERROR(VLOOKUP(CANTIDAD[[#This Row],[Ubicación]],SAP[],7,FALSE),"")</f>
        <v>1F</v>
      </c>
      <c r="K8" s="11">
        <f>IFERROR(VLOOKUP(CANTIDAD[[#This Row],[Ubicación]],SAP[],10,FALSE),"")</f>
        <v>912</v>
      </c>
      <c r="L8" s="48">
        <f>IFERROR(VLOOKUP(CANTIDAD[[#This Row],[Producto]],MARA[],5,FALSE),"")</f>
        <v>26</v>
      </c>
      <c r="M8" s="48" t="str">
        <f>IFERROR(VLOOKUP(CANTIDAD[[#This Row],[Producto]],MARA[],4,FALSE),"")</f>
        <v>CJA</v>
      </c>
      <c r="N8" s="136" t="s">
        <v>4222</v>
      </c>
    </row>
    <row r="9" spans="1:14">
      <c r="A9" s="139" t="str">
        <f t="shared" si="0"/>
        <v>PASILLO 1</v>
      </c>
      <c r="B9" s="93" t="s">
        <v>3444</v>
      </c>
      <c r="C9" s="11">
        <f>IFERROR(VLOOKUP(CANTIDAD[[#This Row],[Ubicación]],SAP[],3,FALSE),"")</f>
        <v>8309033</v>
      </c>
      <c r="D9" s="30">
        <f>IFERROR(VLOOKUP(CANTIDAD[[#This Row],[Producto]],MARA[],3,FALSE),"")</f>
        <v>17751851019634</v>
      </c>
      <c r="E9" s="13" t="str">
        <f>IFERROR(VLOOKUP(CANTIDAD[[#This Row],[Ubicación]],SAP[],4,FALSE),"")</f>
        <v>PERFU.RPTO V/FRANCESA SAPOLIO 240ML 12UN</v>
      </c>
      <c r="F9" s="13">
        <f>IFERROR(VLOOKUP(CANTIDAD[[#This Row],[Ubicación]],SAP[],8,FALSE),"")</f>
        <v>50</v>
      </c>
      <c r="G9" s="13" t="str">
        <f>IFERROR(VLOOKUP(CANTIDAD[[#This Row],[Ubicación]],SAP[],9,FALSE),"")</f>
        <v>CJA</v>
      </c>
      <c r="H9" s="13">
        <f>IFERROR(VLOOKUP(CANTIDAD[[#This Row],[Ubicación]],SAP[],5,FALSE),"")</f>
        <v>2607205060</v>
      </c>
      <c r="I9" s="43" t="str">
        <f>IFERROR(VLOOKUP(CANTIDAD[[#This Row],[Ubicación]],SAP[],6,FALSE),"")</f>
        <v>20/07/2029</v>
      </c>
      <c r="J9" s="13" t="str">
        <f>IFERROR(VLOOKUP(CANTIDAD[[#This Row],[Ubicación]],SAP[],7,FALSE),"")</f>
        <v>1F</v>
      </c>
      <c r="K9" s="14">
        <f>IFERROR(VLOOKUP(CANTIDAD[[#This Row],[Ubicación]],SAP[],10,FALSE),"")</f>
        <v>600</v>
      </c>
      <c r="L9" s="48">
        <f>IFERROR(VLOOKUP(CANTIDAD[[#This Row],[Producto]],MARA[],5,FALSE),"")</f>
        <v>18</v>
      </c>
      <c r="M9" s="48" t="str">
        <f>IFERROR(VLOOKUP(CANTIDAD[[#This Row],[Producto]],MARA[],4,FALSE),"")</f>
        <v>CJA</v>
      </c>
      <c r="N9" s="136" t="s">
        <v>4223</v>
      </c>
    </row>
    <row r="10" spans="1:14">
      <c r="A10" s="139" t="str">
        <f t="shared" si="0"/>
        <v>PASILLO 1</v>
      </c>
      <c r="B10" s="92" t="s">
        <v>3729</v>
      </c>
      <c r="C10" s="11">
        <f>IFERROR(VLOOKUP(CANTIDAD[[#This Row],[Ubicación]],SAP[],3,FALSE),"")</f>
        <v>8325095</v>
      </c>
      <c r="D10" s="29">
        <f>IFERROR(VLOOKUP(CANTIDAD[[#This Row],[Producto]],MARA[],3,FALSE),"")</f>
        <v>37751851006638</v>
      </c>
      <c r="E10" s="11" t="str">
        <f>IFERROR(VLOOKUP(CANTIDAD[[#This Row],[Ubicación]],SAP[],4,FALSE),"")</f>
        <v>INSEC.MATAPULGAS SAPOLIO 2A 360ML 12UND</v>
      </c>
      <c r="F10" s="11">
        <f>IFERROR(VLOOKUP(CANTIDAD[[#This Row],[Ubicación]],SAP[],8,FALSE),"")</f>
        <v>44</v>
      </c>
      <c r="G10" s="11" t="str">
        <f>IFERROR(VLOOKUP(CANTIDAD[[#This Row],[Ubicación]],SAP[],9,FALSE),"")</f>
        <v>CJA</v>
      </c>
      <c r="H10" s="11">
        <f>IFERROR(VLOOKUP(CANTIDAD[[#This Row],[Ubicación]],SAP[],5,FALSE),"")</f>
        <v>2607245060</v>
      </c>
      <c r="I10" s="42" t="str">
        <f>IFERROR(VLOOKUP(CANTIDAD[[#This Row],[Ubicación]],SAP[],6,FALSE),"")</f>
        <v>24/07/2028</v>
      </c>
      <c r="J10" s="11" t="str">
        <f>IFERROR(VLOOKUP(CANTIDAD[[#This Row],[Ubicación]],SAP[],7,FALSE),"")</f>
        <v>1F</v>
      </c>
      <c r="K10" s="11">
        <f>IFERROR(VLOOKUP(CANTIDAD[[#This Row],[Ubicación]],SAP[],10,FALSE),"")</f>
        <v>528</v>
      </c>
      <c r="L10" s="48">
        <f>IFERROR(VLOOKUP(CANTIDAD[[#This Row],[Producto]],MARA[],5,FALSE),"")</f>
        <v>26</v>
      </c>
      <c r="M10" s="48" t="str">
        <f>IFERROR(VLOOKUP(CANTIDAD[[#This Row],[Producto]],MARA[],4,FALSE),"")</f>
        <v>CJA</v>
      </c>
      <c r="N10" s="136" t="s">
        <v>4224</v>
      </c>
    </row>
    <row r="11" spans="1:14">
      <c r="A11" s="139" t="str">
        <f t="shared" si="0"/>
        <v>PASILLO 1</v>
      </c>
      <c r="B11" s="93" t="s">
        <v>3727</v>
      </c>
      <c r="C11" s="11">
        <f>IFERROR(VLOOKUP(CANTIDAD[[#This Row],[Ubicación]],SAP[],3,FALSE),"")</f>
        <v>8325093</v>
      </c>
      <c r="D11" s="30">
        <f>IFERROR(VLOOKUP(CANTIDAD[[#This Row],[Producto]],MARA[],3,FALSE),"")</f>
        <v>27751851020156</v>
      </c>
      <c r="E11" s="13" t="str">
        <f>IFERROR(VLOOKUP(CANTIDAD[[#This Row],[Ubicación]],SAP[],4,FALSE),"")</f>
        <v>INSEC.MATATODO SAPOLIO 2A 360ML 12UND</v>
      </c>
      <c r="F11" s="13">
        <f>IFERROR(VLOOKUP(CANTIDAD[[#This Row],[Ubicación]],SAP[],8,FALSE),"")</f>
        <v>19</v>
      </c>
      <c r="G11" s="13" t="str">
        <f>IFERROR(VLOOKUP(CANTIDAD[[#This Row],[Ubicación]],SAP[],9,FALSE),"")</f>
        <v>CJA</v>
      </c>
      <c r="H11" s="13">
        <f>IFERROR(VLOOKUP(CANTIDAD[[#This Row],[Ubicación]],SAP[],5,FALSE),"")</f>
        <v>2608125060</v>
      </c>
      <c r="I11" s="43">
        <f>IFERROR(VLOOKUP(CANTIDAD[[#This Row],[Ubicación]],SAP[],6,FALSE),"")</f>
        <v>47095</v>
      </c>
      <c r="J11" s="13" t="str">
        <f>IFERROR(VLOOKUP(CANTIDAD[[#This Row],[Ubicación]],SAP[],7,FALSE),"")</f>
        <v>1F</v>
      </c>
      <c r="K11" s="14">
        <f>IFERROR(VLOOKUP(CANTIDAD[[#This Row],[Ubicación]],SAP[],10,FALSE),"")</f>
        <v>228</v>
      </c>
      <c r="L11" s="48">
        <f>IFERROR(VLOOKUP(CANTIDAD[[#This Row],[Producto]],MARA[],5,FALSE),"")</f>
        <v>26</v>
      </c>
      <c r="M11" s="48" t="str">
        <f>IFERROR(VLOOKUP(CANTIDAD[[#This Row],[Producto]],MARA[],4,FALSE),"")</f>
        <v>CJA</v>
      </c>
      <c r="N11" s="136" t="s">
        <v>4225</v>
      </c>
    </row>
    <row r="12" spans="1:14">
      <c r="A12" s="139" t="str">
        <f t="shared" si="0"/>
        <v>PASILLO 1</v>
      </c>
      <c r="B12" s="92" t="s">
        <v>4226</v>
      </c>
      <c r="C12" s="11" t="str">
        <f>IFERROR(VLOOKUP(CANTIDAD[[#This Row],[Ubicación]],SAP[],3,FALSE),"")</f>
        <v/>
      </c>
      <c r="D12" s="29" t="str">
        <f>IFERROR(VLOOKUP(CANTIDAD[[#This Row],[Producto]],MARA[],3,FALSE),"")</f>
        <v/>
      </c>
      <c r="E12" s="11" t="str">
        <f>IFERROR(VLOOKUP(CANTIDAD[[#This Row],[Ubicación]],SAP[],4,FALSE),"")</f>
        <v/>
      </c>
      <c r="F12" s="11" t="str">
        <f>IFERROR(VLOOKUP(CANTIDAD[[#This Row],[Ubicación]],SAP[],8,FALSE),"")</f>
        <v/>
      </c>
      <c r="G12" s="11" t="str">
        <f>IFERROR(VLOOKUP(CANTIDAD[[#This Row],[Ubicación]],SAP[],9,FALSE),"")</f>
        <v/>
      </c>
      <c r="H12" s="11" t="str">
        <f>IFERROR(VLOOKUP(CANTIDAD[[#This Row],[Ubicación]],SAP[],5,FALSE),"")</f>
        <v/>
      </c>
      <c r="I12" s="42" t="str">
        <f>IFERROR(VLOOKUP(CANTIDAD[[#This Row],[Ubicación]],SAP[],6,FALSE),"")</f>
        <v/>
      </c>
      <c r="J12" s="11" t="str">
        <f>IFERROR(VLOOKUP(CANTIDAD[[#This Row],[Ubicación]],SAP[],7,FALSE),"")</f>
        <v/>
      </c>
      <c r="K12" s="11" t="str">
        <f>IFERROR(VLOOKUP(CANTIDAD[[#This Row],[Ubicación]],SAP[],10,FALSE),"")</f>
        <v/>
      </c>
      <c r="L12" s="48" t="str">
        <f>IFERROR(VLOOKUP(CANTIDAD[[#This Row],[Producto]],MARA[],5,FALSE),"")</f>
        <v/>
      </c>
      <c r="M12" s="48" t="str">
        <f>IFERROR(VLOOKUP(CANTIDAD[[#This Row],[Producto]],MARA[],4,FALSE),"")</f>
        <v/>
      </c>
      <c r="N12" s="136" t="s">
        <v>4227</v>
      </c>
    </row>
    <row r="13" spans="1:14">
      <c r="A13" s="139" t="str">
        <f t="shared" si="0"/>
        <v>PASILLO 1</v>
      </c>
      <c r="B13" s="93" t="s">
        <v>3725</v>
      </c>
      <c r="C13" s="11">
        <f>IFERROR(VLOOKUP(CANTIDAD[[#This Row],[Ubicación]],SAP[],3,FALSE),"")</f>
        <v>8325084</v>
      </c>
      <c r="D13" s="30">
        <f>IFERROR(VLOOKUP(CANTIDAD[[#This Row],[Producto]],MARA[],3,FALSE),"")</f>
        <v>67751851006622</v>
      </c>
      <c r="E13" s="13" t="str">
        <f>IFERROR(VLOOKUP(CANTIDAD[[#This Row],[Ubicación]],SAP[],4,FALSE),"")</f>
        <v>INSE. SAP. MAT MOS Y ZANC BO 360ML 12UND</v>
      </c>
      <c r="F13" s="13">
        <f>IFERROR(VLOOKUP(CANTIDAD[[#This Row],[Ubicación]],SAP[],8,FALSE),"")</f>
        <v>60</v>
      </c>
      <c r="G13" s="13" t="str">
        <f>IFERROR(VLOOKUP(CANTIDAD[[#This Row],[Ubicación]],SAP[],9,FALSE),"")</f>
        <v>CJA</v>
      </c>
      <c r="H13" s="13">
        <f>IFERROR(VLOOKUP(CANTIDAD[[#This Row],[Ubicación]],SAP[],5,FALSE),"")</f>
        <v>2608245060</v>
      </c>
      <c r="I13" s="43" t="str">
        <f>IFERROR(VLOOKUP(CANTIDAD[[#This Row],[Ubicación]],SAP[],6,FALSE),"")</f>
        <v>24/08/2028</v>
      </c>
      <c r="J13" s="13" t="str">
        <f>IFERROR(VLOOKUP(CANTIDAD[[#This Row],[Ubicación]],SAP[],7,FALSE),"")</f>
        <v>1F</v>
      </c>
      <c r="K13" s="14">
        <f>IFERROR(VLOOKUP(CANTIDAD[[#This Row],[Ubicación]],SAP[],10,FALSE),"")</f>
        <v>720</v>
      </c>
      <c r="L13" s="48">
        <f>IFERROR(VLOOKUP(CANTIDAD[[#This Row],[Producto]],MARA[],5,FALSE),"")</f>
        <v>26</v>
      </c>
      <c r="M13" s="48" t="str">
        <f>IFERROR(VLOOKUP(CANTIDAD[[#This Row],[Producto]],MARA[],4,FALSE),"")</f>
        <v>CJA</v>
      </c>
      <c r="N13" s="136" t="s">
        <v>4228</v>
      </c>
    </row>
    <row r="14" spans="1:14">
      <c r="A14" s="139" t="str">
        <f t="shared" si="0"/>
        <v>PASILLO 1</v>
      </c>
      <c r="B14" s="92" t="s">
        <v>3749</v>
      </c>
      <c r="C14" s="11">
        <f>IFERROR(VLOOKUP(CANTIDAD[[#This Row],[Ubicación]],SAP[],3,FALSE),"")</f>
        <v>8325115</v>
      </c>
      <c r="D14" s="29">
        <f>IFERROR(VLOOKUP(CANTIDAD[[#This Row],[Producto]],MARA[],3,FALSE),"")</f>
        <v>37751851005464</v>
      </c>
      <c r="E14" s="11" t="str">
        <f>IFERROR(VLOOKUP(CANTIDAD[[#This Row],[Ubicación]],SAP[],4,FALSE),"")</f>
        <v>INSECT. MATA TODO CONTROL RE 360ML12UN</v>
      </c>
      <c r="F14" s="11">
        <f>IFERROR(VLOOKUP(CANTIDAD[[#This Row],[Ubicación]],SAP[],8,FALSE),"")</f>
        <v>87</v>
      </c>
      <c r="G14" s="11" t="str">
        <f>IFERROR(VLOOKUP(CANTIDAD[[#This Row],[Ubicación]],SAP[],9,FALSE),"")</f>
        <v>CJA</v>
      </c>
      <c r="H14" s="11">
        <f>IFERROR(VLOOKUP(CANTIDAD[[#This Row],[Ubicación]],SAP[],5,FALSE),"")</f>
        <v>2608205060</v>
      </c>
      <c r="I14" s="42" t="str">
        <f>IFERROR(VLOOKUP(CANTIDAD[[#This Row],[Ubicación]],SAP[],6,FALSE),"")</f>
        <v>20/08/2028</v>
      </c>
      <c r="J14" s="11" t="str">
        <f>IFERROR(VLOOKUP(CANTIDAD[[#This Row],[Ubicación]],SAP[],7,FALSE),"")</f>
        <v>1F</v>
      </c>
      <c r="K14" s="17">
        <f>IFERROR(VLOOKUP(CANTIDAD[[#This Row],[Ubicación]],SAP[],10,FALSE),"")</f>
        <v>1044</v>
      </c>
      <c r="L14" s="48">
        <f>IFERROR(VLOOKUP(CANTIDAD[[#This Row],[Producto]],MARA[],5,FALSE),"")</f>
        <v>26</v>
      </c>
      <c r="M14" s="48" t="str">
        <f>IFERROR(VLOOKUP(CANTIDAD[[#This Row],[Producto]],MARA[],4,FALSE),"")</f>
        <v>CJA</v>
      </c>
      <c r="N14" s="136" t="s">
        <v>4229</v>
      </c>
    </row>
    <row r="15" spans="1:14">
      <c r="A15" s="139" t="str">
        <f t="shared" si="0"/>
        <v>PASILLO 1</v>
      </c>
      <c r="B15" s="93" t="s">
        <v>3442</v>
      </c>
      <c r="C15" s="11">
        <f>IFERROR(VLOOKUP(CANTIDAD[[#This Row],[Ubicación]],SAP[],3,FALSE),"")</f>
        <v>8309028</v>
      </c>
      <c r="D15" s="30">
        <f>IFERROR(VLOOKUP(CANTIDAD[[#This Row],[Producto]],MARA[],3,FALSE),"")</f>
        <v>27751851006419</v>
      </c>
      <c r="E15" s="13" t="str">
        <f>IFERROR(VLOOKUP(CANTIDAD[[#This Row],[Ubicación]],SAP[],4,FALSE),"")</f>
        <v>PERFUMATIC RPTO POTPOUR SAP.240ML 12UN</v>
      </c>
      <c r="F15" s="13">
        <f>IFERROR(VLOOKUP(CANTIDAD[[#This Row],[Ubicación]],SAP[],8,FALSE),"")</f>
        <v>43</v>
      </c>
      <c r="G15" s="13" t="str">
        <f>IFERROR(VLOOKUP(CANTIDAD[[#This Row],[Ubicación]],SAP[],9,FALSE),"")</f>
        <v>CJA</v>
      </c>
      <c r="H15" s="13">
        <f>IFERROR(VLOOKUP(CANTIDAD[[#This Row],[Ubicación]],SAP[],5,FALSE),"")</f>
        <v>2607205060</v>
      </c>
      <c r="I15" s="43" t="str">
        <f>IFERROR(VLOOKUP(CANTIDAD[[#This Row],[Ubicación]],SAP[],6,FALSE),"")</f>
        <v>20/07/2029</v>
      </c>
      <c r="J15" s="13" t="str">
        <f>IFERROR(VLOOKUP(CANTIDAD[[#This Row],[Ubicación]],SAP[],7,FALSE),"")</f>
        <v>1F</v>
      </c>
      <c r="K15" s="14">
        <f>IFERROR(VLOOKUP(CANTIDAD[[#This Row],[Ubicación]],SAP[],10,FALSE),"")</f>
        <v>516</v>
      </c>
      <c r="L15" s="48">
        <f>IFERROR(VLOOKUP(CANTIDAD[[#This Row],[Producto]],MARA[],5,FALSE),"")</f>
        <v>18</v>
      </c>
      <c r="M15" s="48" t="str">
        <f>IFERROR(VLOOKUP(CANTIDAD[[#This Row],[Producto]],MARA[],4,FALSE),"")</f>
        <v>CJA</v>
      </c>
      <c r="N15" s="136" t="s">
        <v>4230</v>
      </c>
    </row>
    <row r="16" spans="1:14">
      <c r="A16" s="139" t="str">
        <f t="shared" si="0"/>
        <v>PASILLO 1</v>
      </c>
      <c r="B16" s="92" t="s">
        <v>3438</v>
      </c>
      <c r="C16" s="11">
        <f>IFERROR(VLOOKUP(CANTIDAD[[#This Row],[Ubicación]],SAP[],3,FALSE),"")</f>
        <v>8309027</v>
      </c>
      <c r="D16" s="29">
        <f>IFERROR(VLOOKUP(CANTIDAD[[#This Row],[Producto]],MARA[],3,FALSE),"")</f>
        <v>27751851006402</v>
      </c>
      <c r="E16" s="11" t="str">
        <f>IFERROR(VLOOKUP(CANTIDAD[[#This Row],[Ubicación]],SAP[],4,FALSE),"")</f>
        <v>PERFUMATIC RPTO LAVANDA SAP.240ML 12UN</v>
      </c>
      <c r="F16" s="11">
        <f>IFERROR(VLOOKUP(CANTIDAD[[#This Row],[Ubicación]],SAP[],8,FALSE),"")</f>
        <v>45</v>
      </c>
      <c r="G16" s="11" t="str">
        <f>IFERROR(VLOOKUP(CANTIDAD[[#This Row],[Ubicación]],SAP[],9,FALSE),"")</f>
        <v>CJA</v>
      </c>
      <c r="H16" s="11">
        <f>IFERROR(VLOOKUP(CANTIDAD[[#This Row],[Ubicación]],SAP[],5,FALSE),"")</f>
        <v>2608145060</v>
      </c>
      <c r="I16" s="42" t="str">
        <f>IFERROR(VLOOKUP(CANTIDAD[[#This Row],[Ubicación]],SAP[],6,FALSE),"")</f>
        <v>14/08/2029</v>
      </c>
      <c r="J16" s="11" t="str">
        <f>IFERROR(VLOOKUP(CANTIDAD[[#This Row],[Ubicación]],SAP[],7,FALSE),"")</f>
        <v>1F</v>
      </c>
      <c r="K16" s="11">
        <f>IFERROR(VLOOKUP(CANTIDAD[[#This Row],[Ubicación]],SAP[],10,FALSE),"")</f>
        <v>540</v>
      </c>
      <c r="L16" s="48">
        <f>IFERROR(VLOOKUP(CANTIDAD[[#This Row],[Producto]],MARA[],5,FALSE),"")</f>
        <v>18</v>
      </c>
      <c r="M16" s="48" t="str">
        <f>IFERROR(VLOOKUP(CANTIDAD[[#This Row],[Producto]],MARA[],4,FALSE),"")</f>
        <v>CJA</v>
      </c>
      <c r="N16" s="136" t="s">
        <v>4231</v>
      </c>
    </row>
    <row r="17" spans="1:14">
      <c r="A17" s="139" t="str">
        <f t="shared" si="0"/>
        <v>PASILLO 1</v>
      </c>
      <c r="B17" s="93" t="s">
        <v>3471</v>
      </c>
      <c r="C17" s="11">
        <f>IFERROR(VLOOKUP(CANTIDAD[[#This Row],[Ubicación]],SAP[],3,FALSE),"")</f>
        <v>8309194</v>
      </c>
      <c r="D17" s="30">
        <f>IFERROR(VLOOKUP(CANTIDAD[[#This Row],[Producto]],MARA[],3,FALSE),"")</f>
        <v>57751851006021</v>
      </c>
      <c r="E17" s="13" t="str">
        <f>IFERROR(VLOOKUP(CANTIDAD[[#This Row],[Ubicación]],SAP[],4,FALSE),"")</f>
        <v>AMB. SAPOLIO ANTITABACO RW 360ML 12UND</v>
      </c>
      <c r="F17" s="13">
        <f>IFERROR(VLOOKUP(CANTIDAD[[#This Row],[Ubicación]],SAP[],8,FALSE),"")</f>
        <v>17</v>
      </c>
      <c r="G17" s="13" t="str">
        <f>IFERROR(VLOOKUP(CANTIDAD[[#This Row],[Ubicación]],SAP[],9,FALSE),"")</f>
        <v>CJA</v>
      </c>
      <c r="H17" s="13">
        <f>IFERROR(VLOOKUP(CANTIDAD[[#This Row],[Ubicación]],SAP[],5,FALSE),"")</f>
        <v>2608105060</v>
      </c>
      <c r="I17" s="43">
        <f>IFERROR(VLOOKUP(CANTIDAD[[#This Row],[Ubicación]],SAP[],6,FALSE),"")</f>
        <v>47399</v>
      </c>
      <c r="J17" s="13" t="str">
        <f>IFERROR(VLOOKUP(CANTIDAD[[#This Row],[Ubicación]],SAP[],7,FALSE),"")</f>
        <v>1F</v>
      </c>
      <c r="K17" s="14">
        <f>IFERROR(VLOOKUP(CANTIDAD[[#This Row],[Ubicación]],SAP[],10,FALSE),"")</f>
        <v>204</v>
      </c>
      <c r="L17" s="48">
        <f>IFERROR(VLOOKUP(CANTIDAD[[#This Row],[Producto]],MARA[],5,FALSE),"")</f>
        <v>26</v>
      </c>
      <c r="M17" s="48" t="str">
        <f>IFERROR(VLOOKUP(CANTIDAD[[#This Row],[Producto]],MARA[],4,FALSE),"")</f>
        <v>CJA</v>
      </c>
      <c r="N17" s="136" t="s">
        <v>4232</v>
      </c>
    </row>
    <row r="18" spans="1:14">
      <c r="A18" s="139" t="str">
        <f t="shared" si="0"/>
        <v>PASILLO 1</v>
      </c>
      <c r="B18" s="92" t="s">
        <v>3452</v>
      </c>
      <c r="C18" s="11">
        <f>IFERROR(VLOOKUP(CANTIDAD[[#This Row],[Ubicación]],SAP[],3,FALSE),"")</f>
        <v>8309120</v>
      </c>
      <c r="D18" s="29">
        <f>IFERROR(VLOOKUP(CANTIDAD[[#This Row],[Producto]],MARA[],3,FALSE),"")</f>
        <v>37751851005990</v>
      </c>
      <c r="E18" s="11" t="str">
        <f>IFERROR(VLOOKUP(CANTIDAD[[#This Row],[Ubicación]],SAP[],4,FALSE),"")</f>
        <v>AMBIENT.SAPOLIO POTPOURRI 360ML 12UND</v>
      </c>
      <c r="F18" s="11">
        <f>IFERROR(VLOOKUP(CANTIDAD[[#This Row],[Ubicación]],SAP[],8,FALSE),"")</f>
        <v>9</v>
      </c>
      <c r="G18" s="11" t="str">
        <f>IFERROR(VLOOKUP(CANTIDAD[[#This Row],[Ubicación]],SAP[],9,FALSE),"")</f>
        <v>CJA</v>
      </c>
      <c r="H18" s="11">
        <f>IFERROR(VLOOKUP(CANTIDAD[[#This Row],[Ubicación]],SAP[],5,FALSE),"")</f>
        <v>2608125060</v>
      </c>
      <c r="I18" s="42">
        <f>IFERROR(VLOOKUP(CANTIDAD[[#This Row],[Ubicación]],SAP[],6,FALSE),"")</f>
        <v>47460</v>
      </c>
      <c r="J18" s="11" t="str">
        <f>IFERROR(VLOOKUP(CANTIDAD[[#This Row],[Ubicación]],SAP[],7,FALSE),"")</f>
        <v>1F</v>
      </c>
      <c r="K18" s="11">
        <f>IFERROR(VLOOKUP(CANTIDAD[[#This Row],[Ubicación]],SAP[],10,FALSE),"")</f>
        <v>108</v>
      </c>
      <c r="L18" s="48">
        <f>IFERROR(VLOOKUP(CANTIDAD[[#This Row],[Producto]],MARA[],5,FALSE),"")</f>
        <v>26</v>
      </c>
      <c r="M18" s="48" t="str">
        <f>IFERROR(VLOOKUP(CANTIDAD[[#This Row],[Producto]],MARA[],4,FALSE),"")</f>
        <v>CJA</v>
      </c>
      <c r="N18" s="136" t="s">
        <v>4233</v>
      </c>
    </row>
    <row r="19" spans="1:14">
      <c r="A19" s="139" t="str">
        <f t="shared" si="0"/>
        <v>PASILLO 1</v>
      </c>
      <c r="B19" s="93" t="s">
        <v>3446</v>
      </c>
      <c r="C19" s="11">
        <f>IFERROR(VLOOKUP(CANTIDAD[[#This Row],[Ubicación]],SAP[],3,FALSE),"")</f>
        <v>8309119</v>
      </c>
      <c r="D19" s="30">
        <f>IFERROR(VLOOKUP(CANTIDAD[[#This Row],[Producto]],MARA[],3,FALSE),"")</f>
        <v>37751851005983</v>
      </c>
      <c r="E19" s="13" t="str">
        <f>IFERROR(VLOOKUP(CANTIDAD[[#This Row],[Ubicación]],SAP[],4,FALSE),"")</f>
        <v>AMBIENTADOR SAPOLIO LAVANDA 360ML 12UND</v>
      </c>
      <c r="F19" s="13">
        <f>IFERROR(VLOOKUP(CANTIDAD[[#This Row],[Ubicación]],SAP[],8,FALSE),"")</f>
        <v>94</v>
      </c>
      <c r="G19" s="13" t="str">
        <f>IFERROR(VLOOKUP(CANTIDAD[[#This Row],[Ubicación]],SAP[],9,FALSE),"")</f>
        <v>CJA</v>
      </c>
      <c r="H19" s="13">
        <f>IFERROR(VLOOKUP(CANTIDAD[[#This Row],[Ubicación]],SAP[],5,FALSE),"")</f>
        <v>2608195060</v>
      </c>
      <c r="I19" s="43" t="str">
        <f>IFERROR(VLOOKUP(CANTIDAD[[#This Row],[Ubicación]],SAP[],6,FALSE),"")</f>
        <v>19/08/2029</v>
      </c>
      <c r="J19" s="13" t="str">
        <f>IFERROR(VLOOKUP(CANTIDAD[[#This Row],[Ubicación]],SAP[],7,FALSE),"")</f>
        <v>1F</v>
      </c>
      <c r="K19" s="18">
        <f>IFERROR(VLOOKUP(CANTIDAD[[#This Row],[Ubicación]],SAP[],10,FALSE),"")</f>
        <v>1128</v>
      </c>
      <c r="L19" s="48">
        <f>IFERROR(VLOOKUP(CANTIDAD[[#This Row],[Producto]],MARA[],5,FALSE),"")</f>
        <v>26</v>
      </c>
      <c r="M19" s="48" t="str">
        <f>IFERROR(VLOOKUP(CANTIDAD[[#This Row],[Producto]],MARA[],4,FALSE),"")</f>
        <v>CJA</v>
      </c>
      <c r="N19" s="136" t="s">
        <v>4234</v>
      </c>
    </row>
    <row r="20" spans="1:14">
      <c r="A20" s="139" t="str">
        <f t="shared" si="0"/>
        <v>PASILLO 1</v>
      </c>
      <c r="B20" s="92" t="s">
        <v>3456</v>
      </c>
      <c r="C20" s="11">
        <f>IFERROR(VLOOKUP(CANTIDAD[[#This Row],[Ubicación]],SAP[],3,FALSE),"")</f>
        <v>8309126</v>
      </c>
      <c r="D20" s="29">
        <f>IFERROR(VLOOKUP(CANTIDAD[[#This Row],[Producto]],MARA[],3,FALSE),"")</f>
        <v>37751851006089</v>
      </c>
      <c r="E20" s="11" t="str">
        <f>IFERROR(VLOOKUP(CANTIDAD[[#This Row],[Ubicación]],SAP[],4,FALSE),"")</f>
        <v>AMBIENT.SAPOL.ARRULLO DE BEBE 360ML 12UN</v>
      </c>
      <c r="F20" s="11">
        <f>IFERROR(VLOOKUP(CANTIDAD[[#This Row],[Ubicación]],SAP[],8,FALSE),"")</f>
        <v>22</v>
      </c>
      <c r="G20" s="11" t="str">
        <f>IFERROR(VLOOKUP(CANTIDAD[[#This Row],[Ubicación]],SAP[],9,FALSE),"")</f>
        <v>CJA</v>
      </c>
      <c r="H20" s="11">
        <f>IFERROR(VLOOKUP(CANTIDAD[[#This Row],[Ubicación]],SAP[],5,FALSE),"")</f>
        <v>2608145060</v>
      </c>
      <c r="I20" s="42" t="str">
        <f>IFERROR(VLOOKUP(CANTIDAD[[#This Row],[Ubicación]],SAP[],6,FALSE),"")</f>
        <v>14/08/2029</v>
      </c>
      <c r="J20" s="11" t="str">
        <f>IFERROR(VLOOKUP(CANTIDAD[[#This Row],[Ubicación]],SAP[],7,FALSE),"")</f>
        <v>1F</v>
      </c>
      <c r="K20" s="11">
        <f>IFERROR(VLOOKUP(CANTIDAD[[#This Row],[Ubicación]],SAP[],10,FALSE),"")</f>
        <v>264</v>
      </c>
      <c r="L20" s="48">
        <f>IFERROR(VLOOKUP(CANTIDAD[[#This Row],[Producto]],MARA[],5,FALSE),"")</f>
        <v>26</v>
      </c>
      <c r="M20" s="48" t="str">
        <f>IFERROR(VLOOKUP(CANTIDAD[[#This Row],[Producto]],MARA[],4,FALSE),"")</f>
        <v>CJA</v>
      </c>
      <c r="N20" s="136" t="s">
        <v>4235</v>
      </c>
    </row>
    <row r="21" spans="1:14">
      <c r="A21" s="139" t="str">
        <f t="shared" si="0"/>
        <v>PASILLO 1</v>
      </c>
      <c r="B21" s="93" t="s">
        <v>3454</v>
      </c>
      <c r="C21" s="11">
        <f>IFERROR(VLOOKUP(CANTIDAD[[#This Row],[Ubicación]],SAP[],3,FALSE),"")</f>
        <v>8309121</v>
      </c>
      <c r="D21" s="30">
        <f>IFERROR(VLOOKUP(CANTIDAD[[#This Row],[Producto]],MARA[],3,FALSE),"")</f>
        <v>37751851006003</v>
      </c>
      <c r="E21" s="13" t="str">
        <f>IFERROR(VLOOKUP(CANTIDAD[[#This Row],[Ubicación]],SAP[],4,FALSE),"")</f>
        <v>AMBIENT.SAPOLIO JARDIN ROSAS 360ML 12UN</v>
      </c>
      <c r="F21" s="13">
        <f>IFERROR(VLOOKUP(CANTIDAD[[#This Row],[Ubicación]],SAP[],8,FALSE),"")</f>
        <v>14</v>
      </c>
      <c r="G21" s="13" t="str">
        <f>IFERROR(VLOOKUP(CANTIDAD[[#This Row],[Ubicación]],SAP[],9,FALSE),"")</f>
        <v>CJA</v>
      </c>
      <c r="H21" s="13">
        <f>IFERROR(VLOOKUP(CANTIDAD[[#This Row],[Ubicación]],SAP[],5,FALSE),"")</f>
        <v>2608205060</v>
      </c>
      <c r="I21" s="43" t="str">
        <f>IFERROR(VLOOKUP(CANTIDAD[[#This Row],[Ubicación]],SAP[],6,FALSE),"")</f>
        <v>20/08/2029</v>
      </c>
      <c r="J21" s="13" t="str">
        <f>IFERROR(VLOOKUP(CANTIDAD[[#This Row],[Ubicación]],SAP[],7,FALSE),"")</f>
        <v>1F</v>
      </c>
      <c r="K21" s="14">
        <f>IFERROR(VLOOKUP(CANTIDAD[[#This Row],[Ubicación]],SAP[],10,FALSE),"")</f>
        <v>168</v>
      </c>
      <c r="L21" s="48">
        <f>IFERROR(VLOOKUP(CANTIDAD[[#This Row],[Producto]],MARA[],5,FALSE),"")</f>
        <v>26</v>
      </c>
      <c r="M21" s="48" t="str">
        <f>IFERROR(VLOOKUP(CANTIDAD[[#This Row],[Producto]],MARA[],4,FALSE),"")</f>
        <v>CJA</v>
      </c>
      <c r="N21" s="136" t="s">
        <v>4236</v>
      </c>
    </row>
    <row r="22" spans="1:14">
      <c r="A22" s="139" t="str">
        <f t="shared" si="0"/>
        <v>PASILLO 1</v>
      </c>
      <c r="B22" s="92" t="s">
        <v>3468</v>
      </c>
      <c r="C22" s="11">
        <f>IFERROR(VLOOKUP(CANTIDAD[[#This Row],[Ubicación]],SAP[],3,FALSE),"")</f>
        <v>8309131</v>
      </c>
      <c r="D22" s="29">
        <f>IFERROR(VLOOKUP(CANTIDAD[[#This Row],[Producto]],MARA[],3,FALSE),"")</f>
        <v>27750243066864</v>
      </c>
      <c r="E22" s="11" t="str">
        <f>IFERROR(VLOOKUP(CANTIDAD[[#This Row],[Ubicación]],SAP[],4,FALSE),"")</f>
        <v>AMBIE.SAPOLIO COCO 360ML 12UND</v>
      </c>
      <c r="F22" s="11">
        <f>IFERROR(VLOOKUP(CANTIDAD[[#This Row],[Ubicación]],SAP[],8,FALSE),"")</f>
        <v>19</v>
      </c>
      <c r="G22" s="11" t="str">
        <f>IFERROR(VLOOKUP(CANTIDAD[[#This Row],[Ubicación]],SAP[],9,FALSE),"")</f>
        <v>CJA</v>
      </c>
      <c r="H22" s="11">
        <f>IFERROR(VLOOKUP(CANTIDAD[[#This Row],[Ubicación]],SAP[],5,FALSE),"")</f>
        <v>2607225060</v>
      </c>
      <c r="I22" s="42" t="str">
        <f>IFERROR(VLOOKUP(CANTIDAD[[#This Row],[Ubicación]],SAP[],6,FALSE),"")</f>
        <v>22/07/2029</v>
      </c>
      <c r="J22" s="11" t="str">
        <f>IFERROR(VLOOKUP(CANTIDAD[[#This Row],[Ubicación]],SAP[],7,FALSE),"")</f>
        <v>1F</v>
      </c>
      <c r="K22" s="11">
        <f>IFERROR(VLOOKUP(CANTIDAD[[#This Row],[Ubicación]],SAP[],10,FALSE),"")</f>
        <v>228</v>
      </c>
      <c r="L22" s="48">
        <f>IFERROR(VLOOKUP(CANTIDAD[[#This Row],[Producto]],MARA[],5,FALSE),"")</f>
        <v>26</v>
      </c>
      <c r="M22" s="48" t="str">
        <f>IFERROR(VLOOKUP(CANTIDAD[[#This Row],[Producto]],MARA[],4,FALSE),"")</f>
        <v>CJA</v>
      </c>
      <c r="N22" s="136" t="s">
        <v>4237</v>
      </c>
    </row>
    <row r="23" spans="1:14">
      <c r="A23" s="139" t="str">
        <f t="shared" si="0"/>
        <v>PASILLO 1</v>
      </c>
      <c r="B23" s="93" t="s">
        <v>3458</v>
      </c>
      <c r="C23" s="11">
        <f>IFERROR(VLOOKUP(CANTIDAD[[#This Row],[Ubicación]],SAP[],3,FALSE),"")</f>
        <v>8309128</v>
      </c>
      <c r="D23" s="30">
        <f>IFERROR(VLOOKUP(CANTIDAD[[#This Row],[Producto]],MARA[],3,FALSE),"")</f>
        <v>27751851013264</v>
      </c>
      <c r="E23" s="13" t="str">
        <f>IFERROR(VLOOKUP(CANTIDAD[[#This Row],[Ubicación]],SAP[],4,FALSE),"")</f>
        <v>AMBIENTADOR SAPOLIO VAINILLA 360ML 12UND</v>
      </c>
      <c r="F23" s="13">
        <f>IFERROR(VLOOKUP(CANTIDAD[[#This Row],[Ubicación]],SAP[],8,FALSE),"")</f>
        <v>17</v>
      </c>
      <c r="G23" s="13" t="str">
        <f>IFERROR(VLOOKUP(CANTIDAD[[#This Row],[Ubicación]],SAP[],9,FALSE),"")</f>
        <v>CJA</v>
      </c>
      <c r="H23" s="13">
        <f>IFERROR(VLOOKUP(CANTIDAD[[#This Row],[Ubicación]],SAP[],5,FALSE),"")</f>
        <v>2608135060</v>
      </c>
      <c r="I23" s="43" t="str">
        <f>IFERROR(VLOOKUP(CANTIDAD[[#This Row],[Ubicación]],SAP[],6,FALSE),"")</f>
        <v>13/08/2029</v>
      </c>
      <c r="J23" s="13" t="str">
        <f>IFERROR(VLOOKUP(CANTIDAD[[#This Row],[Ubicación]],SAP[],7,FALSE),"")</f>
        <v>1F</v>
      </c>
      <c r="K23" s="14">
        <f>IFERROR(VLOOKUP(CANTIDAD[[#This Row],[Ubicación]],SAP[],10,FALSE),"")</f>
        <v>204</v>
      </c>
      <c r="L23" s="48">
        <f>IFERROR(VLOOKUP(CANTIDAD[[#This Row],[Producto]],MARA[],5,FALSE),"")</f>
        <v>26</v>
      </c>
      <c r="M23" s="48" t="str">
        <f>IFERROR(VLOOKUP(CANTIDAD[[#This Row],[Producto]],MARA[],4,FALSE),"")</f>
        <v>CJA</v>
      </c>
      <c r="N23" s="136" t="s">
        <v>4238</v>
      </c>
    </row>
    <row r="24" spans="1:14">
      <c r="A24" s="139" t="str">
        <f t="shared" si="0"/>
        <v>PASILLO 1</v>
      </c>
      <c r="B24" s="92" t="s">
        <v>3735</v>
      </c>
      <c r="C24" s="11">
        <f>IFERROR(VLOOKUP(CANTIDAD[[#This Row],[Ubicación]],SAP[],3,FALSE),"")</f>
        <v>8325102</v>
      </c>
      <c r="D24" s="29">
        <f>IFERROR(VLOOKUP(CANTIDAD[[#This Row],[Producto]],MARA[],3,FALSE),"")</f>
        <v>47751851010281</v>
      </c>
      <c r="E24" s="11" t="str">
        <f>IFERROR(VLOOKUP(CANTIDAD[[#This Row],[Ubicación]],SAP[],4,FALSE),"")</f>
        <v>INSECT. MATAARAÑAS SAPOL.2ARE 360ML 12UN</v>
      </c>
      <c r="F24" s="11">
        <f>IFERROR(VLOOKUP(CANTIDAD[[#This Row],[Ubicación]],SAP[],8,FALSE),"")</f>
        <v>56</v>
      </c>
      <c r="G24" s="11" t="str">
        <f>IFERROR(VLOOKUP(CANTIDAD[[#This Row],[Ubicación]],SAP[],9,FALSE),"")</f>
        <v>CJA</v>
      </c>
      <c r="H24" s="11">
        <f>IFERROR(VLOOKUP(CANTIDAD[[#This Row],[Ubicación]],SAP[],5,FALSE),"")</f>
        <v>2608265060</v>
      </c>
      <c r="I24" s="42" t="str">
        <f>IFERROR(VLOOKUP(CANTIDAD[[#This Row],[Ubicación]],SAP[],6,FALSE),"")</f>
        <v>26/08/2028</v>
      </c>
      <c r="J24" s="11" t="str">
        <f>IFERROR(VLOOKUP(CANTIDAD[[#This Row],[Ubicación]],SAP[],7,FALSE),"")</f>
        <v>1F</v>
      </c>
      <c r="K24" s="11">
        <f>IFERROR(VLOOKUP(CANTIDAD[[#This Row],[Ubicación]],SAP[],10,FALSE),"")</f>
        <v>672</v>
      </c>
      <c r="L24" s="48">
        <f>IFERROR(VLOOKUP(CANTIDAD[[#This Row],[Producto]],MARA[],5,FALSE),"")</f>
        <v>26</v>
      </c>
      <c r="M24" s="48" t="str">
        <f>IFERROR(VLOOKUP(CANTIDAD[[#This Row],[Producto]],MARA[],4,FALSE),"")</f>
        <v>CJA</v>
      </c>
      <c r="N24" s="136" t="s">
        <v>4239</v>
      </c>
    </row>
    <row r="25" spans="1:14">
      <c r="A25" s="139" t="str">
        <f t="shared" si="0"/>
        <v>PASILLO 1</v>
      </c>
      <c r="B25" s="93" t="s">
        <v>3462</v>
      </c>
      <c r="C25" s="11">
        <f>IFERROR(VLOOKUP(CANTIDAD[[#This Row],[Ubicación]],SAP[],3,FALSE),"")</f>
        <v>8309129</v>
      </c>
      <c r="D25" s="30">
        <f>IFERROR(VLOOKUP(CANTIDAD[[#This Row],[Producto]],MARA[],3,FALSE),"")</f>
        <v>27751851025212</v>
      </c>
      <c r="E25" s="13" t="str">
        <f>IFERROR(VLOOKUP(CANTIDAD[[#This Row],[Ubicación]],SAP[],4,FALSE),"")</f>
        <v>AMBIENT.SAPOL.MANZANA CANELA 360ML 12UND</v>
      </c>
      <c r="F25" s="13">
        <f>IFERROR(VLOOKUP(CANTIDAD[[#This Row],[Ubicación]],SAP[],8,FALSE),"")</f>
        <v>35</v>
      </c>
      <c r="G25" s="13" t="str">
        <f>IFERROR(VLOOKUP(CANTIDAD[[#This Row],[Ubicación]],SAP[],9,FALSE),"")</f>
        <v>CJA</v>
      </c>
      <c r="H25" s="13">
        <f>IFERROR(VLOOKUP(CANTIDAD[[#This Row],[Ubicación]],SAP[],5,FALSE),"")</f>
        <v>2607245060</v>
      </c>
      <c r="I25" s="43" t="str">
        <f>IFERROR(VLOOKUP(CANTIDAD[[#This Row],[Ubicación]],SAP[],6,FALSE),"")</f>
        <v>24/07/2029</v>
      </c>
      <c r="J25" s="13" t="str">
        <f>IFERROR(VLOOKUP(CANTIDAD[[#This Row],[Ubicación]],SAP[],7,FALSE),"")</f>
        <v>1F</v>
      </c>
      <c r="K25" s="14">
        <f>IFERROR(VLOOKUP(CANTIDAD[[#This Row],[Ubicación]],SAP[],10,FALSE),"")</f>
        <v>420</v>
      </c>
      <c r="L25" s="48">
        <f>IFERROR(VLOOKUP(CANTIDAD[[#This Row],[Producto]],MARA[],5,FALSE),"")</f>
        <v>26</v>
      </c>
      <c r="M25" s="48" t="str">
        <f>IFERROR(VLOOKUP(CANTIDAD[[#This Row],[Producto]],MARA[],4,FALSE),"")</f>
        <v>CJA</v>
      </c>
      <c r="N25" s="136" t="s">
        <v>4240</v>
      </c>
    </row>
    <row r="26" spans="1:14">
      <c r="A26" s="139" t="str">
        <f t="shared" si="0"/>
        <v>PASILLO 1</v>
      </c>
      <c r="B26" s="92" t="s">
        <v>3464</v>
      </c>
      <c r="C26" s="11">
        <f>IFERROR(VLOOKUP(CANTIDAD[[#This Row],[Ubicación]],SAP[],3,FALSE),"")</f>
        <v>8309130</v>
      </c>
      <c r="D26" s="29">
        <f>IFERROR(VLOOKUP(CANTIDAD[[#This Row],[Producto]],MARA[],3,FALSE),"")</f>
        <v>27750243066857</v>
      </c>
      <c r="E26" s="11" t="str">
        <f>IFERROR(VLOOKUP(CANTIDAD[[#This Row],[Ubicación]],SAP[],4,FALSE),"")</f>
        <v>AMBIENTADOR SAPOLIO MELÓN 360ML 12UND</v>
      </c>
      <c r="F26" s="11">
        <f>IFERROR(VLOOKUP(CANTIDAD[[#This Row],[Ubicación]],SAP[],8,FALSE),"")</f>
        <v>38</v>
      </c>
      <c r="G26" s="11" t="str">
        <f>IFERROR(VLOOKUP(CANTIDAD[[#This Row],[Ubicación]],SAP[],9,FALSE),"")</f>
        <v>CJA</v>
      </c>
      <c r="H26" s="11">
        <f>IFERROR(VLOOKUP(CANTIDAD[[#This Row],[Ubicación]],SAP[],5,FALSE),"")</f>
        <v>2607155060</v>
      </c>
      <c r="I26" s="42" t="str">
        <f>IFERROR(VLOOKUP(CANTIDAD[[#This Row],[Ubicación]],SAP[],6,FALSE),"")</f>
        <v>15/07/2029</v>
      </c>
      <c r="J26" s="11" t="str">
        <f>IFERROR(VLOOKUP(CANTIDAD[[#This Row],[Ubicación]],SAP[],7,FALSE),"")</f>
        <v>1F</v>
      </c>
      <c r="K26" s="11">
        <f>IFERROR(VLOOKUP(CANTIDAD[[#This Row],[Ubicación]],SAP[],10,FALSE),"")</f>
        <v>456</v>
      </c>
      <c r="L26" s="48">
        <f>IFERROR(VLOOKUP(CANTIDAD[[#This Row],[Producto]],MARA[],5,FALSE),"")</f>
        <v>26</v>
      </c>
      <c r="M26" s="48" t="str">
        <f>IFERROR(VLOOKUP(CANTIDAD[[#This Row],[Producto]],MARA[],4,FALSE),"")</f>
        <v>CJA</v>
      </c>
      <c r="N26" s="136" t="s">
        <v>4241</v>
      </c>
    </row>
    <row r="27" spans="1:14">
      <c r="A27" s="139" t="str">
        <f t="shared" si="0"/>
        <v>PASILLO 1</v>
      </c>
      <c r="B27" s="93" t="s">
        <v>3746</v>
      </c>
      <c r="C27" s="11">
        <f>IFERROR(VLOOKUP(CANTIDAD[[#This Row],[Ubicación]],SAP[],3,FALSE),"")</f>
        <v>8325114</v>
      </c>
      <c r="D27" s="30">
        <f>IFERROR(VLOOKUP(CANTIDAD[[#This Row],[Producto]],MARA[],3,FALSE),"")</f>
        <v>77751851006612</v>
      </c>
      <c r="E27" s="13" t="str">
        <f>IFERROR(VLOOKUP(CANTIDAD[[#This Row],[Ubicación]],SAP[],4,FALSE),"")</f>
        <v>INSECT MATA CUCARACHAS SAP.RE 360ML 12UN</v>
      </c>
      <c r="F27" s="13">
        <f>IFERROR(VLOOKUP(CANTIDAD[[#This Row],[Ubicación]],SAP[],8,FALSE),"")</f>
        <v>99</v>
      </c>
      <c r="G27" s="13" t="str">
        <f>IFERROR(VLOOKUP(CANTIDAD[[#This Row],[Ubicación]],SAP[],9,FALSE),"")</f>
        <v>CJA</v>
      </c>
      <c r="H27" s="13">
        <f>IFERROR(VLOOKUP(CANTIDAD[[#This Row],[Ubicación]],SAP[],5,FALSE),"")</f>
        <v>2608275060</v>
      </c>
      <c r="I27" s="43" t="str">
        <f>IFERROR(VLOOKUP(CANTIDAD[[#This Row],[Ubicación]],SAP[],6,FALSE),"")</f>
        <v>27/08/2028</v>
      </c>
      <c r="J27" s="13" t="str">
        <f>IFERROR(VLOOKUP(CANTIDAD[[#This Row],[Ubicación]],SAP[],7,FALSE),"")</f>
        <v>1F</v>
      </c>
      <c r="K27" s="18">
        <f>IFERROR(VLOOKUP(CANTIDAD[[#This Row],[Ubicación]],SAP[],10,FALSE),"")</f>
        <v>1188</v>
      </c>
      <c r="L27" s="48">
        <f>IFERROR(VLOOKUP(CANTIDAD[[#This Row],[Producto]],MARA[],5,FALSE),"")</f>
        <v>26</v>
      </c>
      <c r="M27" s="48" t="str">
        <f>IFERROR(VLOOKUP(CANTIDAD[[#This Row],[Producto]],MARA[],4,FALSE),"")</f>
        <v>CJA</v>
      </c>
      <c r="N27" s="136" t="s">
        <v>4242</v>
      </c>
    </row>
    <row r="28" spans="1:14">
      <c r="A28" s="139" t="str">
        <f t="shared" si="0"/>
        <v>PASILLO 1</v>
      </c>
      <c r="B28" s="92" t="s">
        <v>4243</v>
      </c>
      <c r="C28" s="11" t="str">
        <f>IFERROR(VLOOKUP(CANTIDAD[[#This Row],[Ubicación]],SAP[],3,FALSE),"")</f>
        <v/>
      </c>
      <c r="D28" s="29" t="str">
        <f>IFERROR(VLOOKUP(CANTIDAD[[#This Row],[Producto]],MARA[],3,FALSE),"")</f>
        <v/>
      </c>
      <c r="E28" s="11" t="str">
        <f>IFERROR(VLOOKUP(CANTIDAD[[#This Row],[Ubicación]],SAP[],4,FALSE),"")</f>
        <v/>
      </c>
      <c r="F28" s="11" t="str">
        <f>IFERROR(VLOOKUP(CANTIDAD[[#This Row],[Ubicación]],SAP[],8,FALSE),"")</f>
        <v/>
      </c>
      <c r="G28" s="11" t="str">
        <f>IFERROR(VLOOKUP(CANTIDAD[[#This Row],[Ubicación]],SAP[],9,FALSE),"")</f>
        <v/>
      </c>
      <c r="H28" s="11" t="str">
        <f>IFERROR(VLOOKUP(CANTIDAD[[#This Row],[Ubicación]],SAP[],5,FALSE),"")</f>
        <v/>
      </c>
      <c r="I28" s="42" t="str">
        <f>IFERROR(VLOOKUP(CANTIDAD[[#This Row],[Ubicación]],SAP[],6,FALSE),"")</f>
        <v/>
      </c>
      <c r="J28" s="11" t="str">
        <f>IFERROR(VLOOKUP(CANTIDAD[[#This Row],[Ubicación]],SAP[],7,FALSE),"")</f>
        <v/>
      </c>
      <c r="K28" s="11" t="str">
        <f>IFERROR(VLOOKUP(CANTIDAD[[#This Row],[Ubicación]],SAP[],10,FALSE),"")</f>
        <v/>
      </c>
      <c r="L28" s="48" t="str">
        <f>IFERROR(VLOOKUP(CANTIDAD[[#This Row],[Producto]],MARA[],5,FALSE),"")</f>
        <v/>
      </c>
      <c r="M28" s="48" t="str">
        <f>IFERROR(VLOOKUP(CANTIDAD[[#This Row],[Producto]],MARA[],4,FALSE),"")</f>
        <v/>
      </c>
      <c r="N28" s="136" t="s">
        <v>4244</v>
      </c>
    </row>
    <row r="29" spans="1:14">
      <c r="A29" s="139" t="str">
        <f t="shared" si="0"/>
        <v>PASILLO 1</v>
      </c>
      <c r="B29" s="93" t="s">
        <v>4245</v>
      </c>
      <c r="C29" s="11" t="str">
        <f>IFERROR(VLOOKUP(CANTIDAD[[#This Row],[Ubicación]],SAP[],3,FALSE),"")</f>
        <v/>
      </c>
      <c r="D29" s="30" t="str">
        <f>IFERROR(VLOOKUP(CANTIDAD[[#This Row],[Producto]],MARA[],3,FALSE),"")</f>
        <v/>
      </c>
      <c r="E29" s="13" t="str">
        <f>IFERROR(VLOOKUP(CANTIDAD[[#This Row],[Ubicación]],SAP[],4,FALSE),"")</f>
        <v/>
      </c>
      <c r="F29" s="13" t="str">
        <f>IFERROR(VLOOKUP(CANTIDAD[[#This Row],[Ubicación]],SAP[],8,FALSE),"")</f>
        <v/>
      </c>
      <c r="G29" s="13" t="str">
        <f>IFERROR(VLOOKUP(CANTIDAD[[#This Row],[Ubicación]],SAP[],9,FALSE),"")</f>
        <v/>
      </c>
      <c r="H29" s="13" t="str">
        <f>IFERROR(VLOOKUP(CANTIDAD[[#This Row],[Ubicación]],SAP[],5,FALSE),"")</f>
        <v/>
      </c>
      <c r="I29" s="43" t="str">
        <f>IFERROR(VLOOKUP(CANTIDAD[[#This Row],[Ubicación]],SAP[],6,FALSE),"")</f>
        <v/>
      </c>
      <c r="J29" s="13" t="str">
        <f>IFERROR(VLOOKUP(CANTIDAD[[#This Row],[Ubicación]],SAP[],7,FALSE),"")</f>
        <v/>
      </c>
      <c r="K29" s="14" t="str">
        <f>IFERROR(VLOOKUP(CANTIDAD[[#This Row],[Ubicación]],SAP[],10,FALSE),"")</f>
        <v/>
      </c>
      <c r="L29" s="48" t="str">
        <f>IFERROR(VLOOKUP(CANTIDAD[[#This Row],[Producto]],MARA[],5,FALSE),"")</f>
        <v/>
      </c>
      <c r="M29" s="48" t="str">
        <f>IFERROR(VLOOKUP(CANTIDAD[[#This Row],[Producto]],MARA[],4,FALSE),"")</f>
        <v/>
      </c>
      <c r="N29" s="136" t="s">
        <v>4246</v>
      </c>
    </row>
    <row r="30" spans="1:14">
      <c r="A30" s="139" t="str">
        <f t="shared" si="0"/>
        <v>PASILLO 1</v>
      </c>
      <c r="B30" s="92" t="s">
        <v>4247</v>
      </c>
      <c r="C30" s="11" t="str">
        <f>IFERROR(VLOOKUP(CANTIDAD[[#This Row],[Ubicación]],SAP[],3,FALSE),"")</f>
        <v/>
      </c>
      <c r="D30" s="29" t="str">
        <f>IFERROR(VLOOKUP(CANTIDAD[[#This Row],[Producto]],MARA[],3,FALSE),"")</f>
        <v/>
      </c>
      <c r="E30" s="11" t="str">
        <f>IFERROR(VLOOKUP(CANTIDAD[[#This Row],[Ubicación]],SAP[],4,FALSE),"")</f>
        <v/>
      </c>
      <c r="F30" s="11" t="str">
        <f>IFERROR(VLOOKUP(CANTIDAD[[#This Row],[Ubicación]],SAP[],8,FALSE),"")</f>
        <v/>
      </c>
      <c r="G30" s="11" t="str">
        <f>IFERROR(VLOOKUP(CANTIDAD[[#This Row],[Ubicación]],SAP[],9,FALSE),"")</f>
        <v/>
      </c>
      <c r="H30" s="11" t="str">
        <f>IFERROR(VLOOKUP(CANTIDAD[[#This Row],[Ubicación]],SAP[],5,FALSE),"")</f>
        <v/>
      </c>
      <c r="I30" s="42" t="str">
        <f>IFERROR(VLOOKUP(CANTIDAD[[#This Row],[Ubicación]],SAP[],6,FALSE),"")</f>
        <v/>
      </c>
      <c r="J30" s="11" t="str">
        <f>IFERROR(VLOOKUP(CANTIDAD[[#This Row],[Ubicación]],SAP[],7,FALSE),"")</f>
        <v/>
      </c>
      <c r="K30" s="11" t="str">
        <f>IFERROR(VLOOKUP(CANTIDAD[[#This Row],[Ubicación]],SAP[],10,FALSE),"")</f>
        <v/>
      </c>
      <c r="L30" s="48" t="str">
        <f>IFERROR(VLOOKUP(CANTIDAD[[#This Row],[Producto]],MARA[],5,FALSE),"")</f>
        <v/>
      </c>
      <c r="M30" s="48" t="str">
        <f>IFERROR(VLOOKUP(CANTIDAD[[#This Row],[Producto]],MARA[],4,FALSE),"")</f>
        <v/>
      </c>
      <c r="N30" s="136" t="s">
        <v>4248</v>
      </c>
    </row>
    <row r="31" spans="1:14">
      <c r="A31" s="139" t="str">
        <f t="shared" si="0"/>
        <v>PASILLO 1</v>
      </c>
      <c r="B31" s="93" t="s">
        <v>4249</v>
      </c>
      <c r="C31" s="11" t="str">
        <f>IFERROR(VLOOKUP(CANTIDAD[[#This Row],[Ubicación]],SAP[],3,FALSE),"")</f>
        <v/>
      </c>
      <c r="D31" s="30" t="str">
        <f>IFERROR(VLOOKUP(CANTIDAD[[#This Row],[Producto]],MARA[],3,FALSE),"")</f>
        <v/>
      </c>
      <c r="E31" s="13" t="str">
        <f>IFERROR(VLOOKUP(CANTIDAD[[#This Row],[Ubicación]],SAP[],4,FALSE),"")</f>
        <v/>
      </c>
      <c r="F31" s="13" t="str">
        <f>IFERROR(VLOOKUP(CANTIDAD[[#This Row],[Ubicación]],SAP[],8,FALSE),"")</f>
        <v/>
      </c>
      <c r="G31" s="13" t="str">
        <f>IFERROR(VLOOKUP(CANTIDAD[[#This Row],[Ubicación]],SAP[],9,FALSE),"")</f>
        <v/>
      </c>
      <c r="H31" s="13" t="str">
        <f>IFERROR(VLOOKUP(CANTIDAD[[#This Row],[Ubicación]],SAP[],5,FALSE),"")</f>
        <v/>
      </c>
      <c r="I31" s="43" t="str">
        <f>IFERROR(VLOOKUP(CANTIDAD[[#This Row],[Ubicación]],SAP[],6,FALSE),"")</f>
        <v/>
      </c>
      <c r="J31" s="13" t="str">
        <f>IFERROR(VLOOKUP(CANTIDAD[[#This Row],[Ubicación]],SAP[],7,FALSE),"")</f>
        <v/>
      </c>
      <c r="K31" s="14" t="str">
        <f>IFERROR(VLOOKUP(CANTIDAD[[#This Row],[Ubicación]],SAP[],10,FALSE),"")</f>
        <v/>
      </c>
      <c r="L31" s="48" t="str">
        <f>IFERROR(VLOOKUP(CANTIDAD[[#This Row],[Producto]],MARA[],5,FALSE),"")</f>
        <v/>
      </c>
      <c r="M31" s="48" t="str">
        <f>IFERROR(VLOOKUP(CANTIDAD[[#This Row],[Producto]],MARA[],4,FALSE),"")</f>
        <v/>
      </c>
      <c r="N31" s="136" t="s">
        <v>4250</v>
      </c>
    </row>
    <row r="32" spans="1:14">
      <c r="A32" s="139" t="str">
        <f t="shared" si="0"/>
        <v>PASILLO 1</v>
      </c>
      <c r="B32" s="92" t="s">
        <v>4251</v>
      </c>
      <c r="C32" s="11" t="str">
        <f>IFERROR(VLOOKUP(CANTIDAD[[#This Row],[Ubicación]],SAP[],3,FALSE),"")</f>
        <v/>
      </c>
      <c r="D32" s="29" t="str">
        <f>IFERROR(VLOOKUP(CANTIDAD[[#This Row],[Producto]],MARA[],3,FALSE),"")</f>
        <v/>
      </c>
      <c r="E32" s="11" t="str">
        <f>IFERROR(VLOOKUP(CANTIDAD[[#This Row],[Ubicación]],SAP[],4,FALSE),"")</f>
        <v/>
      </c>
      <c r="F32" s="11" t="str">
        <f>IFERROR(VLOOKUP(CANTIDAD[[#This Row],[Ubicación]],SAP[],8,FALSE),"")</f>
        <v/>
      </c>
      <c r="G32" s="11" t="str">
        <f>IFERROR(VLOOKUP(CANTIDAD[[#This Row],[Ubicación]],SAP[],9,FALSE),"")</f>
        <v/>
      </c>
      <c r="H32" s="11" t="str">
        <f>IFERROR(VLOOKUP(CANTIDAD[[#This Row],[Ubicación]],SAP[],5,FALSE),"")</f>
        <v/>
      </c>
      <c r="I32" s="42" t="str">
        <f>IFERROR(VLOOKUP(CANTIDAD[[#This Row],[Ubicación]],SAP[],6,FALSE),"")</f>
        <v/>
      </c>
      <c r="J32" s="11" t="str">
        <f>IFERROR(VLOOKUP(CANTIDAD[[#This Row],[Ubicación]],SAP[],7,FALSE),"")</f>
        <v/>
      </c>
      <c r="K32" s="11" t="str">
        <f>IFERROR(VLOOKUP(CANTIDAD[[#This Row],[Ubicación]],SAP[],10,FALSE),"")</f>
        <v/>
      </c>
      <c r="L32" s="48" t="str">
        <f>IFERROR(VLOOKUP(CANTIDAD[[#This Row],[Producto]],MARA[],5,FALSE),"")</f>
        <v/>
      </c>
      <c r="M32" s="48" t="str">
        <f>IFERROR(VLOOKUP(CANTIDAD[[#This Row],[Producto]],MARA[],4,FALSE),"")</f>
        <v/>
      </c>
      <c r="N32" s="136" t="s">
        <v>4252</v>
      </c>
    </row>
    <row r="33" spans="1:14">
      <c r="A33" s="139" t="str">
        <f t="shared" si="0"/>
        <v>PASILLO 1</v>
      </c>
      <c r="B33" s="93" t="s">
        <v>4253</v>
      </c>
      <c r="C33" s="11" t="str">
        <f>IFERROR(VLOOKUP(CANTIDAD[[#This Row],[Ubicación]],SAP[],3,FALSE),"")</f>
        <v/>
      </c>
      <c r="D33" s="30" t="str">
        <f>IFERROR(VLOOKUP(CANTIDAD[[#This Row],[Producto]],MARA[],3,FALSE),"")</f>
        <v/>
      </c>
      <c r="E33" s="13" t="str">
        <f>IFERROR(VLOOKUP(CANTIDAD[[#This Row],[Ubicación]],SAP[],4,FALSE),"")</f>
        <v/>
      </c>
      <c r="F33" s="13" t="str">
        <f>IFERROR(VLOOKUP(CANTIDAD[[#This Row],[Ubicación]],SAP[],8,FALSE),"")</f>
        <v/>
      </c>
      <c r="G33" s="13" t="str">
        <f>IFERROR(VLOOKUP(CANTIDAD[[#This Row],[Ubicación]],SAP[],9,FALSE),"")</f>
        <v/>
      </c>
      <c r="H33" s="13" t="str">
        <f>IFERROR(VLOOKUP(CANTIDAD[[#This Row],[Ubicación]],SAP[],5,FALSE),"")</f>
        <v/>
      </c>
      <c r="I33" s="43" t="str">
        <f>IFERROR(VLOOKUP(CANTIDAD[[#This Row],[Ubicación]],SAP[],6,FALSE),"")</f>
        <v/>
      </c>
      <c r="J33" s="13" t="str">
        <f>IFERROR(VLOOKUP(CANTIDAD[[#This Row],[Ubicación]],SAP[],7,FALSE),"")</f>
        <v/>
      </c>
      <c r="K33" s="14" t="str">
        <f>IFERROR(VLOOKUP(CANTIDAD[[#This Row],[Ubicación]],SAP[],10,FALSE),"")</f>
        <v/>
      </c>
      <c r="L33" s="48" t="str">
        <f>IFERROR(VLOOKUP(CANTIDAD[[#This Row],[Producto]],MARA[],5,FALSE),"")</f>
        <v/>
      </c>
      <c r="M33" s="48" t="str">
        <f>IFERROR(VLOOKUP(CANTIDAD[[#This Row],[Producto]],MARA[],4,FALSE),"")</f>
        <v/>
      </c>
      <c r="N33" s="136" t="s">
        <v>4254</v>
      </c>
    </row>
    <row r="34" spans="1:14">
      <c r="A34" s="139" t="str">
        <f t="shared" si="0"/>
        <v>PASILLO 1</v>
      </c>
      <c r="B34" s="92" t="s">
        <v>4255</v>
      </c>
      <c r="C34" s="11" t="str">
        <f>IFERROR(VLOOKUP(CANTIDAD[[#This Row],[Ubicación]],SAP[],3,FALSE),"")</f>
        <v/>
      </c>
      <c r="D34" s="29" t="str">
        <f>IFERROR(VLOOKUP(CANTIDAD[[#This Row],[Producto]],MARA[],3,FALSE),"")</f>
        <v/>
      </c>
      <c r="E34" s="11" t="str">
        <f>IFERROR(VLOOKUP(CANTIDAD[[#This Row],[Ubicación]],SAP[],4,FALSE),"")</f>
        <v/>
      </c>
      <c r="F34" s="11" t="str">
        <f>IFERROR(VLOOKUP(CANTIDAD[[#This Row],[Ubicación]],SAP[],8,FALSE),"")</f>
        <v/>
      </c>
      <c r="G34" s="11" t="str">
        <f>IFERROR(VLOOKUP(CANTIDAD[[#This Row],[Ubicación]],SAP[],9,FALSE),"")</f>
        <v/>
      </c>
      <c r="H34" s="11" t="str">
        <f>IFERROR(VLOOKUP(CANTIDAD[[#This Row],[Ubicación]],SAP[],5,FALSE),"")</f>
        <v/>
      </c>
      <c r="I34" s="42" t="str">
        <f>IFERROR(VLOOKUP(CANTIDAD[[#This Row],[Ubicación]],SAP[],6,FALSE),"")</f>
        <v/>
      </c>
      <c r="J34" s="11" t="str">
        <f>IFERROR(VLOOKUP(CANTIDAD[[#This Row],[Ubicación]],SAP[],7,FALSE),"")</f>
        <v/>
      </c>
      <c r="K34" s="11" t="str">
        <f>IFERROR(VLOOKUP(CANTIDAD[[#This Row],[Ubicación]],SAP[],10,FALSE),"")</f>
        <v/>
      </c>
      <c r="L34" s="48" t="str">
        <f>IFERROR(VLOOKUP(CANTIDAD[[#This Row],[Producto]],MARA[],5,FALSE),"")</f>
        <v/>
      </c>
      <c r="M34" s="48" t="str">
        <f>IFERROR(VLOOKUP(CANTIDAD[[#This Row],[Producto]],MARA[],4,FALSE),"")</f>
        <v/>
      </c>
      <c r="N34" s="136" t="s">
        <v>4256</v>
      </c>
    </row>
    <row r="35" spans="1:14">
      <c r="A35" s="139" t="str">
        <f t="shared" si="0"/>
        <v>PASILLO 1</v>
      </c>
      <c r="B35" s="93" t="s">
        <v>4257</v>
      </c>
      <c r="C35" s="11" t="str">
        <f>IFERROR(VLOOKUP(CANTIDAD[[#This Row],[Ubicación]],SAP[],3,FALSE),"")</f>
        <v/>
      </c>
      <c r="D35" s="30" t="str">
        <f>IFERROR(VLOOKUP(CANTIDAD[[#This Row],[Producto]],MARA[],3,FALSE),"")</f>
        <v/>
      </c>
      <c r="E35" s="13" t="str">
        <f>IFERROR(VLOOKUP(CANTIDAD[[#This Row],[Ubicación]],SAP[],4,FALSE),"")</f>
        <v/>
      </c>
      <c r="F35" s="13" t="str">
        <f>IFERROR(VLOOKUP(CANTIDAD[[#This Row],[Ubicación]],SAP[],8,FALSE),"")</f>
        <v/>
      </c>
      <c r="G35" s="13" t="str">
        <f>IFERROR(VLOOKUP(CANTIDAD[[#This Row],[Ubicación]],SAP[],9,FALSE),"")</f>
        <v/>
      </c>
      <c r="H35" s="13" t="str">
        <f>IFERROR(VLOOKUP(CANTIDAD[[#This Row],[Ubicación]],SAP[],5,FALSE),"")</f>
        <v/>
      </c>
      <c r="I35" s="43" t="str">
        <f>IFERROR(VLOOKUP(CANTIDAD[[#This Row],[Ubicación]],SAP[],6,FALSE),"")</f>
        <v/>
      </c>
      <c r="J35" s="13" t="str">
        <f>IFERROR(VLOOKUP(CANTIDAD[[#This Row],[Ubicación]],SAP[],7,FALSE),"")</f>
        <v/>
      </c>
      <c r="K35" s="14" t="str">
        <f>IFERROR(VLOOKUP(CANTIDAD[[#This Row],[Ubicación]],SAP[],10,FALSE),"")</f>
        <v/>
      </c>
      <c r="L35" s="48" t="str">
        <f>IFERROR(VLOOKUP(CANTIDAD[[#This Row],[Producto]],MARA[],5,FALSE),"")</f>
        <v/>
      </c>
      <c r="M35" s="48" t="str">
        <f>IFERROR(VLOOKUP(CANTIDAD[[#This Row],[Producto]],MARA[],4,FALSE),"")</f>
        <v/>
      </c>
      <c r="N35" s="136" t="s">
        <v>4258</v>
      </c>
    </row>
    <row r="36" spans="1:14">
      <c r="A36" s="139" t="str">
        <f t="shared" si="0"/>
        <v>PASILLO 1</v>
      </c>
      <c r="B36" s="92" t="s">
        <v>4259</v>
      </c>
      <c r="C36" s="11" t="str">
        <f>IFERROR(VLOOKUP(CANTIDAD[[#This Row],[Ubicación]],SAP[],3,FALSE),"")</f>
        <v/>
      </c>
      <c r="D36" s="29" t="str">
        <f>IFERROR(VLOOKUP(CANTIDAD[[#This Row],[Producto]],MARA[],3,FALSE),"")</f>
        <v/>
      </c>
      <c r="E36" s="11" t="str">
        <f>IFERROR(VLOOKUP(CANTIDAD[[#This Row],[Ubicación]],SAP[],4,FALSE),"")</f>
        <v/>
      </c>
      <c r="F36" s="11" t="str">
        <f>IFERROR(VLOOKUP(CANTIDAD[[#This Row],[Ubicación]],SAP[],8,FALSE),"")</f>
        <v/>
      </c>
      <c r="G36" s="11" t="str">
        <f>IFERROR(VLOOKUP(CANTIDAD[[#This Row],[Ubicación]],SAP[],9,FALSE),"")</f>
        <v/>
      </c>
      <c r="H36" s="11" t="str">
        <f>IFERROR(VLOOKUP(CANTIDAD[[#This Row],[Ubicación]],SAP[],5,FALSE),"")</f>
        <v/>
      </c>
      <c r="I36" s="42" t="str">
        <f>IFERROR(VLOOKUP(CANTIDAD[[#This Row],[Ubicación]],SAP[],6,FALSE),"")</f>
        <v/>
      </c>
      <c r="J36" s="11" t="str">
        <f>IFERROR(VLOOKUP(CANTIDAD[[#This Row],[Ubicación]],SAP[],7,FALSE),"")</f>
        <v/>
      </c>
      <c r="K36" s="11" t="str">
        <f>IFERROR(VLOOKUP(CANTIDAD[[#This Row],[Ubicación]],SAP[],10,FALSE),"")</f>
        <v/>
      </c>
      <c r="L36" s="48" t="str">
        <f>IFERROR(VLOOKUP(CANTIDAD[[#This Row],[Producto]],MARA[],5,FALSE),"")</f>
        <v/>
      </c>
      <c r="M36" s="48" t="str">
        <f>IFERROR(VLOOKUP(CANTIDAD[[#This Row],[Producto]],MARA[],4,FALSE),"")</f>
        <v/>
      </c>
      <c r="N36" s="136" t="s">
        <v>4260</v>
      </c>
    </row>
    <row r="37" spans="1:14">
      <c r="A37" s="139" t="str">
        <f t="shared" si="0"/>
        <v>PASILLO 1</v>
      </c>
      <c r="B37" s="93" t="s">
        <v>4261</v>
      </c>
      <c r="C37" s="11" t="str">
        <f>IFERROR(VLOOKUP(CANTIDAD[[#This Row],[Ubicación]],SAP[],3,FALSE),"")</f>
        <v/>
      </c>
      <c r="D37" s="30" t="str">
        <f>IFERROR(VLOOKUP(CANTIDAD[[#This Row],[Producto]],MARA[],3,FALSE),"")</f>
        <v/>
      </c>
      <c r="E37" s="13" t="str">
        <f>IFERROR(VLOOKUP(CANTIDAD[[#This Row],[Ubicación]],SAP[],4,FALSE),"")</f>
        <v/>
      </c>
      <c r="F37" s="13" t="str">
        <f>IFERROR(VLOOKUP(CANTIDAD[[#This Row],[Ubicación]],SAP[],8,FALSE),"")</f>
        <v/>
      </c>
      <c r="G37" s="13" t="str">
        <f>IFERROR(VLOOKUP(CANTIDAD[[#This Row],[Ubicación]],SAP[],9,FALSE),"")</f>
        <v/>
      </c>
      <c r="H37" s="13" t="str">
        <f>IFERROR(VLOOKUP(CANTIDAD[[#This Row],[Ubicación]],SAP[],5,FALSE),"")</f>
        <v/>
      </c>
      <c r="I37" s="43" t="str">
        <f>IFERROR(VLOOKUP(CANTIDAD[[#This Row],[Ubicación]],SAP[],6,FALSE),"")</f>
        <v/>
      </c>
      <c r="J37" s="13" t="str">
        <f>IFERROR(VLOOKUP(CANTIDAD[[#This Row],[Ubicación]],SAP[],7,FALSE),"")</f>
        <v/>
      </c>
      <c r="K37" s="14" t="str">
        <f>IFERROR(VLOOKUP(CANTIDAD[[#This Row],[Ubicación]],SAP[],10,FALSE),"")</f>
        <v/>
      </c>
      <c r="L37" s="48" t="str">
        <f>IFERROR(VLOOKUP(CANTIDAD[[#This Row],[Producto]],MARA[],5,FALSE),"")</f>
        <v/>
      </c>
      <c r="M37" s="48" t="str">
        <f>IFERROR(VLOOKUP(CANTIDAD[[#This Row],[Producto]],MARA[],4,FALSE),"")</f>
        <v/>
      </c>
      <c r="N37" s="136" t="s">
        <v>4262</v>
      </c>
    </row>
    <row r="38" spans="1:14">
      <c r="A38" s="139" t="str">
        <f t="shared" si="0"/>
        <v>PASILLO 1</v>
      </c>
      <c r="B38" s="92" t="s">
        <v>4263</v>
      </c>
      <c r="C38" s="11" t="str">
        <f>IFERROR(VLOOKUP(CANTIDAD[[#This Row],[Ubicación]],SAP[],3,FALSE),"")</f>
        <v/>
      </c>
      <c r="D38" s="29" t="str">
        <f>IFERROR(VLOOKUP(CANTIDAD[[#This Row],[Producto]],MARA[],3,FALSE),"")</f>
        <v/>
      </c>
      <c r="E38" s="11" t="str">
        <f>IFERROR(VLOOKUP(CANTIDAD[[#This Row],[Ubicación]],SAP[],4,FALSE),"")</f>
        <v/>
      </c>
      <c r="F38" s="11" t="str">
        <f>IFERROR(VLOOKUP(CANTIDAD[[#This Row],[Ubicación]],SAP[],8,FALSE),"")</f>
        <v/>
      </c>
      <c r="G38" s="11" t="str">
        <f>IFERROR(VLOOKUP(CANTIDAD[[#This Row],[Ubicación]],SAP[],9,FALSE),"")</f>
        <v/>
      </c>
      <c r="H38" s="11" t="str">
        <f>IFERROR(VLOOKUP(CANTIDAD[[#This Row],[Ubicación]],SAP[],5,FALSE),"")</f>
        <v/>
      </c>
      <c r="I38" s="42" t="str">
        <f>IFERROR(VLOOKUP(CANTIDAD[[#This Row],[Ubicación]],SAP[],6,FALSE),"")</f>
        <v/>
      </c>
      <c r="J38" s="11" t="str">
        <f>IFERROR(VLOOKUP(CANTIDAD[[#This Row],[Ubicación]],SAP[],7,FALSE),"")</f>
        <v/>
      </c>
      <c r="K38" s="11" t="str">
        <f>IFERROR(VLOOKUP(CANTIDAD[[#This Row],[Ubicación]],SAP[],10,FALSE),"")</f>
        <v/>
      </c>
      <c r="L38" s="48" t="str">
        <f>IFERROR(VLOOKUP(CANTIDAD[[#This Row],[Producto]],MARA[],5,FALSE),"")</f>
        <v/>
      </c>
      <c r="M38" s="48" t="str">
        <f>IFERROR(VLOOKUP(CANTIDAD[[#This Row],[Producto]],MARA[],4,FALSE),"")</f>
        <v/>
      </c>
      <c r="N38" s="136" t="s">
        <v>4264</v>
      </c>
    </row>
    <row r="39" spans="1:14">
      <c r="A39" s="139" t="str">
        <f t="shared" si="0"/>
        <v>PASILLO 1</v>
      </c>
      <c r="B39" s="93" t="s">
        <v>4265</v>
      </c>
      <c r="C39" s="11" t="str">
        <f>IFERROR(VLOOKUP(CANTIDAD[[#This Row],[Ubicación]],SAP[],3,FALSE),"")</f>
        <v/>
      </c>
      <c r="D39" s="30" t="str">
        <f>IFERROR(VLOOKUP(CANTIDAD[[#This Row],[Producto]],MARA[],3,FALSE),"")</f>
        <v/>
      </c>
      <c r="E39" s="13" t="str">
        <f>IFERROR(VLOOKUP(CANTIDAD[[#This Row],[Ubicación]],SAP[],4,FALSE),"")</f>
        <v/>
      </c>
      <c r="F39" s="13" t="str">
        <f>IFERROR(VLOOKUP(CANTIDAD[[#This Row],[Ubicación]],SAP[],8,FALSE),"")</f>
        <v/>
      </c>
      <c r="G39" s="13" t="str">
        <f>IFERROR(VLOOKUP(CANTIDAD[[#This Row],[Ubicación]],SAP[],9,FALSE),"")</f>
        <v/>
      </c>
      <c r="H39" s="13" t="str">
        <f>IFERROR(VLOOKUP(CANTIDAD[[#This Row],[Ubicación]],SAP[],5,FALSE),"")</f>
        <v/>
      </c>
      <c r="I39" s="43" t="str">
        <f>IFERROR(VLOOKUP(CANTIDAD[[#This Row],[Ubicación]],SAP[],6,FALSE),"")</f>
        <v/>
      </c>
      <c r="J39" s="13" t="str">
        <f>IFERROR(VLOOKUP(CANTIDAD[[#This Row],[Ubicación]],SAP[],7,FALSE),"")</f>
        <v/>
      </c>
      <c r="K39" s="14" t="str">
        <f>IFERROR(VLOOKUP(CANTIDAD[[#This Row],[Ubicación]],SAP[],10,FALSE),"")</f>
        <v/>
      </c>
      <c r="L39" s="48" t="str">
        <f>IFERROR(VLOOKUP(CANTIDAD[[#This Row],[Producto]],MARA[],5,FALSE),"")</f>
        <v/>
      </c>
      <c r="M39" s="48" t="str">
        <f>IFERROR(VLOOKUP(CANTIDAD[[#This Row],[Producto]],MARA[],4,FALSE),"")</f>
        <v/>
      </c>
      <c r="N39" s="136" t="s">
        <v>4266</v>
      </c>
    </row>
    <row r="40" spans="1:14">
      <c r="A40" s="139" t="str">
        <f t="shared" si="0"/>
        <v>PASILLO 1</v>
      </c>
      <c r="B40" s="92" t="s">
        <v>4267</v>
      </c>
      <c r="C40" s="11" t="str">
        <f>IFERROR(VLOOKUP(CANTIDAD[[#This Row],[Ubicación]],SAP[],3,FALSE),"")</f>
        <v/>
      </c>
      <c r="D40" s="29" t="str">
        <f>IFERROR(VLOOKUP(CANTIDAD[[#This Row],[Producto]],MARA[],3,FALSE),"")</f>
        <v/>
      </c>
      <c r="E40" s="11" t="str">
        <f>IFERROR(VLOOKUP(CANTIDAD[[#This Row],[Ubicación]],SAP[],4,FALSE),"")</f>
        <v/>
      </c>
      <c r="F40" s="11" t="str">
        <f>IFERROR(VLOOKUP(CANTIDAD[[#This Row],[Ubicación]],SAP[],8,FALSE),"")</f>
        <v/>
      </c>
      <c r="G40" s="11" t="str">
        <f>IFERROR(VLOOKUP(CANTIDAD[[#This Row],[Ubicación]],SAP[],9,FALSE),"")</f>
        <v/>
      </c>
      <c r="H40" s="11" t="str">
        <f>IFERROR(VLOOKUP(CANTIDAD[[#This Row],[Ubicación]],SAP[],5,FALSE),"")</f>
        <v/>
      </c>
      <c r="I40" s="42" t="str">
        <f>IFERROR(VLOOKUP(CANTIDAD[[#This Row],[Ubicación]],SAP[],6,FALSE),"")</f>
        <v/>
      </c>
      <c r="J40" s="11" t="str">
        <f>IFERROR(VLOOKUP(CANTIDAD[[#This Row],[Ubicación]],SAP[],7,FALSE),"")</f>
        <v/>
      </c>
      <c r="K40" s="11" t="str">
        <f>IFERROR(VLOOKUP(CANTIDAD[[#This Row],[Ubicación]],SAP[],10,FALSE),"")</f>
        <v/>
      </c>
      <c r="L40" s="48" t="str">
        <f>IFERROR(VLOOKUP(CANTIDAD[[#This Row],[Producto]],MARA[],5,FALSE),"")</f>
        <v/>
      </c>
      <c r="M40" s="48" t="str">
        <f>IFERROR(VLOOKUP(CANTIDAD[[#This Row],[Producto]],MARA[],4,FALSE),"")</f>
        <v/>
      </c>
      <c r="N40" s="136" t="s">
        <v>4268</v>
      </c>
    </row>
    <row r="41" spans="1:14">
      <c r="A41" s="139" t="str">
        <f t="shared" si="0"/>
        <v>PASILLO 1</v>
      </c>
      <c r="B41" s="93" t="s">
        <v>3449</v>
      </c>
      <c r="C41" s="11">
        <f>IFERROR(VLOOKUP(CANTIDAD[[#This Row],[Ubicación]],SAP[],3,FALSE),"")</f>
        <v>8309119</v>
      </c>
      <c r="D41" s="30">
        <f>IFERROR(VLOOKUP(CANTIDAD[[#This Row],[Producto]],MARA[],3,FALSE),"")</f>
        <v>37751851005983</v>
      </c>
      <c r="E41" s="13" t="str">
        <f>IFERROR(VLOOKUP(CANTIDAD[[#This Row],[Ubicación]],SAP[],4,FALSE),"")</f>
        <v>AMBIENTADOR SAPOLIO LAVANDA 360ML 12UND</v>
      </c>
      <c r="F41" s="13">
        <f>IFERROR(VLOOKUP(CANTIDAD[[#This Row],[Ubicación]],SAP[],8,FALSE),"")</f>
        <v>4</v>
      </c>
      <c r="G41" s="13" t="str">
        <f>IFERROR(VLOOKUP(CANTIDAD[[#This Row],[Ubicación]],SAP[],9,FALSE),"")</f>
        <v>CJA</v>
      </c>
      <c r="H41" s="13">
        <f>IFERROR(VLOOKUP(CANTIDAD[[#This Row],[Ubicación]],SAP[],5,FALSE),"")</f>
        <v>2608195060</v>
      </c>
      <c r="I41" s="43" t="str">
        <f>IFERROR(VLOOKUP(CANTIDAD[[#This Row],[Ubicación]],SAP[],6,FALSE),"")</f>
        <v>19/08/2029</v>
      </c>
      <c r="J41" s="13" t="str">
        <f>IFERROR(VLOOKUP(CANTIDAD[[#This Row],[Ubicación]],SAP[],7,FALSE),"")</f>
        <v>1F</v>
      </c>
      <c r="K41" s="18">
        <f>IFERROR(VLOOKUP(CANTIDAD[[#This Row],[Ubicación]],SAP[],10,FALSE),"")</f>
        <v>48</v>
      </c>
      <c r="L41" s="48">
        <f>IFERROR(VLOOKUP(CANTIDAD[[#This Row],[Producto]],MARA[],5,FALSE),"")</f>
        <v>26</v>
      </c>
      <c r="M41" s="48" t="str">
        <f>IFERROR(VLOOKUP(CANTIDAD[[#This Row],[Producto]],MARA[],4,FALSE),"")</f>
        <v>CJA</v>
      </c>
      <c r="N41" s="136" t="s">
        <v>4269</v>
      </c>
    </row>
    <row r="42" spans="1:14" hidden="1">
      <c r="A42" s="139" t="str">
        <f t="shared" si="0"/>
        <v>PASILLO 5</v>
      </c>
      <c r="B42" s="92" t="s">
        <v>4270</v>
      </c>
      <c r="C42" s="11" t="str">
        <f>IFERROR(VLOOKUP(CANTIDAD[[#This Row],[Ubicación]],SAP[],3,FALSE),"")</f>
        <v/>
      </c>
      <c r="D42" s="29" t="str">
        <f>IFERROR(VLOOKUP(CANTIDAD[[#This Row],[Producto]],MARA[],3,FALSE),"")</f>
        <v/>
      </c>
      <c r="E42" s="11" t="str">
        <f>IFERROR(VLOOKUP(CANTIDAD[[#This Row],[Ubicación]],SAP[],4,FALSE),"")</f>
        <v/>
      </c>
      <c r="F42" s="11" t="str">
        <f>IFERROR(VLOOKUP(CANTIDAD[[#This Row],[Ubicación]],SAP[],8,FALSE),"")</f>
        <v/>
      </c>
      <c r="G42" s="11" t="str">
        <f>IFERROR(VLOOKUP(CANTIDAD[[#This Row],[Ubicación]],SAP[],9,FALSE),"")</f>
        <v/>
      </c>
      <c r="H42" s="11" t="str">
        <f>IFERROR(VLOOKUP(CANTIDAD[[#This Row],[Ubicación]],SAP[],5,FALSE),"")</f>
        <v/>
      </c>
      <c r="I42" s="42" t="str">
        <f>IFERROR(VLOOKUP(CANTIDAD[[#This Row],[Ubicación]],SAP[],6,FALSE),"")</f>
        <v/>
      </c>
      <c r="J42" s="11" t="str">
        <f>IFERROR(VLOOKUP(CANTIDAD[[#This Row],[Ubicación]],SAP[],7,FALSE),"")</f>
        <v/>
      </c>
      <c r="K42" s="11" t="str">
        <f>IFERROR(VLOOKUP(CANTIDAD[[#This Row],[Ubicación]],SAP[],10,FALSE),"")</f>
        <v/>
      </c>
      <c r="L42" s="48" t="str">
        <f>IFERROR(VLOOKUP(CANTIDAD[[#This Row],[Producto]],MARA[],5,FALSE),"")</f>
        <v/>
      </c>
      <c r="M42" s="48" t="str">
        <f>IFERROR(VLOOKUP(CANTIDAD[[#This Row],[Producto]],MARA[],4,FALSE),"")</f>
        <v/>
      </c>
      <c r="N42" s="136" t="s">
        <v>4271</v>
      </c>
    </row>
    <row r="43" spans="1:14" hidden="1">
      <c r="A43" s="139" t="str">
        <f t="shared" si="0"/>
        <v>PASILLO 5</v>
      </c>
      <c r="B43" s="93" t="s">
        <v>4272</v>
      </c>
      <c r="C43" s="11" t="str">
        <f>IFERROR(VLOOKUP(CANTIDAD[[#This Row],[Ubicación]],SAP[],3,FALSE),"")</f>
        <v/>
      </c>
      <c r="D43" s="30" t="str">
        <f>IFERROR(VLOOKUP(CANTIDAD[[#This Row],[Producto]],MARA[],3,FALSE),"")</f>
        <v/>
      </c>
      <c r="E43" s="13" t="str">
        <f>IFERROR(VLOOKUP(CANTIDAD[[#This Row],[Ubicación]],SAP[],4,FALSE),"")</f>
        <v/>
      </c>
      <c r="F43" s="13" t="str">
        <f>IFERROR(VLOOKUP(CANTIDAD[[#This Row],[Ubicación]],SAP[],8,FALSE),"")</f>
        <v/>
      </c>
      <c r="G43" s="13" t="str">
        <f>IFERROR(VLOOKUP(CANTIDAD[[#This Row],[Ubicación]],SAP[],9,FALSE),"")</f>
        <v/>
      </c>
      <c r="H43" s="13" t="str">
        <f>IFERROR(VLOOKUP(CANTIDAD[[#This Row],[Ubicación]],SAP[],5,FALSE),"")</f>
        <v/>
      </c>
      <c r="I43" s="43" t="str">
        <f>IFERROR(VLOOKUP(CANTIDAD[[#This Row],[Ubicación]],SAP[],6,FALSE),"")</f>
        <v/>
      </c>
      <c r="J43" s="13" t="str">
        <f>IFERROR(VLOOKUP(CANTIDAD[[#This Row],[Ubicación]],SAP[],7,FALSE),"")</f>
        <v/>
      </c>
      <c r="K43" s="14" t="str">
        <f>IFERROR(VLOOKUP(CANTIDAD[[#This Row],[Ubicación]],SAP[],10,FALSE),"")</f>
        <v/>
      </c>
      <c r="L43" s="48" t="str">
        <f>IFERROR(VLOOKUP(CANTIDAD[[#This Row],[Producto]],MARA[],5,FALSE),"")</f>
        <v/>
      </c>
      <c r="M43" s="48" t="str">
        <f>IFERROR(VLOOKUP(CANTIDAD[[#This Row],[Producto]],MARA[],4,FALSE),"")</f>
        <v/>
      </c>
      <c r="N43" s="136" t="s">
        <v>4273</v>
      </c>
    </row>
    <row r="44" spans="1:14" hidden="1">
      <c r="A44" s="139" t="str">
        <f t="shared" si="0"/>
        <v>PASILLO 5</v>
      </c>
      <c r="B44" s="92" t="s">
        <v>4274</v>
      </c>
      <c r="C44" s="11" t="str">
        <f>IFERROR(VLOOKUP(CANTIDAD[[#This Row],[Ubicación]],SAP[],3,FALSE),"")</f>
        <v/>
      </c>
      <c r="D44" s="29" t="str">
        <f>IFERROR(VLOOKUP(CANTIDAD[[#This Row],[Producto]],MARA[],3,FALSE),"")</f>
        <v/>
      </c>
      <c r="E44" s="11" t="str">
        <f>IFERROR(VLOOKUP(CANTIDAD[[#This Row],[Ubicación]],SAP[],4,FALSE),"")</f>
        <v/>
      </c>
      <c r="F44" s="11" t="str">
        <f>IFERROR(VLOOKUP(CANTIDAD[[#This Row],[Ubicación]],SAP[],8,FALSE),"")</f>
        <v/>
      </c>
      <c r="G44" s="11" t="str">
        <f>IFERROR(VLOOKUP(CANTIDAD[[#This Row],[Ubicación]],SAP[],9,FALSE),"")</f>
        <v/>
      </c>
      <c r="H44" s="11" t="str">
        <f>IFERROR(VLOOKUP(CANTIDAD[[#This Row],[Ubicación]],SAP[],5,FALSE),"")</f>
        <v/>
      </c>
      <c r="I44" s="42" t="str">
        <f>IFERROR(VLOOKUP(CANTIDAD[[#This Row],[Ubicación]],SAP[],6,FALSE),"")</f>
        <v/>
      </c>
      <c r="J44" s="11" t="str">
        <f>IFERROR(VLOOKUP(CANTIDAD[[#This Row],[Ubicación]],SAP[],7,FALSE),"")</f>
        <v/>
      </c>
      <c r="K44" s="11" t="str">
        <f>IFERROR(VLOOKUP(CANTIDAD[[#This Row],[Ubicación]],SAP[],10,FALSE),"")</f>
        <v/>
      </c>
      <c r="L44" s="48" t="str">
        <f>IFERROR(VLOOKUP(CANTIDAD[[#This Row],[Producto]],MARA[],5,FALSE),"")</f>
        <v/>
      </c>
      <c r="M44" s="48" t="str">
        <f>IFERROR(VLOOKUP(CANTIDAD[[#This Row],[Producto]],MARA[],4,FALSE),"")</f>
        <v/>
      </c>
      <c r="N44" s="136" t="s">
        <v>4275</v>
      </c>
    </row>
    <row r="45" spans="1:14" hidden="1">
      <c r="A45" s="139" t="str">
        <f t="shared" si="0"/>
        <v>PASILLO 5</v>
      </c>
      <c r="B45" s="93" t="s">
        <v>4276</v>
      </c>
      <c r="C45" s="11" t="str">
        <f>IFERROR(VLOOKUP(CANTIDAD[[#This Row],[Ubicación]],SAP[],3,FALSE),"")</f>
        <v/>
      </c>
      <c r="D45" s="30" t="str">
        <f>IFERROR(VLOOKUP(CANTIDAD[[#This Row],[Producto]],MARA[],3,FALSE),"")</f>
        <v/>
      </c>
      <c r="E45" s="13" t="str">
        <f>IFERROR(VLOOKUP(CANTIDAD[[#This Row],[Ubicación]],SAP[],4,FALSE),"")</f>
        <v/>
      </c>
      <c r="F45" s="13" t="str">
        <f>IFERROR(VLOOKUP(CANTIDAD[[#This Row],[Ubicación]],SAP[],8,FALSE),"")</f>
        <v/>
      </c>
      <c r="G45" s="13" t="str">
        <f>IFERROR(VLOOKUP(CANTIDAD[[#This Row],[Ubicación]],SAP[],9,FALSE),"")</f>
        <v/>
      </c>
      <c r="H45" s="13" t="str">
        <f>IFERROR(VLOOKUP(CANTIDAD[[#This Row],[Ubicación]],SAP[],5,FALSE),"")</f>
        <v/>
      </c>
      <c r="I45" s="43" t="str">
        <f>IFERROR(VLOOKUP(CANTIDAD[[#This Row],[Ubicación]],SAP[],6,FALSE),"")</f>
        <v/>
      </c>
      <c r="J45" s="13" t="str">
        <f>IFERROR(VLOOKUP(CANTIDAD[[#This Row],[Ubicación]],SAP[],7,FALSE),"")</f>
        <v/>
      </c>
      <c r="K45" s="14" t="str">
        <f>IFERROR(VLOOKUP(CANTIDAD[[#This Row],[Ubicación]],SAP[],10,FALSE),"")</f>
        <v/>
      </c>
      <c r="L45" s="48" t="str">
        <f>IFERROR(VLOOKUP(CANTIDAD[[#This Row],[Producto]],MARA[],5,FALSE),"")</f>
        <v/>
      </c>
      <c r="M45" s="48" t="str">
        <f>IFERROR(VLOOKUP(CANTIDAD[[#This Row],[Producto]],MARA[],4,FALSE),"")</f>
        <v/>
      </c>
      <c r="N45" s="136" t="s">
        <v>4277</v>
      </c>
    </row>
    <row r="46" spans="1:14" hidden="1">
      <c r="A46" s="139" t="str">
        <f t="shared" si="0"/>
        <v>PASILLO 5</v>
      </c>
      <c r="B46" s="92" t="s">
        <v>4278</v>
      </c>
      <c r="C46" s="11" t="str">
        <f>IFERROR(VLOOKUP(CANTIDAD[[#This Row],[Ubicación]],SAP[],3,FALSE),"")</f>
        <v/>
      </c>
      <c r="D46" s="29" t="str">
        <f>IFERROR(VLOOKUP(CANTIDAD[[#This Row],[Producto]],MARA[],3,FALSE),"")</f>
        <v/>
      </c>
      <c r="E46" s="11" t="str">
        <f>IFERROR(VLOOKUP(CANTIDAD[[#This Row],[Ubicación]],SAP[],4,FALSE),"")</f>
        <v/>
      </c>
      <c r="F46" s="11" t="str">
        <f>IFERROR(VLOOKUP(CANTIDAD[[#This Row],[Ubicación]],SAP[],8,FALSE),"")</f>
        <v/>
      </c>
      <c r="G46" s="11" t="str">
        <f>IFERROR(VLOOKUP(CANTIDAD[[#This Row],[Ubicación]],SAP[],9,FALSE),"")</f>
        <v/>
      </c>
      <c r="H46" s="11" t="str">
        <f>IFERROR(VLOOKUP(CANTIDAD[[#This Row],[Ubicación]],SAP[],5,FALSE),"")</f>
        <v/>
      </c>
      <c r="I46" s="42" t="str">
        <f>IFERROR(VLOOKUP(CANTIDAD[[#This Row],[Ubicación]],SAP[],6,FALSE),"")</f>
        <v/>
      </c>
      <c r="J46" s="11" t="str">
        <f>IFERROR(VLOOKUP(CANTIDAD[[#This Row],[Ubicación]],SAP[],7,FALSE),"")</f>
        <v/>
      </c>
      <c r="K46" s="11" t="str">
        <f>IFERROR(VLOOKUP(CANTIDAD[[#This Row],[Ubicación]],SAP[],10,FALSE),"")</f>
        <v/>
      </c>
      <c r="L46" s="48" t="str">
        <f>IFERROR(VLOOKUP(CANTIDAD[[#This Row],[Producto]],MARA[],5,FALSE),"")</f>
        <v/>
      </c>
      <c r="M46" s="48" t="str">
        <f>IFERROR(VLOOKUP(CANTIDAD[[#This Row],[Producto]],MARA[],4,FALSE),"")</f>
        <v/>
      </c>
      <c r="N46" s="136" t="s">
        <v>4279</v>
      </c>
    </row>
    <row r="47" spans="1:14" hidden="1">
      <c r="A47" s="139" t="str">
        <f t="shared" si="0"/>
        <v>PASILLO 5</v>
      </c>
      <c r="B47" s="93" t="s">
        <v>4280</v>
      </c>
      <c r="C47" s="11" t="str">
        <f>IFERROR(VLOOKUP(CANTIDAD[[#This Row],[Ubicación]],SAP[],3,FALSE),"")</f>
        <v/>
      </c>
      <c r="D47" s="30" t="str">
        <f>IFERROR(VLOOKUP(CANTIDAD[[#This Row],[Producto]],MARA[],3,FALSE),"")</f>
        <v/>
      </c>
      <c r="E47" s="13" t="str">
        <f>IFERROR(VLOOKUP(CANTIDAD[[#This Row],[Ubicación]],SAP[],4,FALSE),"")</f>
        <v/>
      </c>
      <c r="F47" s="13" t="str">
        <f>IFERROR(VLOOKUP(CANTIDAD[[#This Row],[Ubicación]],SAP[],8,FALSE),"")</f>
        <v/>
      </c>
      <c r="G47" s="13" t="str">
        <f>IFERROR(VLOOKUP(CANTIDAD[[#This Row],[Ubicación]],SAP[],9,FALSE),"")</f>
        <v/>
      </c>
      <c r="H47" s="13" t="str">
        <f>IFERROR(VLOOKUP(CANTIDAD[[#This Row],[Ubicación]],SAP[],5,FALSE),"")</f>
        <v/>
      </c>
      <c r="I47" s="43" t="str">
        <f>IFERROR(VLOOKUP(CANTIDAD[[#This Row],[Ubicación]],SAP[],6,FALSE),"")</f>
        <v/>
      </c>
      <c r="J47" s="13" t="str">
        <f>IFERROR(VLOOKUP(CANTIDAD[[#This Row],[Ubicación]],SAP[],7,FALSE),"")</f>
        <v/>
      </c>
      <c r="K47" s="14" t="str">
        <f>IFERROR(VLOOKUP(CANTIDAD[[#This Row],[Ubicación]],SAP[],10,FALSE),"")</f>
        <v/>
      </c>
      <c r="L47" s="48" t="str">
        <f>IFERROR(VLOOKUP(CANTIDAD[[#This Row],[Producto]],MARA[],5,FALSE),"")</f>
        <v/>
      </c>
      <c r="M47" s="48" t="str">
        <f>IFERROR(VLOOKUP(CANTIDAD[[#This Row],[Producto]],MARA[],4,FALSE),"")</f>
        <v/>
      </c>
      <c r="N47" s="136" t="s">
        <v>4281</v>
      </c>
    </row>
    <row r="48" spans="1:14" hidden="1">
      <c r="A48" s="139" t="str">
        <f t="shared" si="0"/>
        <v>PASILLO 5</v>
      </c>
      <c r="B48" s="92" t="s">
        <v>4282</v>
      </c>
      <c r="C48" s="11" t="str">
        <f>IFERROR(VLOOKUP(CANTIDAD[[#This Row],[Ubicación]],SAP[],3,FALSE),"")</f>
        <v/>
      </c>
      <c r="D48" s="29" t="str">
        <f>IFERROR(VLOOKUP(CANTIDAD[[#This Row],[Producto]],MARA[],3,FALSE),"")</f>
        <v/>
      </c>
      <c r="E48" s="11" t="str">
        <f>IFERROR(VLOOKUP(CANTIDAD[[#This Row],[Ubicación]],SAP[],4,FALSE),"")</f>
        <v/>
      </c>
      <c r="F48" s="11" t="str">
        <f>IFERROR(VLOOKUP(CANTIDAD[[#This Row],[Ubicación]],SAP[],8,FALSE),"")</f>
        <v/>
      </c>
      <c r="G48" s="11" t="str">
        <f>IFERROR(VLOOKUP(CANTIDAD[[#This Row],[Ubicación]],SAP[],9,FALSE),"")</f>
        <v/>
      </c>
      <c r="H48" s="11" t="str">
        <f>IFERROR(VLOOKUP(CANTIDAD[[#This Row],[Ubicación]],SAP[],5,FALSE),"")</f>
        <v/>
      </c>
      <c r="I48" s="42" t="str">
        <f>IFERROR(VLOOKUP(CANTIDAD[[#This Row],[Ubicación]],SAP[],6,FALSE),"")</f>
        <v/>
      </c>
      <c r="J48" s="11" t="str">
        <f>IFERROR(VLOOKUP(CANTIDAD[[#This Row],[Ubicación]],SAP[],7,FALSE),"")</f>
        <v/>
      </c>
      <c r="K48" s="11" t="str">
        <f>IFERROR(VLOOKUP(CANTIDAD[[#This Row],[Ubicación]],SAP[],10,FALSE),"")</f>
        <v/>
      </c>
      <c r="L48" s="48" t="str">
        <f>IFERROR(VLOOKUP(CANTIDAD[[#This Row],[Producto]],MARA[],5,FALSE),"")</f>
        <v/>
      </c>
      <c r="M48" s="48" t="str">
        <f>IFERROR(VLOOKUP(CANTIDAD[[#This Row],[Producto]],MARA[],4,FALSE),"")</f>
        <v/>
      </c>
      <c r="N48" s="136" t="s">
        <v>4283</v>
      </c>
    </row>
    <row r="49" spans="1:14" hidden="1">
      <c r="A49" s="139" t="str">
        <f t="shared" si="0"/>
        <v>PASILLO 5</v>
      </c>
      <c r="B49" s="93" t="s">
        <v>4284</v>
      </c>
      <c r="C49" s="11" t="str">
        <f>IFERROR(VLOOKUP(CANTIDAD[[#This Row],[Ubicación]],SAP[],3,FALSE),"")</f>
        <v/>
      </c>
      <c r="D49" s="30" t="str">
        <f>IFERROR(VLOOKUP(CANTIDAD[[#This Row],[Producto]],MARA[],3,FALSE),"")</f>
        <v/>
      </c>
      <c r="E49" s="13" t="str">
        <f>IFERROR(VLOOKUP(CANTIDAD[[#This Row],[Ubicación]],SAP[],4,FALSE),"")</f>
        <v/>
      </c>
      <c r="F49" s="13" t="str">
        <f>IFERROR(VLOOKUP(CANTIDAD[[#This Row],[Ubicación]],SAP[],8,FALSE),"")</f>
        <v/>
      </c>
      <c r="G49" s="13" t="str">
        <f>IFERROR(VLOOKUP(CANTIDAD[[#This Row],[Ubicación]],SAP[],9,FALSE),"")</f>
        <v/>
      </c>
      <c r="H49" s="13" t="str">
        <f>IFERROR(VLOOKUP(CANTIDAD[[#This Row],[Ubicación]],SAP[],5,FALSE),"")</f>
        <v/>
      </c>
      <c r="I49" s="43" t="str">
        <f>IFERROR(VLOOKUP(CANTIDAD[[#This Row],[Ubicación]],SAP[],6,FALSE),"")</f>
        <v/>
      </c>
      <c r="J49" s="13" t="str">
        <f>IFERROR(VLOOKUP(CANTIDAD[[#This Row],[Ubicación]],SAP[],7,FALSE),"")</f>
        <v/>
      </c>
      <c r="K49" s="14" t="str">
        <f>IFERROR(VLOOKUP(CANTIDAD[[#This Row],[Ubicación]],SAP[],10,FALSE),"")</f>
        <v/>
      </c>
      <c r="L49" s="48" t="str">
        <f>IFERROR(VLOOKUP(CANTIDAD[[#This Row],[Producto]],MARA[],5,FALSE),"")</f>
        <v/>
      </c>
      <c r="M49" s="48" t="str">
        <f>IFERROR(VLOOKUP(CANTIDAD[[#This Row],[Producto]],MARA[],4,FALSE),"")</f>
        <v/>
      </c>
      <c r="N49" s="136" t="s">
        <v>4285</v>
      </c>
    </row>
    <row r="50" spans="1:14" hidden="1">
      <c r="A50" s="139" t="str">
        <f t="shared" si="0"/>
        <v>PASILLO 5</v>
      </c>
      <c r="B50" s="92" t="s">
        <v>4286</v>
      </c>
      <c r="C50" s="11" t="str">
        <f>IFERROR(VLOOKUP(CANTIDAD[[#This Row],[Ubicación]],SAP[],3,FALSE),"")</f>
        <v/>
      </c>
      <c r="D50" s="29" t="str">
        <f>IFERROR(VLOOKUP(CANTIDAD[[#This Row],[Producto]],MARA[],3,FALSE),"")</f>
        <v/>
      </c>
      <c r="E50" s="11" t="str">
        <f>IFERROR(VLOOKUP(CANTIDAD[[#This Row],[Ubicación]],SAP[],4,FALSE),"")</f>
        <v/>
      </c>
      <c r="F50" s="11" t="str">
        <f>IFERROR(VLOOKUP(CANTIDAD[[#This Row],[Ubicación]],SAP[],8,FALSE),"")</f>
        <v/>
      </c>
      <c r="G50" s="11" t="str">
        <f>IFERROR(VLOOKUP(CANTIDAD[[#This Row],[Ubicación]],SAP[],9,FALSE),"")</f>
        <v/>
      </c>
      <c r="H50" s="11" t="str">
        <f>IFERROR(VLOOKUP(CANTIDAD[[#This Row],[Ubicación]],SAP[],5,FALSE),"")</f>
        <v/>
      </c>
      <c r="I50" s="42" t="str">
        <f>IFERROR(VLOOKUP(CANTIDAD[[#This Row],[Ubicación]],SAP[],6,FALSE),"")</f>
        <v/>
      </c>
      <c r="J50" s="11" t="str">
        <f>IFERROR(VLOOKUP(CANTIDAD[[#This Row],[Ubicación]],SAP[],7,FALSE),"")</f>
        <v/>
      </c>
      <c r="K50" s="11" t="str">
        <f>IFERROR(VLOOKUP(CANTIDAD[[#This Row],[Ubicación]],SAP[],10,FALSE),"")</f>
        <v/>
      </c>
      <c r="L50" s="48" t="str">
        <f>IFERROR(VLOOKUP(CANTIDAD[[#This Row],[Producto]],MARA[],5,FALSE),"")</f>
        <v/>
      </c>
      <c r="M50" s="48" t="str">
        <f>IFERROR(VLOOKUP(CANTIDAD[[#This Row],[Producto]],MARA[],4,FALSE),"")</f>
        <v/>
      </c>
      <c r="N50" s="136" t="s">
        <v>4287</v>
      </c>
    </row>
    <row r="51" spans="1:14" hidden="1">
      <c r="A51" s="139" t="str">
        <f t="shared" si="0"/>
        <v>PASILLO 5</v>
      </c>
      <c r="B51" s="93" t="s">
        <v>4288</v>
      </c>
      <c r="C51" s="11" t="str">
        <f>IFERROR(VLOOKUP(CANTIDAD[[#This Row],[Ubicación]],SAP[],3,FALSE),"")</f>
        <v/>
      </c>
      <c r="D51" s="30" t="str">
        <f>IFERROR(VLOOKUP(CANTIDAD[[#This Row],[Producto]],MARA[],3,FALSE),"")</f>
        <v/>
      </c>
      <c r="E51" s="13" t="str">
        <f>IFERROR(VLOOKUP(CANTIDAD[[#This Row],[Ubicación]],SAP[],4,FALSE),"")</f>
        <v/>
      </c>
      <c r="F51" s="13" t="str">
        <f>IFERROR(VLOOKUP(CANTIDAD[[#This Row],[Ubicación]],SAP[],8,FALSE),"")</f>
        <v/>
      </c>
      <c r="G51" s="13" t="str">
        <f>IFERROR(VLOOKUP(CANTIDAD[[#This Row],[Ubicación]],SAP[],9,FALSE),"")</f>
        <v/>
      </c>
      <c r="H51" s="13" t="str">
        <f>IFERROR(VLOOKUP(CANTIDAD[[#This Row],[Ubicación]],SAP[],5,FALSE),"")</f>
        <v/>
      </c>
      <c r="I51" s="43" t="str">
        <f>IFERROR(VLOOKUP(CANTIDAD[[#This Row],[Ubicación]],SAP[],6,FALSE),"")</f>
        <v/>
      </c>
      <c r="J51" s="13" t="str">
        <f>IFERROR(VLOOKUP(CANTIDAD[[#This Row],[Ubicación]],SAP[],7,FALSE),"")</f>
        <v/>
      </c>
      <c r="K51" s="14" t="str">
        <f>IFERROR(VLOOKUP(CANTIDAD[[#This Row],[Ubicación]],SAP[],10,FALSE),"")</f>
        <v/>
      </c>
      <c r="L51" s="48" t="str">
        <f>IFERROR(VLOOKUP(CANTIDAD[[#This Row],[Producto]],MARA[],5,FALSE),"")</f>
        <v/>
      </c>
      <c r="M51" s="48" t="str">
        <f>IFERROR(VLOOKUP(CANTIDAD[[#This Row],[Producto]],MARA[],4,FALSE),"")</f>
        <v/>
      </c>
      <c r="N51" s="136" t="s">
        <v>4289</v>
      </c>
    </row>
    <row r="52" spans="1:14" hidden="1">
      <c r="A52" s="139" t="str">
        <f t="shared" si="0"/>
        <v>PASILLO 5</v>
      </c>
      <c r="B52" s="92" t="s">
        <v>4290</v>
      </c>
      <c r="C52" s="11" t="str">
        <f>IFERROR(VLOOKUP(CANTIDAD[[#This Row],[Ubicación]],SAP[],3,FALSE),"")</f>
        <v/>
      </c>
      <c r="D52" s="29" t="str">
        <f>IFERROR(VLOOKUP(CANTIDAD[[#This Row],[Producto]],MARA[],3,FALSE),"")</f>
        <v/>
      </c>
      <c r="E52" s="11" t="str">
        <f>IFERROR(VLOOKUP(CANTIDAD[[#This Row],[Ubicación]],SAP[],4,FALSE),"")</f>
        <v/>
      </c>
      <c r="F52" s="11" t="str">
        <f>IFERROR(VLOOKUP(CANTIDAD[[#This Row],[Ubicación]],SAP[],8,FALSE),"")</f>
        <v/>
      </c>
      <c r="G52" s="11" t="str">
        <f>IFERROR(VLOOKUP(CANTIDAD[[#This Row],[Ubicación]],SAP[],9,FALSE),"")</f>
        <v/>
      </c>
      <c r="H52" s="11" t="str">
        <f>IFERROR(VLOOKUP(CANTIDAD[[#This Row],[Ubicación]],SAP[],5,FALSE),"")</f>
        <v/>
      </c>
      <c r="I52" s="42" t="str">
        <f>IFERROR(VLOOKUP(CANTIDAD[[#This Row],[Ubicación]],SAP[],6,FALSE),"")</f>
        <v/>
      </c>
      <c r="J52" s="11" t="str">
        <f>IFERROR(VLOOKUP(CANTIDAD[[#This Row],[Ubicación]],SAP[],7,FALSE),"")</f>
        <v/>
      </c>
      <c r="K52" s="11" t="str">
        <f>IFERROR(VLOOKUP(CANTIDAD[[#This Row],[Ubicación]],SAP[],10,FALSE),"")</f>
        <v/>
      </c>
      <c r="L52" s="48" t="str">
        <f>IFERROR(VLOOKUP(CANTIDAD[[#This Row],[Producto]],MARA[],5,FALSE),"")</f>
        <v/>
      </c>
      <c r="M52" s="48" t="str">
        <f>IFERROR(VLOOKUP(CANTIDAD[[#This Row],[Producto]],MARA[],4,FALSE),"")</f>
        <v/>
      </c>
      <c r="N52" s="136" t="s">
        <v>4291</v>
      </c>
    </row>
    <row r="53" spans="1:14" hidden="1">
      <c r="A53" s="139" t="str">
        <f t="shared" si="0"/>
        <v>PASILLO 5</v>
      </c>
      <c r="B53" s="93" t="s">
        <v>4292</v>
      </c>
      <c r="C53" s="11" t="str">
        <f>IFERROR(VLOOKUP(CANTIDAD[[#This Row],[Ubicación]],SAP[],3,FALSE),"")</f>
        <v/>
      </c>
      <c r="D53" s="30" t="str">
        <f>IFERROR(VLOOKUP(CANTIDAD[[#This Row],[Producto]],MARA[],3,FALSE),"")</f>
        <v/>
      </c>
      <c r="E53" s="13" t="str">
        <f>IFERROR(VLOOKUP(CANTIDAD[[#This Row],[Ubicación]],SAP[],4,FALSE),"")</f>
        <v/>
      </c>
      <c r="F53" s="13" t="str">
        <f>IFERROR(VLOOKUP(CANTIDAD[[#This Row],[Ubicación]],SAP[],8,FALSE),"")</f>
        <v/>
      </c>
      <c r="G53" s="13" t="str">
        <f>IFERROR(VLOOKUP(CANTIDAD[[#This Row],[Ubicación]],SAP[],9,FALSE),"")</f>
        <v/>
      </c>
      <c r="H53" s="13" t="str">
        <f>IFERROR(VLOOKUP(CANTIDAD[[#This Row],[Ubicación]],SAP[],5,FALSE),"")</f>
        <v/>
      </c>
      <c r="I53" s="43" t="str">
        <f>IFERROR(VLOOKUP(CANTIDAD[[#This Row],[Ubicación]],SAP[],6,FALSE),"")</f>
        <v/>
      </c>
      <c r="J53" s="13" t="str">
        <f>IFERROR(VLOOKUP(CANTIDAD[[#This Row],[Ubicación]],SAP[],7,FALSE),"")</f>
        <v/>
      </c>
      <c r="K53" s="14" t="str">
        <f>IFERROR(VLOOKUP(CANTIDAD[[#This Row],[Ubicación]],SAP[],10,FALSE),"")</f>
        <v/>
      </c>
      <c r="L53" s="48" t="str">
        <f>IFERROR(VLOOKUP(CANTIDAD[[#This Row],[Producto]],MARA[],5,FALSE),"")</f>
        <v/>
      </c>
      <c r="M53" s="48" t="str">
        <f>IFERROR(VLOOKUP(CANTIDAD[[#This Row],[Producto]],MARA[],4,FALSE),"")</f>
        <v/>
      </c>
      <c r="N53" s="136" t="s">
        <v>4293</v>
      </c>
    </row>
    <row r="54" spans="1:14" hidden="1">
      <c r="A54" s="139" t="str">
        <f t="shared" si="0"/>
        <v>PASILLO 5</v>
      </c>
      <c r="B54" s="92" t="s">
        <v>4294</v>
      </c>
      <c r="C54" s="11" t="str">
        <f>IFERROR(VLOOKUP(CANTIDAD[[#This Row],[Ubicación]],SAP[],3,FALSE),"")</f>
        <v/>
      </c>
      <c r="D54" s="29" t="str">
        <f>IFERROR(VLOOKUP(CANTIDAD[[#This Row],[Producto]],MARA[],3,FALSE),"")</f>
        <v/>
      </c>
      <c r="E54" s="11" t="str">
        <f>IFERROR(VLOOKUP(CANTIDAD[[#This Row],[Ubicación]],SAP[],4,FALSE),"")</f>
        <v/>
      </c>
      <c r="F54" s="11" t="str">
        <f>IFERROR(VLOOKUP(CANTIDAD[[#This Row],[Ubicación]],SAP[],8,FALSE),"")</f>
        <v/>
      </c>
      <c r="G54" s="11" t="str">
        <f>IFERROR(VLOOKUP(CANTIDAD[[#This Row],[Ubicación]],SAP[],9,FALSE),"")</f>
        <v/>
      </c>
      <c r="H54" s="11" t="str">
        <f>IFERROR(VLOOKUP(CANTIDAD[[#This Row],[Ubicación]],SAP[],5,FALSE),"")</f>
        <v/>
      </c>
      <c r="I54" s="42" t="str">
        <f>IFERROR(VLOOKUP(CANTIDAD[[#This Row],[Ubicación]],SAP[],6,FALSE),"")</f>
        <v/>
      </c>
      <c r="J54" s="11" t="str">
        <f>IFERROR(VLOOKUP(CANTIDAD[[#This Row],[Ubicación]],SAP[],7,FALSE),"")</f>
        <v/>
      </c>
      <c r="K54" s="11" t="str">
        <f>IFERROR(VLOOKUP(CANTIDAD[[#This Row],[Ubicación]],SAP[],10,FALSE),"")</f>
        <v/>
      </c>
      <c r="L54" s="48" t="str">
        <f>IFERROR(VLOOKUP(CANTIDAD[[#This Row],[Producto]],MARA[],5,FALSE),"")</f>
        <v/>
      </c>
      <c r="M54" s="48" t="str">
        <f>IFERROR(VLOOKUP(CANTIDAD[[#This Row],[Producto]],MARA[],4,FALSE),"")</f>
        <v/>
      </c>
      <c r="N54" s="136" t="s">
        <v>4295</v>
      </c>
    </row>
    <row r="55" spans="1:14" hidden="1">
      <c r="A55" s="139" t="str">
        <f t="shared" si="0"/>
        <v>PASILLO 5</v>
      </c>
      <c r="B55" s="93" t="s">
        <v>4296</v>
      </c>
      <c r="C55" s="11" t="str">
        <f>IFERROR(VLOOKUP(CANTIDAD[[#This Row],[Ubicación]],SAP[],3,FALSE),"")</f>
        <v/>
      </c>
      <c r="D55" s="30" t="str">
        <f>IFERROR(VLOOKUP(CANTIDAD[[#This Row],[Producto]],MARA[],3,FALSE),"")</f>
        <v/>
      </c>
      <c r="E55" s="13" t="str">
        <f>IFERROR(VLOOKUP(CANTIDAD[[#This Row],[Ubicación]],SAP[],4,FALSE),"")</f>
        <v/>
      </c>
      <c r="F55" s="13" t="str">
        <f>IFERROR(VLOOKUP(CANTIDAD[[#This Row],[Ubicación]],SAP[],8,FALSE),"")</f>
        <v/>
      </c>
      <c r="G55" s="13" t="str">
        <f>IFERROR(VLOOKUP(CANTIDAD[[#This Row],[Ubicación]],SAP[],9,FALSE),"")</f>
        <v/>
      </c>
      <c r="H55" s="13" t="str">
        <f>IFERROR(VLOOKUP(CANTIDAD[[#This Row],[Ubicación]],SAP[],5,FALSE),"")</f>
        <v/>
      </c>
      <c r="I55" s="43" t="str">
        <f>IFERROR(VLOOKUP(CANTIDAD[[#This Row],[Ubicación]],SAP[],6,FALSE),"")</f>
        <v/>
      </c>
      <c r="J55" s="13" t="str">
        <f>IFERROR(VLOOKUP(CANTIDAD[[#This Row],[Ubicación]],SAP[],7,FALSE),"")</f>
        <v/>
      </c>
      <c r="K55" s="14" t="str">
        <f>IFERROR(VLOOKUP(CANTIDAD[[#This Row],[Ubicación]],SAP[],10,FALSE),"")</f>
        <v/>
      </c>
      <c r="L55" s="48" t="str">
        <f>IFERROR(VLOOKUP(CANTIDAD[[#This Row],[Producto]],MARA[],5,FALSE),"")</f>
        <v/>
      </c>
      <c r="M55" s="48" t="str">
        <f>IFERROR(VLOOKUP(CANTIDAD[[#This Row],[Producto]],MARA[],4,FALSE),"")</f>
        <v/>
      </c>
      <c r="N55" s="136" t="s">
        <v>4297</v>
      </c>
    </row>
    <row r="56" spans="1:14" hidden="1">
      <c r="A56" s="139" t="str">
        <f t="shared" si="0"/>
        <v>PASILLO 5</v>
      </c>
      <c r="B56" s="92" t="s">
        <v>4298</v>
      </c>
      <c r="C56" s="11" t="str">
        <f>IFERROR(VLOOKUP(CANTIDAD[[#This Row],[Ubicación]],SAP[],3,FALSE),"")</f>
        <v/>
      </c>
      <c r="D56" s="29" t="str">
        <f>IFERROR(VLOOKUP(CANTIDAD[[#This Row],[Producto]],MARA[],3,FALSE),"")</f>
        <v/>
      </c>
      <c r="E56" s="11" t="str">
        <f>IFERROR(VLOOKUP(CANTIDAD[[#This Row],[Ubicación]],SAP[],4,FALSE),"")</f>
        <v/>
      </c>
      <c r="F56" s="11" t="str">
        <f>IFERROR(VLOOKUP(CANTIDAD[[#This Row],[Ubicación]],SAP[],8,FALSE),"")</f>
        <v/>
      </c>
      <c r="G56" s="11" t="str">
        <f>IFERROR(VLOOKUP(CANTIDAD[[#This Row],[Ubicación]],SAP[],9,FALSE),"")</f>
        <v/>
      </c>
      <c r="H56" s="11" t="str">
        <f>IFERROR(VLOOKUP(CANTIDAD[[#This Row],[Ubicación]],SAP[],5,FALSE),"")</f>
        <v/>
      </c>
      <c r="I56" s="42" t="str">
        <f>IFERROR(VLOOKUP(CANTIDAD[[#This Row],[Ubicación]],SAP[],6,FALSE),"")</f>
        <v/>
      </c>
      <c r="J56" s="11" t="str">
        <f>IFERROR(VLOOKUP(CANTIDAD[[#This Row],[Ubicación]],SAP[],7,FALSE),"")</f>
        <v/>
      </c>
      <c r="K56" s="11" t="str">
        <f>IFERROR(VLOOKUP(CANTIDAD[[#This Row],[Ubicación]],SAP[],10,FALSE),"")</f>
        <v/>
      </c>
      <c r="L56" s="48" t="str">
        <f>IFERROR(VLOOKUP(CANTIDAD[[#This Row],[Producto]],MARA[],5,FALSE),"")</f>
        <v/>
      </c>
      <c r="M56" s="48" t="str">
        <f>IFERROR(VLOOKUP(CANTIDAD[[#This Row],[Producto]],MARA[],4,FALSE),"")</f>
        <v/>
      </c>
      <c r="N56" s="136" t="s">
        <v>4299</v>
      </c>
    </row>
    <row r="57" spans="1:14" hidden="1">
      <c r="A57" s="139" t="str">
        <f t="shared" si="0"/>
        <v>PASILLO 5</v>
      </c>
      <c r="B57" s="93" t="s">
        <v>4300</v>
      </c>
      <c r="C57" s="11" t="str">
        <f>IFERROR(VLOOKUP(CANTIDAD[[#This Row],[Ubicación]],SAP[],3,FALSE),"")</f>
        <v/>
      </c>
      <c r="D57" s="30" t="str">
        <f>IFERROR(VLOOKUP(CANTIDAD[[#This Row],[Producto]],MARA[],3,FALSE),"")</f>
        <v/>
      </c>
      <c r="E57" s="13" t="str">
        <f>IFERROR(VLOOKUP(CANTIDAD[[#This Row],[Ubicación]],SAP[],4,FALSE),"")</f>
        <v/>
      </c>
      <c r="F57" s="13" t="str">
        <f>IFERROR(VLOOKUP(CANTIDAD[[#This Row],[Ubicación]],SAP[],8,FALSE),"")</f>
        <v/>
      </c>
      <c r="G57" s="13" t="str">
        <f>IFERROR(VLOOKUP(CANTIDAD[[#This Row],[Ubicación]],SAP[],9,FALSE),"")</f>
        <v/>
      </c>
      <c r="H57" s="13" t="str">
        <f>IFERROR(VLOOKUP(CANTIDAD[[#This Row],[Ubicación]],SAP[],5,FALSE),"")</f>
        <v/>
      </c>
      <c r="I57" s="43" t="str">
        <f>IFERROR(VLOOKUP(CANTIDAD[[#This Row],[Ubicación]],SAP[],6,FALSE),"")</f>
        <v/>
      </c>
      <c r="J57" s="13" t="str">
        <f>IFERROR(VLOOKUP(CANTIDAD[[#This Row],[Ubicación]],SAP[],7,FALSE),"")</f>
        <v/>
      </c>
      <c r="K57" s="14" t="str">
        <f>IFERROR(VLOOKUP(CANTIDAD[[#This Row],[Ubicación]],SAP[],10,FALSE),"")</f>
        <v/>
      </c>
      <c r="L57" s="48" t="str">
        <f>IFERROR(VLOOKUP(CANTIDAD[[#This Row],[Producto]],MARA[],5,FALSE),"")</f>
        <v/>
      </c>
      <c r="M57" s="48" t="str">
        <f>IFERROR(VLOOKUP(CANTIDAD[[#This Row],[Producto]],MARA[],4,FALSE),"")</f>
        <v/>
      </c>
      <c r="N57" s="136" t="s">
        <v>4301</v>
      </c>
    </row>
    <row r="58" spans="1:14" hidden="1">
      <c r="A58" s="139" t="str">
        <f t="shared" si="0"/>
        <v>PASILLO 5</v>
      </c>
      <c r="B58" s="92" t="s">
        <v>4302</v>
      </c>
      <c r="C58" s="11" t="str">
        <f>IFERROR(VLOOKUP(CANTIDAD[[#This Row],[Ubicación]],SAP[],3,FALSE),"")</f>
        <v/>
      </c>
      <c r="D58" s="29" t="str">
        <f>IFERROR(VLOOKUP(CANTIDAD[[#This Row],[Producto]],MARA[],3,FALSE),"")</f>
        <v/>
      </c>
      <c r="E58" s="11" t="str">
        <f>IFERROR(VLOOKUP(CANTIDAD[[#This Row],[Ubicación]],SAP[],4,FALSE),"")</f>
        <v/>
      </c>
      <c r="F58" s="11" t="str">
        <f>IFERROR(VLOOKUP(CANTIDAD[[#This Row],[Ubicación]],SAP[],8,FALSE),"")</f>
        <v/>
      </c>
      <c r="G58" s="11" t="str">
        <f>IFERROR(VLOOKUP(CANTIDAD[[#This Row],[Ubicación]],SAP[],9,FALSE),"")</f>
        <v/>
      </c>
      <c r="H58" s="11" t="str">
        <f>IFERROR(VLOOKUP(CANTIDAD[[#This Row],[Ubicación]],SAP[],5,FALSE),"")</f>
        <v/>
      </c>
      <c r="I58" s="42" t="str">
        <f>IFERROR(VLOOKUP(CANTIDAD[[#This Row],[Ubicación]],SAP[],6,FALSE),"")</f>
        <v/>
      </c>
      <c r="J58" s="11" t="str">
        <f>IFERROR(VLOOKUP(CANTIDAD[[#This Row],[Ubicación]],SAP[],7,FALSE),"")</f>
        <v/>
      </c>
      <c r="K58" s="11" t="str">
        <f>IFERROR(VLOOKUP(CANTIDAD[[#This Row],[Ubicación]],SAP[],10,FALSE),"")</f>
        <v/>
      </c>
      <c r="L58" s="48" t="str">
        <f>IFERROR(VLOOKUP(CANTIDAD[[#This Row],[Producto]],MARA[],5,FALSE),"")</f>
        <v/>
      </c>
      <c r="M58" s="48" t="str">
        <f>IFERROR(VLOOKUP(CANTIDAD[[#This Row],[Producto]],MARA[],4,FALSE),"")</f>
        <v/>
      </c>
      <c r="N58" s="136" t="s">
        <v>4303</v>
      </c>
    </row>
    <row r="59" spans="1:14" hidden="1">
      <c r="A59" s="139" t="str">
        <f t="shared" si="0"/>
        <v>PASILLO 5</v>
      </c>
      <c r="B59" s="93" t="s">
        <v>4304</v>
      </c>
      <c r="C59" s="11" t="str">
        <f>IFERROR(VLOOKUP(CANTIDAD[[#This Row],[Ubicación]],SAP[],3,FALSE),"")</f>
        <v/>
      </c>
      <c r="D59" s="30" t="str">
        <f>IFERROR(VLOOKUP(CANTIDAD[[#This Row],[Producto]],MARA[],3,FALSE),"")</f>
        <v/>
      </c>
      <c r="E59" s="13" t="str">
        <f>IFERROR(VLOOKUP(CANTIDAD[[#This Row],[Ubicación]],SAP[],4,FALSE),"")</f>
        <v/>
      </c>
      <c r="F59" s="13" t="str">
        <f>IFERROR(VLOOKUP(CANTIDAD[[#This Row],[Ubicación]],SAP[],8,FALSE),"")</f>
        <v/>
      </c>
      <c r="G59" s="13" t="str">
        <f>IFERROR(VLOOKUP(CANTIDAD[[#This Row],[Ubicación]],SAP[],9,FALSE),"")</f>
        <v/>
      </c>
      <c r="H59" s="13" t="str">
        <f>IFERROR(VLOOKUP(CANTIDAD[[#This Row],[Ubicación]],SAP[],5,FALSE),"")</f>
        <v/>
      </c>
      <c r="I59" s="43" t="str">
        <f>IFERROR(VLOOKUP(CANTIDAD[[#This Row],[Ubicación]],SAP[],6,FALSE),"")</f>
        <v/>
      </c>
      <c r="J59" s="13" t="str">
        <f>IFERROR(VLOOKUP(CANTIDAD[[#This Row],[Ubicación]],SAP[],7,FALSE),"")</f>
        <v/>
      </c>
      <c r="K59" s="14" t="str">
        <f>IFERROR(VLOOKUP(CANTIDAD[[#This Row],[Ubicación]],SAP[],10,FALSE),"")</f>
        <v/>
      </c>
      <c r="L59" s="48" t="str">
        <f>IFERROR(VLOOKUP(CANTIDAD[[#This Row],[Producto]],MARA[],5,FALSE),"")</f>
        <v/>
      </c>
      <c r="M59" s="48" t="str">
        <f>IFERROR(VLOOKUP(CANTIDAD[[#This Row],[Producto]],MARA[],4,FALSE),"")</f>
        <v/>
      </c>
      <c r="N59" s="136" t="s">
        <v>4305</v>
      </c>
    </row>
    <row r="60" spans="1:14" hidden="1">
      <c r="A60" s="139" t="str">
        <f t="shared" si="0"/>
        <v>PASILLO 5</v>
      </c>
      <c r="B60" s="92" t="s">
        <v>4306</v>
      </c>
      <c r="C60" s="11" t="str">
        <f>IFERROR(VLOOKUP(CANTIDAD[[#This Row],[Ubicación]],SAP[],3,FALSE),"")</f>
        <v/>
      </c>
      <c r="D60" s="29" t="str">
        <f>IFERROR(VLOOKUP(CANTIDAD[[#This Row],[Producto]],MARA[],3,FALSE),"")</f>
        <v/>
      </c>
      <c r="E60" s="11" t="str">
        <f>IFERROR(VLOOKUP(CANTIDAD[[#This Row],[Ubicación]],SAP[],4,FALSE),"")</f>
        <v/>
      </c>
      <c r="F60" s="11" t="str">
        <f>IFERROR(VLOOKUP(CANTIDAD[[#This Row],[Ubicación]],SAP[],8,FALSE),"")</f>
        <v/>
      </c>
      <c r="G60" s="11" t="str">
        <f>IFERROR(VLOOKUP(CANTIDAD[[#This Row],[Ubicación]],SAP[],9,FALSE),"")</f>
        <v/>
      </c>
      <c r="H60" s="11" t="str">
        <f>IFERROR(VLOOKUP(CANTIDAD[[#This Row],[Ubicación]],SAP[],5,FALSE),"")</f>
        <v/>
      </c>
      <c r="I60" s="42" t="str">
        <f>IFERROR(VLOOKUP(CANTIDAD[[#This Row],[Ubicación]],SAP[],6,FALSE),"")</f>
        <v/>
      </c>
      <c r="J60" s="11" t="str">
        <f>IFERROR(VLOOKUP(CANTIDAD[[#This Row],[Ubicación]],SAP[],7,FALSE),"")</f>
        <v/>
      </c>
      <c r="K60" s="11" t="str">
        <f>IFERROR(VLOOKUP(CANTIDAD[[#This Row],[Ubicación]],SAP[],10,FALSE),"")</f>
        <v/>
      </c>
      <c r="L60" s="48" t="str">
        <f>IFERROR(VLOOKUP(CANTIDAD[[#This Row],[Producto]],MARA[],5,FALSE),"")</f>
        <v/>
      </c>
      <c r="M60" s="48" t="str">
        <f>IFERROR(VLOOKUP(CANTIDAD[[#This Row],[Producto]],MARA[],4,FALSE),"")</f>
        <v/>
      </c>
      <c r="N60" s="136" t="s">
        <v>4307</v>
      </c>
    </row>
    <row r="61" spans="1:14" hidden="1">
      <c r="A61" s="139" t="str">
        <f t="shared" si="0"/>
        <v>PASILLO 5</v>
      </c>
      <c r="B61" s="93" t="s">
        <v>4308</v>
      </c>
      <c r="C61" s="11" t="str">
        <f>IFERROR(VLOOKUP(CANTIDAD[[#This Row],[Ubicación]],SAP[],3,FALSE),"")</f>
        <v/>
      </c>
      <c r="D61" s="30" t="str">
        <f>IFERROR(VLOOKUP(CANTIDAD[[#This Row],[Producto]],MARA[],3,FALSE),"")</f>
        <v/>
      </c>
      <c r="E61" s="13" t="str">
        <f>IFERROR(VLOOKUP(CANTIDAD[[#This Row],[Ubicación]],SAP[],4,FALSE),"")</f>
        <v/>
      </c>
      <c r="F61" s="13" t="str">
        <f>IFERROR(VLOOKUP(CANTIDAD[[#This Row],[Ubicación]],SAP[],8,FALSE),"")</f>
        <v/>
      </c>
      <c r="G61" s="13" t="str">
        <f>IFERROR(VLOOKUP(CANTIDAD[[#This Row],[Ubicación]],SAP[],9,FALSE),"")</f>
        <v/>
      </c>
      <c r="H61" s="13" t="str">
        <f>IFERROR(VLOOKUP(CANTIDAD[[#This Row],[Ubicación]],SAP[],5,FALSE),"")</f>
        <v/>
      </c>
      <c r="I61" s="43" t="str">
        <f>IFERROR(VLOOKUP(CANTIDAD[[#This Row],[Ubicación]],SAP[],6,FALSE),"")</f>
        <v/>
      </c>
      <c r="J61" s="13" t="str">
        <f>IFERROR(VLOOKUP(CANTIDAD[[#This Row],[Ubicación]],SAP[],7,FALSE),"")</f>
        <v/>
      </c>
      <c r="K61" s="14" t="str">
        <f>IFERROR(VLOOKUP(CANTIDAD[[#This Row],[Ubicación]],SAP[],10,FALSE),"")</f>
        <v/>
      </c>
      <c r="L61" s="48" t="str">
        <f>IFERROR(VLOOKUP(CANTIDAD[[#This Row],[Producto]],MARA[],5,FALSE),"")</f>
        <v/>
      </c>
      <c r="M61" s="48" t="str">
        <f>IFERROR(VLOOKUP(CANTIDAD[[#This Row],[Producto]],MARA[],4,FALSE),"")</f>
        <v/>
      </c>
      <c r="N61" s="136" t="s">
        <v>4309</v>
      </c>
    </row>
    <row r="62" spans="1:14" hidden="1">
      <c r="A62" s="139" t="str">
        <f t="shared" si="0"/>
        <v>PASILLO 5</v>
      </c>
      <c r="B62" s="92" t="s">
        <v>4310</v>
      </c>
      <c r="C62" s="11" t="str">
        <f>IFERROR(VLOOKUP(CANTIDAD[[#This Row],[Ubicación]],SAP[],3,FALSE),"")</f>
        <v/>
      </c>
      <c r="D62" s="29" t="str">
        <f>IFERROR(VLOOKUP(CANTIDAD[[#This Row],[Producto]],MARA[],3,FALSE),"")</f>
        <v/>
      </c>
      <c r="E62" s="11" t="str">
        <f>IFERROR(VLOOKUP(CANTIDAD[[#This Row],[Ubicación]],SAP[],4,FALSE),"")</f>
        <v/>
      </c>
      <c r="F62" s="11" t="str">
        <f>IFERROR(VLOOKUP(CANTIDAD[[#This Row],[Ubicación]],SAP[],8,FALSE),"")</f>
        <v/>
      </c>
      <c r="G62" s="11" t="str">
        <f>IFERROR(VLOOKUP(CANTIDAD[[#This Row],[Ubicación]],SAP[],9,FALSE),"")</f>
        <v/>
      </c>
      <c r="H62" s="11" t="str">
        <f>IFERROR(VLOOKUP(CANTIDAD[[#This Row],[Ubicación]],SAP[],5,FALSE),"")</f>
        <v/>
      </c>
      <c r="I62" s="42" t="str">
        <f>IFERROR(VLOOKUP(CANTIDAD[[#This Row],[Ubicación]],SAP[],6,FALSE),"")</f>
        <v/>
      </c>
      <c r="J62" s="11" t="str">
        <f>IFERROR(VLOOKUP(CANTIDAD[[#This Row],[Ubicación]],SAP[],7,FALSE),"")</f>
        <v/>
      </c>
      <c r="K62" s="11" t="str">
        <f>IFERROR(VLOOKUP(CANTIDAD[[#This Row],[Ubicación]],SAP[],10,FALSE),"")</f>
        <v/>
      </c>
      <c r="L62" s="48" t="str">
        <f>IFERROR(VLOOKUP(CANTIDAD[[#This Row],[Producto]],MARA[],5,FALSE),"")</f>
        <v/>
      </c>
      <c r="M62" s="48" t="str">
        <f>IFERROR(VLOOKUP(CANTIDAD[[#This Row],[Producto]],MARA[],4,FALSE),"")</f>
        <v/>
      </c>
      <c r="N62" s="136" t="s">
        <v>4311</v>
      </c>
    </row>
    <row r="63" spans="1:14" hidden="1">
      <c r="A63" s="139" t="str">
        <f t="shared" si="0"/>
        <v>PASILLO 5</v>
      </c>
      <c r="B63" s="93" t="s">
        <v>4312</v>
      </c>
      <c r="C63" s="11" t="str">
        <f>IFERROR(VLOOKUP(CANTIDAD[[#This Row],[Ubicación]],SAP[],3,FALSE),"")</f>
        <v/>
      </c>
      <c r="D63" s="30" t="str">
        <f>IFERROR(VLOOKUP(CANTIDAD[[#This Row],[Producto]],MARA[],3,FALSE),"")</f>
        <v/>
      </c>
      <c r="E63" s="13" t="str">
        <f>IFERROR(VLOOKUP(CANTIDAD[[#This Row],[Ubicación]],SAP[],4,FALSE),"")</f>
        <v/>
      </c>
      <c r="F63" s="13" t="str">
        <f>IFERROR(VLOOKUP(CANTIDAD[[#This Row],[Ubicación]],SAP[],8,FALSE),"")</f>
        <v/>
      </c>
      <c r="G63" s="13" t="str">
        <f>IFERROR(VLOOKUP(CANTIDAD[[#This Row],[Ubicación]],SAP[],9,FALSE),"")</f>
        <v/>
      </c>
      <c r="H63" s="13" t="str">
        <f>IFERROR(VLOOKUP(CANTIDAD[[#This Row],[Ubicación]],SAP[],5,FALSE),"")</f>
        <v/>
      </c>
      <c r="I63" s="43" t="str">
        <f>IFERROR(VLOOKUP(CANTIDAD[[#This Row],[Ubicación]],SAP[],6,FALSE),"")</f>
        <v/>
      </c>
      <c r="J63" s="13" t="str">
        <f>IFERROR(VLOOKUP(CANTIDAD[[#This Row],[Ubicación]],SAP[],7,FALSE),"")</f>
        <v/>
      </c>
      <c r="K63" s="14" t="str">
        <f>IFERROR(VLOOKUP(CANTIDAD[[#This Row],[Ubicación]],SAP[],10,FALSE),"")</f>
        <v/>
      </c>
      <c r="L63" s="48" t="str">
        <f>IFERROR(VLOOKUP(CANTIDAD[[#This Row],[Producto]],MARA[],5,FALSE),"")</f>
        <v/>
      </c>
      <c r="M63" s="48" t="str">
        <f>IFERROR(VLOOKUP(CANTIDAD[[#This Row],[Producto]],MARA[],4,FALSE),"")</f>
        <v/>
      </c>
      <c r="N63" s="136" t="s">
        <v>4313</v>
      </c>
    </row>
    <row r="64" spans="1:14" hidden="1">
      <c r="A64" s="139" t="str">
        <f t="shared" si="0"/>
        <v>PASILLO 5</v>
      </c>
      <c r="B64" s="92" t="s">
        <v>4314</v>
      </c>
      <c r="C64" s="11" t="str">
        <f>IFERROR(VLOOKUP(CANTIDAD[[#This Row],[Ubicación]],SAP[],3,FALSE),"")</f>
        <v/>
      </c>
      <c r="D64" s="29" t="str">
        <f>IFERROR(VLOOKUP(CANTIDAD[[#This Row],[Producto]],MARA[],3,FALSE),"")</f>
        <v/>
      </c>
      <c r="E64" s="11" t="str">
        <f>IFERROR(VLOOKUP(CANTIDAD[[#This Row],[Ubicación]],SAP[],4,FALSE),"")</f>
        <v/>
      </c>
      <c r="F64" s="11" t="str">
        <f>IFERROR(VLOOKUP(CANTIDAD[[#This Row],[Ubicación]],SAP[],8,FALSE),"")</f>
        <v/>
      </c>
      <c r="G64" s="11" t="str">
        <f>IFERROR(VLOOKUP(CANTIDAD[[#This Row],[Ubicación]],SAP[],9,FALSE),"")</f>
        <v/>
      </c>
      <c r="H64" s="11" t="str">
        <f>IFERROR(VLOOKUP(CANTIDAD[[#This Row],[Ubicación]],SAP[],5,FALSE),"")</f>
        <v/>
      </c>
      <c r="I64" s="42" t="str">
        <f>IFERROR(VLOOKUP(CANTIDAD[[#This Row],[Ubicación]],SAP[],6,FALSE),"")</f>
        <v/>
      </c>
      <c r="J64" s="11" t="str">
        <f>IFERROR(VLOOKUP(CANTIDAD[[#This Row],[Ubicación]],SAP[],7,FALSE),"")</f>
        <v/>
      </c>
      <c r="K64" s="11" t="str">
        <f>IFERROR(VLOOKUP(CANTIDAD[[#This Row],[Ubicación]],SAP[],10,FALSE),"")</f>
        <v/>
      </c>
      <c r="L64" s="48" t="str">
        <f>IFERROR(VLOOKUP(CANTIDAD[[#This Row],[Producto]],MARA[],5,FALSE),"")</f>
        <v/>
      </c>
      <c r="M64" s="48" t="str">
        <f>IFERROR(VLOOKUP(CANTIDAD[[#This Row],[Producto]],MARA[],4,FALSE),"")</f>
        <v/>
      </c>
      <c r="N64" s="136" t="s">
        <v>4315</v>
      </c>
    </row>
    <row r="65" spans="1:14" hidden="1">
      <c r="A65" s="139" t="str">
        <f t="shared" si="0"/>
        <v>PASILLO 5</v>
      </c>
      <c r="B65" s="93" t="s">
        <v>4316</v>
      </c>
      <c r="C65" s="11" t="str">
        <f>IFERROR(VLOOKUP(CANTIDAD[[#This Row],[Ubicación]],SAP[],3,FALSE),"")</f>
        <v/>
      </c>
      <c r="D65" s="30" t="str">
        <f>IFERROR(VLOOKUP(CANTIDAD[[#This Row],[Producto]],MARA[],3,FALSE),"")</f>
        <v/>
      </c>
      <c r="E65" s="13" t="str">
        <f>IFERROR(VLOOKUP(CANTIDAD[[#This Row],[Ubicación]],SAP[],4,FALSE),"")</f>
        <v/>
      </c>
      <c r="F65" s="13" t="str">
        <f>IFERROR(VLOOKUP(CANTIDAD[[#This Row],[Ubicación]],SAP[],8,FALSE),"")</f>
        <v/>
      </c>
      <c r="G65" s="13" t="str">
        <f>IFERROR(VLOOKUP(CANTIDAD[[#This Row],[Ubicación]],SAP[],9,FALSE),"")</f>
        <v/>
      </c>
      <c r="H65" s="13" t="str">
        <f>IFERROR(VLOOKUP(CANTIDAD[[#This Row],[Ubicación]],SAP[],5,FALSE),"")</f>
        <v/>
      </c>
      <c r="I65" s="43" t="str">
        <f>IFERROR(VLOOKUP(CANTIDAD[[#This Row],[Ubicación]],SAP[],6,FALSE),"")</f>
        <v/>
      </c>
      <c r="J65" s="13" t="str">
        <f>IFERROR(VLOOKUP(CANTIDAD[[#This Row],[Ubicación]],SAP[],7,FALSE),"")</f>
        <v/>
      </c>
      <c r="K65" s="14" t="str">
        <f>IFERROR(VLOOKUP(CANTIDAD[[#This Row],[Ubicación]],SAP[],10,FALSE),"")</f>
        <v/>
      </c>
      <c r="L65" s="48" t="str">
        <f>IFERROR(VLOOKUP(CANTIDAD[[#This Row],[Producto]],MARA[],5,FALSE),"")</f>
        <v/>
      </c>
      <c r="M65" s="48" t="str">
        <f>IFERROR(VLOOKUP(CANTIDAD[[#This Row],[Producto]],MARA[],4,FALSE),"")</f>
        <v/>
      </c>
      <c r="N65" s="136" t="s">
        <v>4317</v>
      </c>
    </row>
    <row r="66" spans="1:14" hidden="1">
      <c r="A66" s="139" t="str">
        <f t="shared" ref="A66:A129" si="1">"PASILLO " &amp; VALUE(MID(B66, 4, 2))</f>
        <v>PASILLO 5</v>
      </c>
      <c r="B66" s="92" t="s">
        <v>4318</v>
      </c>
      <c r="C66" s="11" t="str">
        <f>IFERROR(VLOOKUP(CANTIDAD[[#This Row],[Ubicación]],SAP[],3,FALSE),"")</f>
        <v/>
      </c>
      <c r="D66" s="29" t="str">
        <f>IFERROR(VLOOKUP(CANTIDAD[[#This Row],[Producto]],MARA[],3,FALSE),"")</f>
        <v/>
      </c>
      <c r="E66" s="11" t="str">
        <f>IFERROR(VLOOKUP(CANTIDAD[[#This Row],[Ubicación]],SAP[],4,FALSE),"")</f>
        <v/>
      </c>
      <c r="F66" s="11" t="str">
        <f>IFERROR(VLOOKUP(CANTIDAD[[#This Row],[Ubicación]],SAP[],8,FALSE),"")</f>
        <v/>
      </c>
      <c r="G66" s="11" t="str">
        <f>IFERROR(VLOOKUP(CANTIDAD[[#This Row],[Ubicación]],SAP[],9,FALSE),"")</f>
        <v/>
      </c>
      <c r="H66" s="11" t="str">
        <f>IFERROR(VLOOKUP(CANTIDAD[[#This Row],[Ubicación]],SAP[],5,FALSE),"")</f>
        <v/>
      </c>
      <c r="I66" s="42" t="str">
        <f>IFERROR(VLOOKUP(CANTIDAD[[#This Row],[Ubicación]],SAP[],6,FALSE),"")</f>
        <v/>
      </c>
      <c r="J66" s="11" t="str">
        <f>IFERROR(VLOOKUP(CANTIDAD[[#This Row],[Ubicación]],SAP[],7,FALSE),"")</f>
        <v/>
      </c>
      <c r="K66" s="11" t="str">
        <f>IFERROR(VLOOKUP(CANTIDAD[[#This Row],[Ubicación]],SAP[],10,FALSE),"")</f>
        <v/>
      </c>
      <c r="L66" s="48" t="str">
        <f>IFERROR(VLOOKUP(CANTIDAD[[#This Row],[Producto]],MARA[],5,FALSE),"")</f>
        <v/>
      </c>
      <c r="M66" s="48" t="str">
        <f>IFERROR(VLOOKUP(CANTIDAD[[#This Row],[Producto]],MARA[],4,FALSE),"")</f>
        <v/>
      </c>
      <c r="N66" s="136" t="s">
        <v>4319</v>
      </c>
    </row>
    <row r="67" spans="1:14" hidden="1">
      <c r="A67" s="139" t="str">
        <f t="shared" si="1"/>
        <v>PASILLO 5</v>
      </c>
      <c r="B67" s="93" t="s">
        <v>4320</v>
      </c>
      <c r="C67" s="11" t="str">
        <f>IFERROR(VLOOKUP(CANTIDAD[[#This Row],[Ubicación]],SAP[],3,FALSE),"")</f>
        <v/>
      </c>
      <c r="D67" s="30" t="str">
        <f>IFERROR(VLOOKUP(CANTIDAD[[#This Row],[Producto]],MARA[],3,FALSE),"")</f>
        <v/>
      </c>
      <c r="E67" s="13" t="str">
        <f>IFERROR(VLOOKUP(CANTIDAD[[#This Row],[Ubicación]],SAP[],4,FALSE),"")</f>
        <v/>
      </c>
      <c r="F67" s="13" t="str">
        <f>IFERROR(VLOOKUP(CANTIDAD[[#This Row],[Ubicación]],SAP[],8,FALSE),"")</f>
        <v/>
      </c>
      <c r="G67" s="13" t="str">
        <f>IFERROR(VLOOKUP(CANTIDAD[[#This Row],[Ubicación]],SAP[],9,FALSE),"")</f>
        <v/>
      </c>
      <c r="H67" s="13" t="str">
        <f>IFERROR(VLOOKUP(CANTIDAD[[#This Row],[Ubicación]],SAP[],5,FALSE),"")</f>
        <v/>
      </c>
      <c r="I67" s="43" t="str">
        <f>IFERROR(VLOOKUP(CANTIDAD[[#This Row],[Ubicación]],SAP[],6,FALSE),"")</f>
        <v/>
      </c>
      <c r="J67" s="13" t="str">
        <f>IFERROR(VLOOKUP(CANTIDAD[[#This Row],[Ubicación]],SAP[],7,FALSE),"")</f>
        <v/>
      </c>
      <c r="K67" s="14" t="str">
        <f>IFERROR(VLOOKUP(CANTIDAD[[#This Row],[Ubicación]],SAP[],10,FALSE),"")</f>
        <v/>
      </c>
      <c r="L67" s="48" t="str">
        <f>IFERROR(VLOOKUP(CANTIDAD[[#This Row],[Producto]],MARA[],5,FALSE),"")</f>
        <v/>
      </c>
      <c r="M67" s="48" t="str">
        <f>IFERROR(VLOOKUP(CANTIDAD[[#This Row],[Producto]],MARA[],4,FALSE),"")</f>
        <v/>
      </c>
      <c r="N67" s="136" t="s">
        <v>4321</v>
      </c>
    </row>
    <row r="68" spans="1:14" hidden="1">
      <c r="A68" s="139" t="str">
        <f t="shared" si="1"/>
        <v>PASILLO 5</v>
      </c>
      <c r="B68" s="92" t="s">
        <v>4322</v>
      </c>
      <c r="C68" s="11" t="str">
        <f>IFERROR(VLOOKUP(CANTIDAD[[#This Row],[Ubicación]],SAP[],3,FALSE),"")</f>
        <v/>
      </c>
      <c r="D68" s="29" t="str">
        <f>IFERROR(VLOOKUP(CANTIDAD[[#This Row],[Producto]],MARA[],3,FALSE),"")</f>
        <v/>
      </c>
      <c r="E68" s="11" t="str">
        <f>IFERROR(VLOOKUP(CANTIDAD[[#This Row],[Ubicación]],SAP[],4,FALSE),"")</f>
        <v/>
      </c>
      <c r="F68" s="11" t="str">
        <f>IFERROR(VLOOKUP(CANTIDAD[[#This Row],[Ubicación]],SAP[],8,FALSE),"")</f>
        <v/>
      </c>
      <c r="G68" s="11" t="str">
        <f>IFERROR(VLOOKUP(CANTIDAD[[#This Row],[Ubicación]],SAP[],9,FALSE),"")</f>
        <v/>
      </c>
      <c r="H68" s="11" t="str">
        <f>IFERROR(VLOOKUP(CANTIDAD[[#This Row],[Ubicación]],SAP[],5,FALSE),"")</f>
        <v/>
      </c>
      <c r="I68" s="42" t="str">
        <f>IFERROR(VLOOKUP(CANTIDAD[[#This Row],[Ubicación]],SAP[],6,FALSE),"")</f>
        <v/>
      </c>
      <c r="J68" s="11" t="str">
        <f>IFERROR(VLOOKUP(CANTIDAD[[#This Row],[Ubicación]],SAP[],7,FALSE),"")</f>
        <v/>
      </c>
      <c r="K68" s="11" t="str">
        <f>IFERROR(VLOOKUP(CANTIDAD[[#This Row],[Ubicación]],SAP[],10,FALSE),"")</f>
        <v/>
      </c>
      <c r="L68" s="48" t="str">
        <f>IFERROR(VLOOKUP(CANTIDAD[[#This Row],[Producto]],MARA[],5,FALSE),"")</f>
        <v/>
      </c>
      <c r="M68" s="48" t="str">
        <f>IFERROR(VLOOKUP(CANTIDAD[[#This Row],[Producto]],MARA[],4,FALSE),"")</f>
        <v/>
      </c>
      <c r="N68" s="136" t="s">
        <v>4323</v>
      </c>
    </row>
    <row r="69" spans="1:14" hidden="1">
      <c r="A69" s="139" t="str">
        <f t="shared" si="1"/>
        <v>PASILLO 5</v>
      </c>
      <c r="B69" s="93" t="s">
        <v>4324</v>
      </c>
      <c r="C69" s="11" t="str">
        <f>IFERROR(VLOOKUP(CANTIDAD[[#This Row],[Ubicación]],SAP[],3,FALSE),"")</f>
        <v/>
      </c>
      <c r="D69" s="30" t="str">
        <f>IFERROR(VLOOKUP(CANTIDAD[[#This Row],[Producto]],MARA[],3,FALSE),"")</f>
        <v/>
      </c>
      <c r="E69" s="13" t="str">
        <f>IFERROR(VLOOKUP(CANTIDAD[[#This Row],[Ubicación]],SAP[],4,FALSE),"")</f>
        <v/>
      </c>
      <c r="F69" s="13" t="str">
        <f>IFERROR(VLOOKUP(CANTIDAD[[#This Row],[Ubicación]],SAP[],8,FALSE),"")</f>
        <v/>
      </c>
      <c r="G69" s="13" t="str">
        <f>IFERROR(VLOOKUP(CANTIDAD[[#This Row],[Ubicación]],SAP[],9,FALSE),"")</f>
        <v/>
      </c>
      <c r="H69" s="13" t="str">
        <f>IFERROR(VLOOKUP(CANTIDAD[[#This Row],[Ubicación]],SAP[],5,FALSE),"")</f>
        <v/>
      </c>
      <c r="I69" s="43" t="str">
        <f>IFERROR(VLOOKUP(CANTIDAD[[#This Row],[Ubicación]],SAP[],6,FALSE),"")</f>
        <v/>
      </c>
      <c r="J69" s="13" t="str">
        <f>IFERROR(VLOOKUP(CANTIDAD[[#This Row],[Ubicación]],SAP[],7,FALSE),"")</f>
        <v/>
      </c>
      <c r="K69" s="14" t="str">
        <f>IFERROR(VLOOKUP(CANTIDAD[[#This Row],[Ubicación]],SAP[],10,FALSE),"")</f>
        <v/>
      </c>
      <c r="L69" s="48" t="str">
        <f>IFERROR(VLOOKUP(CANTIDAD[[#This Row],[Producto]],MARA[],5,FALSE),"")</f>
        <v/>
      </c>
      <c r="M69" s="48" t="str">
        <f>IFERROR(VLOOKUP(CANTIDAD[[#This Row],[Producto]],MARA[],4,FALSE),"")</f>
        <v/>
      </c>
      <c r="N69" s="136" t="s">
        <v>4325</v>
      </c>
    </row>
    <row r="70" spans="1:14" hidden="1">
      <c r="A70" s="139" t="str">
        <f t="shared" si="1"/>
        <v>PASILLO 5</v>
      </c>
      <c r="B70" s="92" t="s">
        <v>4326</v>
      </c>
      <c r="C70" s="11" t="str">
        <f>IFERROR(VLOOKUP(CANTIDAD[[#This Row],[Ubicación]],SAP[],3,FALSE),"")</f>
        <v/>
      </c>
      <c r="D70" s="29" t="str">
        <f>IFERROR(VLOOKUP(CANTIDAD[[#This Row],[Producto]],MARA[],3,FALSE),"")</f>
        <v/>
      </c>
      <c r="E70" s="11" t="str">
        <f>IFERROR(VLOOKUP(CANTIDAD[[#This Row],[Ubicación]],SAP[],4,FALSE),"")</f>
        <v/>
      </c>
      <c r="F70" s="11" t="str">
        <f>IFERROR(VLOOKUP(CANTIDAD[[#This Row],[Ubicación]],SAP[],8,FALSE),"")</f>
        <v/>
      </c>
      <c r="G70" s="11" t="str">
        <f>IFERROR(VLOOKUP(CANTIDAD[[#This Row],[Ubicación]],SAP[],9,FALSE),"")</f>
        <v/>
      </c>
      <c r="H70" s="11" t="str">
        <f>IFERROR(VLOOKUP(CANTIDAD[[#This Row],[Ubicación]],SAP[],5,FALSE),"")</f>
        <v/>
      </c>
      <c r="I70" s="42" t="str">
        <f>IFERROR(VLOOKUP(CANTIDAD[[#This Row],[Ubicación]],SAP[],6,FALSE),"")</f>
        <v/>
      </c>
      <c r="J70" s="11" t="str">
        <f>IFERROR(VLOOKUP(CANTIDAD[[#This Row],[Ubicación]],SAP[],7,FALSE),"")</f>
        <v/>
      </c>
      <c r="K70" s="11" t="str">
        <f>IFERROR(VLOOKUP(CANTIDAD[[#This Row],[Ubicación]],SAP[],10,FALSE),"")</f>
        <v/>
      </c>
      <c r="L70" s="48" t="str">
        <f>IFERROR(VLOOKUP(CANTIDAD[[#This Row],[Producto]],MARA[],5,FALSE),"")</f>
        <v/>
      </c>
      <c r="M70" s="48" t="str">
        <f>IFERROR(VLOOKUP(CANTIDAD[[#This Row],[Producto]],MARA[],4,FALSE),"")</f>
        <v/>
      </c>
      <c r="N70" s="136" t="s">
        <v>4327</v>
      </c>
    </row>
    <row r="71" spans="1:14" hidden="1">
      <c r="A71" s="139" t="str">
        <f t="shared" si="1"/>
        <v>PASILLO 5</v>
      </c>
      <c r="B71" s="93" t="s">
        <v>4328</v>
      </c>
      <c r="C71" s="11" t="str">
        <f>IFERROR(VLOOKUP(CANTIDAD[[#This Row],[Ubicación]],SAP[],3,FALSE),"")</f>
        <v/>
      </c>
      <c r="D71" s="30" t="str">
        <f>IFERROR(VLOOKUP(CANTIDAD[[#This Row],[Producto]],MARA[],3,FALSE),"")</f>
        <v/>
      </c>
      <c r="E71" s="13" t="str">
        <f>IFERROR(VLOOKUP(CANTIDAD[[#This Row],[Ubicación]],SAP[],4,FALSE),"")</f>
        <v/>
      </c>
      <c r="F71" s="13" t="str">
        <f>IFERROR(VLOOKUP(CANTIDAD[[#This Row],[Ubicación]],SAP[],8,FALSE),"")</f>
        <v/>
      </c>
      <c r="G71" s="13" t="str">
        <f>IFERROR(VLOOKUP(CANTIDAD[[#This Row],[Ubicación]],SAP[],9,FALSE),"")</f>
        <v/>
      </c>
      <c r="H71" s="13" t="str">
        <f>IFERROR(VLOOKUP(CANTIDAD[[#This Row],[Ubicación]],SAP[],5,FALSE),"")</f>
        <v/>
      </c>
      <c r="I71" s="43" t="str">
        <f>IFERROR(VLOOKUP(CANTIDAD[[#This Row],[Ubicación]],SAP[],6,FALSE),"")</f>
        <v/>
      </c>
      <c r="J71" s="13" t="str">
        <f>IFERROR(VLOOKUP(CANTIDAD[[#This Row],[Ubicación]],SAP[],7,FALSE),"")</f>
        <v/>
      </c>
      <c r="K71" s="14" t="str">
        <f>IFERROR(VLOOKUP(CANTIDAD[[#This Row],[Ubicación]],SAP[],10,FALSE),"")</f>
        <v/>
      </c>
      <c r="L71" s="48" t="str">
        <f>IFERROR(VLOOKUP(CANTIDAD[[#This Row],[Producto]],MARA[],5,FALSE),"")</f>
        <v/>
      </c>
      <c r="M71" s="48" t="str">
        <f>IFERROR(VLOOKUP(CANTIDAD[[#This Row],[Producto]],MARA[],4,FALSE),"")</f>
        <v/>
      </c>
      <c r="N71" s="136" t="s">
        <v>4329</v>
      </c>
    </row>
    <row r="72" spans="1:14" hidden="1">
      <c r="A72" s="139" t="str">
        <f t="shared" si="1"/>
        <v>PASILLO 5</v>
      </c>
      <c r="B72" s="92" t="s">
        <v>4330</v>
      </c>
      <c r="C72" s="11" t="str">
        <f>IFERROR(VLOOKUP(CANTIDAD[[#This Row],[Ubicación]],SAP[],3,FALSE),"")</f>
        <v/>
      </c>
      <c r="D72" s="29" t="str">
        <f>IFERROR(VLOOKUP(CANTIDAD[[#This Row],[Producto]],MARA[],3,FALSE),"")</f>
        <v/>
      </c>
      <c r="E72" s="11" t="str">
        <f>IFERROR(VLOOKUP(CANTIDAD[[#This Row],[Ubicación]],SAP[],4,FALSE),"")</f>
        <v/>
      </c>
      <c r="F72" s="11" t="str">
        <f>IFERROR(VLOOKUP(CANTIDAD[[#This Row],[Ubicación]],SAP[],8,FALSE),"")</f>
        <v/>
      </c>
      <c r="G72" s="11" t="str">
        <f>IFERROR(VLOOKUP(CANTIDAD[[#This Row],[Ubicación]],SAP[],9,FALSE),"")</f>
        <v/>
      </c>
      <c r="H72" s="11" t="str">
        <f>IFERROR(VLOOKUP(CANTIDAD[[#This Row],[Ubicación]],SAP[],5,FALSE),"")</f>
        <v/>
      </c>
      <c r="I72" s="42" t="str">
        <f>IFERROR(VLOOKUP(CANTIDAD[[#This Row],[Ubicación]],SAP[],6,FALSE),"")</f>
        <v/>
      </c>
      <c r="J72" s="11" t="str">
        <f>IFERROR(VLOOKUP(CANTIDAD[[#This Row],[Ubicación]],SAP[],7,FALSE),"")</f>
        <v/>
      </c>
      <c r="K72" s="11" t="str">
        <f>IFERROR(VLOOKUP(CANTIDAD[[#This Row],[Ubicación]],SAP[],10,FALSE),"")</f>
        <v/>
      </c>
      <c r="L72" s="48" t="str">
        <f>IFERROR(VLOOKUP(CANTIDAD[[#This Row],[Producto]],MARA[],5,FALSE),"")</f>
        <v/>
      </c>
      <c r="M72" s="48" t="str">
        <f>IFERROR(VLOOKUP(CANTIDAD[[#This Row],[Producto]],MARA[],4,FALSE),"")</f>
        <v/>
      </c>
      <c r="N72" s="136" t="s">
        <v>4331</v>
      </c>
    </row>
    <row r="73" spans="1:14" hidden="1">
      <c r="A73" s="139" t="str">
        <f t="shared" si="1"/>
        <v>PASILLO 5</v>
      </c>
      <c r="B73" s="93" t="s">
        <v>4332</v>
      </c>
      <c r="C73" s="11" t="str">
        <f>IFERROR(VLOOKUP(CANTIDAD[[#This Row],[Ubicación]],SAP[],3,FALSE),"")</f>
        <v/>
      </c>
      <c r="D73" s="30" t="str">
        <f>IFERROR(VLOOKUP(CANTIDAD[[#This Row],[Producto]],MARA[],3,FALSE),"")</f>
        <v/>
      </c>
      <c r="E73" s="13" t="str">
        <f>IFERROR(VLOOKUP(CANTIDAD[[#This Row],[Ubicación]],SAP[],4,FALSE),"")</f>
        <v/>
      </c>
      <c r="F73" s="13" t="str">
        <f>IFERROR(VLOOKUP(CANTIDAD[[#This Row],[Ubicación]],SAP[],8,FALSE),"")</f>
        <v/>
      </c>
      <c r="G73" s="13" t="str">
        <f>IFERROR(VLOOKUP(CANTIDAD[[#This Row],[Ubicación]],SAP[],9,FALSE),"")</f>
        <v/>
      </c>
      <c r="H73" s="13" t="str">
        <f>IFERROR(VLOOKUP(CANTIDAD[[#This Row],[Ubicación]],SAP[],5,FALSE),"")</f>
        <v/>
      </c>
      <c r="I73" s="43" t="str">
        <f>IFERROR(VLOOKUP(CANTIDAD[[#This Row],[Ubicación]],SAP[],6,FALSE),"")</f>
        <v/>
      </c>
      <c r="J73" s="13" t="str">
        <f>IFERROR(VLOOKUP(CANTIDAD[[#This Row],[Ubicación]],SAP[],7,FALSE),"")</f>
        <v/>
      </c>
      <c r="K73" s="14" t="str">
        <f>IFERROR(VLOOKUP(CANTIDAD[[#This Row],[Ubicación]],SAP[],10,FALSE),"")</f>
        <v/>
      </c>
      <c r="L73" s="48" t="str">
        <f>IFERROR(VLOOKUP(CANTIDAD[[#This Row],[Producto]],MARA[],5,FALSE),"")</f>
        <v/>
      </c>
      <c r="M73" s="48" t="str">
        <f>IFERROR(VLOOKUP(CANTIDAD[[#This Row],[Producto]],MARA[],4,FALSE),"")</f>
        <v/>
      </c>
      <c r="N73" s="136" t="s">
        <v>4333</v>
      </c>
    </row>
    <row r="74" spans="1:14" hidden="1">
      <c r="A74" s="139" t="str">
        <f t="shared" si="1"/>
        <v>PASILLO 5</v>
      </c>
      <c r="B74" s="92" t="s">
        <v>4334</v>
      </c>
      <c r="C74" s="11" t="str">
        <f>IFERROR(VLOOKUP(CANTIDAD[[#This Row],[Ubicación]],SAP[],3,FALSE),"")</f>
        <v/>
      </c>
      <c r="D74" s="29" t="str">
        <f>IFERROR(VLOOKUP(CANTIDAD[[#This Row],[Producto]],MARA[],3,FALSE),"")</f>
        <v/>
      </c>
      <c r="E74" s="11" t="str">
        <f>IFERROR(VLOOKUP(CANTIDAD[[#This Row],[Ubicación]],SAP[],4,FALSE),"")</f>
        <v/>
      </c>
      <c r="F74" s="11" t="str">
        <f>IFERROR(VLOOKUP(CANTIDAD[[#This Row],[Ubicación]],SAP[],8,FALSE),"")</f>
        <v/>
      </c>
      <c r="G74" s="11" t="str">
        <f>IFERROR(VLOOKUP(CANTIDAD[[#This Row],[Ubicación]],SAP[],9,FALSE),"")</f>
        <v/>
      </c>
      <c r="H74" s="11" t="str">
        <f>IFERROR(VLOOKUP(CANTIDAD[[#This Row],[Ubicación]],SAP[],5,FALSE),"")</f>
        <v/>
      </c>
      <c r="I74" s="42" t="str">
        <f>IFERROR(VLOOKUP(CANTIDAD[[#This Row],[Ubicación]],SAP[],6,FALSE),"")</f>
        <v/>
      </c>
      <c r="J74" s="11" t="str">
        <f>IFERROR(VLOOKUP(CANTIDAD[[#This Row],[Ubicación]],SAP[],7,FALSE),"")</f>
        <v/>
      </c>
      <c r="K74" s="11" t="str">
        <f>IFERROR(VLOOKUP(CANTIDAD[[#This Row],[Ubicación]],SAP[],10,FALSE),"")</f>
        <v/>
      </c>
      <c r="L74" s="48" t="str">
        <f>IFERROR(VLOOKUP(CANTIDAD[[#This Row],[Producto]],MARA[],5,FALSE),"")</f>
        <v/>
      </c>
      <c r="M74" s="48" t="str">
        <f>IFERROR(VLOOKUP(CANTIDAD[[#This Row],[Producto]],MARA[],4,FALSE),"")</f>
        <v/>
      </c>
      <c r="N74" s="136" t="s">
        <v>4335</v>
      </c>
    </row>
    <row r="75" spans="1:14" hidden="1">
      <c r="A75" s="139" t="str">
        <f t="shared" si="1"/>
        <v>PASILLO 5</v>
      </c>
      <c r="B75" s="93" t="s">
        <v>4336</v>
      </c>
      <c r="C75" s="11" t="str">
        <f>IFERROR(VLOOKUP(CANTIDAD[[#This Row],[Ubicación]],SAP[],3,FALSE),"")</f>
        <v/>
      </c>
      <c r="D75" s="30" t="str">
        <f>IFERROR(VLOOKUP(CANTIDAD[[#This Row],[Producto]],MARA[],3,FALSE),"")</f>
        <v/>
      </c>
      <c r="E75" s="13" t="str">
        <f>IFERROR(VLOOKUP(CANTIDAD[[#This Row],[Ubicación]],SAP[],4,FALSE),"")</f>
        <v/>
      </c>
      <c r="F75" s="13" t="str">
        <f>IFERROR(VLOOKUP(CANTIDAD[[#This Row],[Ubicación]],SAP[],8,FALSE),"")</f>
        <v/>
      </c>
      <c r="G75" s="13" t="str">
        <f>IFERROR(VLOOKUP(CANTIDAD[[#This Row],[Ubicación]],SAP[],9,FALSE),"")</f>
        <v/>
      </c>
      <c r="H75" s="13" t="str">
        <f>IFERROR(VLOOKUP(CANTIDAD[[#This Row],[Ubicación]],SAP[],5,FALSE),"")</f>
        <v/>
      </c>
      <c r="I75" s="43" t="str">
        <f>IFERROR(VLOOKUP(CANTIDAD[[#This Row],[Ubicación]],SAP[],6,FALSE),"")</f>
        <v/>
      </c>
      <c r="J75" s="13" t="str">
        <f>IFERROR(VLOOKUP(CANTIDAD[[#This Row],[Ubicación]],SAP[],7,FALSE),"")</f>
        <v/>
      </c>
      <c r="K75" s="14" t="str">
        <f>IFERROR(VLOOKUP(CANTIDAD[[#This Row],[Ubicación]],SAP[],10,FALSE),"")</f>
        <v/>
      </c>
      <c r="L75" s="48" t="str">
        <f>IFERROR(VLOOKUP(CANTIDAD[[#This Row],[Producto]],MARA[],5,FALSE),"")</f>
        <v/>
      </c>
      <c r="M75" s="48" t="str">
        <f>IFERROR(VLOOKUP(CANTIDAD[[#This Row],[Producto]],MARA[],4,FALSE),"")</f>
        <v/>
      </c>
      <c r="N75" s="136" t="s">
        <v>4337</v>
      </c>
    </row>
    <row r="76" spans="1:14" hidden="1">
      <c r="A76" s="139" t="str">
        <f t="shared" si="1"/>
        <v>PASILLO 5</v>
      </c>
      <c r="B76" s="92" t="s">
        <v>4338</v>
      </c>
      <c r="C76" s="11" t="str">
        <f>IFERROR(VLOOKUP(CANTIDAD[[#This Row],[Ubicación]],SAP[],3,FALSE),"")</f>
        <v/>
      </c>
      <c r="D76" s="29" t="str">
        <f>IFERROR(VLOOKUP(CANTIDAD[[#This Row],[Producto]],MARA[],3,FALSE),"")</f>
        <v/>
      </c>
      <c r="E76" s="11" t="str">
        <f>IFERROR(VLOOKUP(CANTIDAD[[#This Row],[Ubicación]],SAP[],4,FALSE),"")</f>
        <v/>
      </c>
      <c r="F76" s="11" t="str">
        <f>IFERROR(VLOOKUP(CANTIDAD[[#This Row],[Ubicación]],SAP[],8,FALSE),"")</f>
        <v/>
      </c>
      <c r="G76" s="11" t="str">
        <f>IFERROR(VLOOKUP(CANTIDAD[[#This Row],[Ubicación]],SAP[],9,FALSE),"")</f>
        <v/>
      </c>
      <c r="H76" s="11" t="str">
        <f>IFERROR(VLOOKUP(CANTIDAD[[#This Row],[Ubicación]],SAP[],5,FALSE),"")</f>
        <v/>
      </c>
      <c r="I76" s="42" t="str">
        <f>IFERROR(VLOOKUP(CANTIDAD[[#This Row],[Ubicación]],SAP[],6,FALSE),"")</f>
        <v/>
      </c>
      <c r="J76" s="11" t="str">
        <f>IFERROR(VLOOKUP(CANTIDAD[[#This Row],[Ubicación]],SAP[],7,FALSE),"")</f>
        <v/>
      </c>
      <c r="K76" s="11" t="str">
        <f>IFERROR(VLOOKUP(CANTIDAD[[#This Row],[Ubicación]],SAP[],10,FALSE),"")</f>
        <v/>
      </c>
      <c r="L76" s="48" t="str">
        <f>IFERROR(VLOOKUP(CANTIDAD[[#This Row],[Producto]],MARA[],5,FALSE),"")</f>
        <v/>
      </c>
      <c r="M76" s="48" t="str">
        <f>IFERROR(VLOOKUP(CANTIDAD[[#This Row],[Producto]],MARA[],4,FALSE),"")</f>
        <v/>
      </c>
      <c r="N76" s="136" t="s">
        <v>4339</v>
      </c>
    </row>
    <row r="77" spans="1:14" hidden="1">
      <c r="A77" s="139" t="str">
        <f t="shared" si="1"/>
        <v>PASILLO 5</v>
      </c>
      <c r="B77" s="93" t="s">
        <v>4340</v>
      </c>
      <c r="C77" s="11" t="str">
        <f>IFERROR(VLOOKUP(CANTIDAD[[#This Row],[Ubicación]],SAP[],3,FALSE),"")</f>
        <v/>
      </c>
      <c r="D77" s="30" t="str">
        <f>IFERROR(VLOOKUP(CANTIDAD[[#This Row],[Producto]],MARA[],3,FALSE),"")</f>
        <v/>
      </c>
      <c r="E77" s="13" t="str">
        <f>IFERROR(VLOOKUP(CANTIDAD[[#This Row],[Ubicación]],SAP[],4,FALSE),"")</f>
        <v/>
      </c>
      <c r="F77" s="13" t="str">
        <f>IFERROR(VLOOKUP(CANTIDAD[[#This Row],[Ubicación]],SAP[],8,FALSE),"")</f>
        <v/>
      </c>
      <c r="G77" s="13" t="str">
        <f>IFERROR(VLOOKUP(CANTIDAD[[#This Row],[Ubicación]],SAP[],9,FALSE),"")</f>
        <v/>
      </c>
      <c r="H77" s="13" t="str">
        <f>IFERROR(VLOOKUP(CANTIDAD[[#This Row],[Ubicación]],SAP[],5,FALSE),"")</f>
        <v/>
      </c>
      <c r="I77" s="43" t="str">
        <f>IFERROR(VLOOKUP(CANTIDAD[[#This Row],[Ubicación]],SAP[],6,FALSE),"")</f>
        <v/>
      </c>
      <c r="J77" s="13" t="str">
        <f>IFERROR(VLOOKUP(CANTIDAD[[#This Row],[Ubicación]],SAP[],7,FALSE),"")</f>
        <v/>
      </c>
      <c r="K77" s="14" t="str">
        <f>IFERROR(VLOOKUP(CANTIDAD[[#This Row],[Ubicación]],SAP[],10,FALSE),"")</f>
        <v/>
      </c>
      <c r="L77" s="48" t="str">
        <f>IFERROR(VLOOKUP(CANTIDAD[[#This Row],[Producto]],MARA[],5,FALSE),"")</f>
        <v/>
      </c>
      <c r="M77" s="48" t="str">
        <f>IFERROR(VLOOKUP(CANTIDAD[[#This Row],[Producto]],MARA[],4,FALSE),"")</f>
        <v/>
      </c>
      <c r="N77" s="136" t="s">
        <v>4341</v>
      </c>
    </row>
    <row r="78" spans="1:14" hidden="1">
      <c r="A78" s="139" t="str">
        <f t="shared" si="1"/>
        <v>PASILLO 5</v>
      </c>
      <c r="B78" s="92" t="s">
        <v>4342</v>
      </c>
      <c r="C78" s="11" t="str">
        <f>IFERROR(VLOOKUP(CANTIDAD[[#This Row],[Ubicación]],SAP[],3,FALSE),"")</f>
        <v/>
      </c>
      <c r="D78" s="29" t="str">
        <f>IFERROR(VLOOKUP(CANTIDAD[[#This Row],[Producto]],MARA[],3,FALSE),"")</f>
        <v/>
      </c>
      <c r="E78" s="11" t="str">
        <f>IFERROR(VLOOKUP(CANTIDAD[[#This Row],[Ubicación]],SAP[],4,FALSE),"")</f>
        <v/>
      </c>
      <c r="F78" s="11" t="str">
        <f>IFERROR(VLOOKUP(CANTIDAD[[#This Row],[Ubicación]],SAP[],8,FALSE),"")</f>
        <v/>
      </c>
      <c r="G78" s="11" t="str">
        <f>IFERROR(VLOOKUP(CANTIDAD[[#This Row],[Ubicación]],SAP[],9,FALSE),"")</f>
        <v/>
      </c>
      <c r="H78" s="11" t="str">
        <f>IFERROR(VLOOKUP(CANTIDAD[[#This Row],[Ubicación]],SAP[],5,FALSE),"")</f>
        <v/>
      </c>
      <c r="I78" s="42" t="str">
        <f>IFERROR(VLOOKUP(CANTIDAD[[#This Row],[Ubicación]],SAP[],6,FALSE),"")</f>
        <v/>
      </c>
      <c r="J78" s="11" t="str">
        <f>IFERROR(VLOOKUP(CANTIDAD[[#This Row],[Ubicación]],SAP[],7,FALSE),"")</f>
        <v/>
      </c>
      <c r="K78" s="11" t="str">
        <f>IFERROR(VLOOKUP(CANTIDAD[[#This Row],[Ubicación]],SAP[],10,FALSE),"")</f>
        <v/>
      </c>
      <c r="L78" s="48" t="str">
        <f>IFERROR(VLOOKUP(CANTIDAD[[#This Row],[Producto]],MARA[],5,FALSE),"")</f>
        <v/>
      </c>
      <c r="M78" s="48" t="str">
        <f>IFERROR(VLOOKUP(CANTIDAD[[#This Row],[Producto]],MARA[],4,FALSE),"")</f>
        <v/>
      </c>
      <c r="N78" s="136" t="s">
        <v>4343</v>
      </c>
    </row>
    <row r="79" spans="1:14" hidden="1">
      <c r="A79" s="139" t="str">
        <f t="shared" si="1"/>
        <v>PASILLO 5</v>
      </c>
      <c r="B79" s="93" t="s">
        <v>4344</v>
      </c>
      <c r="C79" s="11" t="str">
        <f>IFERROR(VLOOKUP(CANTIDAD[[#This Row],[Ubicación]],SAP[],3,FALSE),"")</f>
        <v/>
      </c>
      <c r="D79" s="30" t="str">
        <f>IFERROR(VLOOKUP(CANTIDAD[[#This Row],[Producto]],MARA[],3,FALSE),"")</f>
        <v/>
      </c>
      <c r="E79" s="13" t="str">
        <f>IFERROR(VLOOKUP(CANTIDAD[[#This Row],[Ubicación]],SAP[],4,FALSE),"")</f>
        <v/>
      </c>
      <c r="F79" s="13" t="str">
        <f>IFERROR(VLOOKUP(CANTIDAD[[#This Row],[Ubicación]],SAP[],8,FALSE),"")</f>
        <v/>
      </c>
      <c r="G79" s="13" t="str">
        <f>IFERROR(VLOOKUP(CANTIDAD[[#This Row],[Ubicación]],SAP[],9,FALSE),"")</f>
        <v/>
      </c>
      <c r="H79" s="13" t="str">
        <f>IFERROR(VLOOKUP(CANTIDAD[[#This Row],[Ubicación]],SAP[],5,FALSE),"")</f>
        <v/>
      </c>
      <c r="I79" s="43" t="str">
        <f>IFERROR(VLOOKUP(CANTIDAD[[#This Row],[Ubicación]],SAP[],6,FALSE),"")</f>
        <v/>
      </c>
      <c r="J79" s="13" t="str">
        <f>IFERROR(VLOOKUP(CANTIDAD[[#This Row],[Ubicación]],SAP[],7,FALSE),"")</f>
        <v/>
      </c>
      <c r="K79" s="14" t="str">
        <f>IFERROR(VLOOKUP(CANTIDAD[[#This Row],[Ubicación]],SAP[],10,FALSE),"")</f>
        <v/>
      </c>
      <c r="L79" s="48" t="str">
        <f>IFERROR(VLOOKUP(CANTIDAD[[#This Row],[Producto]],MARA[],5,FALSE),"")</f>
        <v/>
      </c>
      <c r="M79" s="48" t="str">
        <f>IFERROR(VLOOKUP(CANTIDAD[[#This Row],[Producto]],MARA[],4,FALSE),"")</f>
        <v/>
      </c>
      <c r="N79" s="136" t="s">
        <v>4345</v>
      </c>
    </row>
    <row r="80" spans="1:14" hidden="1">
      <c r="A80" s="139" t="str">
        <f t="shared" si="1"/>
        <v>PASILLO 5</v>
      </c>
      <c r="B80" s="92" t="s">
        <v>4346</v>
      </c>
      <c r="C80" s="11" t="str">
        <f>IFERROR(VLOOKUP(CANTIDAD[[#This Row],[Ubicación]],SAP[],3,FALSE),"")</f>
        <v/>
      </c>
      <c r="D80" s="29" t="str">
        <f>IFERROR(VLOOKUP(CANTIDAD[[#This Row],[Producto]],MARA[],3,FALSE),"")</f>
        <v/>
      </c>
      <c r="E80" s="11" t="str">
        <f>IFERROR(VLOOKUP(CANTIDAD[[#This Row],[Ubicación]],SAP[],4,FALSE),"")</f>
        <v/>
      </c>
      <c r="F80" s="11" t="str">
        <f>IFERROR(VLOOKUP(CANTIDAD[[#This Row],[Ubicación]],SAP[],8,FALSE),"")</f>
        <v/>
      </c>
      <c r="G80" s="11" t="str">
        <f>IFERROR(VLOOKUP(CANTIDAD[[#This Row],[Ubicación]],SAP[],9,FALSE),"")</f>
        <v/>
      </c>
      <c r="H80" s="11" t="str">
        <f>IFERROR(VLOOKUP(CANTIDAD[[#This Row],[Ubicación]],SAP[],5,FALSE),"")</f>
        <v/>
      </c>
      <c r="I80" s="42" t="str">
        <f>IFERROR(VLOOKUP(CANTIDAD[[#This Row],[Ubicación]],SAP[],6,FALSE),"")</f>
        <v/>
      </c>
      <c r="J80" s="11" t="str">
        <f>IFERROR(VLOOKUP(CANTIDAD[[#This Row],[Ubicación]],SAP[],7,FALSE),"")</f>
        <v/>
      </c>
      <c r="K80" s="11" t="str">
        <f>IFERROR(VLOOKUP(CANTIDAD[[#This Row],[Ubicación]],SAP[],10,FALSE),"")</f>
        <v/>
      </c>
      <c r="L80" s="48" t="str">
        <f>IFERROR(VLOOKUP(CANTIDAD[[#This Row],[Producto]],MARA[],5,FALSE),"")</f>
        <v/>
      </c>
      <c r="M80" s="48" t="str">
        <f>IFERROR(VLOOKUP(CANTIDAD[[#This Row],[Producto]],MARA[],4,FALSE),"")</f>
        <v/>
      </c>
      <c r="N80" s="136" t="s">
        <v>4347</v>
      </c>
    </row>
    <row r="81" spans="1:14" hidden="1">
      <c r="A81" s="139" t="str">
        <f t="shared" si="1"/>
        <v>PASILLO 5</v>
      </c>
      <c r="B81" s="93" t="s">
        <v>4348</v>
      </c>
      <c r="C81" s="11" t="str">
        <f>IFERROR(VLOOKUP(CANTIDAD[[#This Row],[Ubicación]],SAP[],3,FALSE),"")</f>
        <v/>
      </c>
      <c r="D81" s="30" t="str">
        <f>IFERROR(VLOOKUP(CANTIDAD[[#This Row],[Producto]],MARA[],3,FALSE),"")</f>
        <v/>
      </c>
      <c r="E81" s="13" t="str">
        <f>IFERROR(VLOOKUP(CANTIDAD[[#This Row],[Ubicación]],SAP[],4,FALSE),"")</f>
        <v/>
      </c>
      <c r="F81" s="13" t="str">
        <f>IFERROR(VLOOKUP(CANTIDAD[[#This Row],[Ubicación]],SAP[],8,FALSE),"")</f>
        <v/>
      </c>
      <c r="G81" s="13" t="str">
        <f>IFERROR(VLOOKUP(CANTIDAD[[#This Row],[Ubicación]],SAP[],9,FALSE),"")</f>
        <v/>
      </c>
      <c r="H81" s="13" t="str">
        <f>IFERROR(VLOOKUP(CANTIDAD[[#This Row],[Ubicación]],SAP[],5,FALSE),"")</f>
        <v/>
      </c>
      <c r="I81" s="43" t="str">
        <f>IFERROR(VLOOKUP(CANTIDAD[[#This Row],[Ubicación]],SAP[],6,FALSE),"")</f>
        <v/>
      </c>
      <c r="J81" s="13" t="str">
        <f>IFERROR(VLOOKUP(CANTIDAD[[#This Row],[Ubicación]],SAP[],7,FALSE),"")</f>
        <v/>
      </c>
      <c r="K81" s="14" t="str">
        <f>IFERROR(VLOOKUP(CANTIDAD[[#This Row],[Ubicación]],SAP[],10,FALSE),"")</f>
        <v/>
      </c>
      <c r="L81" s="48" t="str">
        <f>IFERROR(VLOOKUP(CANTIDAD[[#This Row],[Producto]],MARA[],5,FALSE),"")</f>
        <v/>
      </c>
      <c r="M81" s="48" t="str">
        <f>IFERROR(VLOOKUP(CANTIDAD[[#This Row],[Producto]],MARA[],4,FALSE),"")</f>
        <v/>
      </c>
      <c r="N81" s="136" t="s">
        <v>4349</v>
      </c>
    </row>
    <row r="82" spans="1:14" hidden="1">
      <c r="A82" s="139" t="str">
        <f t="shared" si="1"/>
        <v>PASILLO 5</v>
      </c>
      <c r="B82" s="92" t="s">
        <v>4350</v>
      </c>
      <c r="C82" s="11" t="str">
        <f>IFERROR(VLOOKUP(CANTIDAD[[#This Row],[Ubicación]],SAP[],3,FALSE),"")</f>
        <v/>
      </c>
      <c r="D82" s="29" t="str">
        <f>IFERROR(VLOOKUP(CANTIDAD[[#This Row],[Producto]],MARA[],3,FALSE),"")</f>
        <v/>
      </c>
      <c r="E82" s="11" t="str">
        <f>IFERROR(VLOOKUP(CANTIDAD[[#This Row],[Ubicación]],SAP[],4,FALSE),"")</f>
        <v/>
      </c>
      <c r="F82" s="11" t="str">
        <f>IFERROR(VLOOKUP(CANTIDAD[[#This Row],[Ubicación]],SAP[],8,FALSE),"")</f>
        <v/>
      </c>
      <c r="G82" s="11" t="str">
        <f>IFERROR(VLOOKUP(CANTIDAD[[#This Row],[Ubicación]],SAP[],9,FALSE),"")</f>
        <v/>
      </c>
      <c r="H82" s="11" t="str">
        <f>IFERROR(VLOOKUP(CANTIDAD[[#This Row],[Ubicación]],SAP[],5,FALSE),"")</f>
        <v/>
      </c>
      <c r="I82" s="42" t="str">
        <f>IFERROR(VLOOKUP(CANTIDAD[[#This Row],[Ubicación]],SAP[],6,FALSE),"")</f>
        <v/>
      </c>
      <c r="J82" s="11" t="str">
        <f>IFERROR(VLOOKUP(CANTIDAD[[#This Row],[Ubicación]],SAP[],7,FALSE),"")</f>
        <v/>
      </c>
      <c r="K82" s="11" t="str">
        <f>IFERROR(VLOOKUP(CANTIDAD[[#This Row],[Ubicación]],SAP[],10,FALSE),"")</f>
        <v/>
      </c>
      <c r="L82" s="48" t="str">
        <f>IFERROR(VLOOKUP(CANTIDAD[[#This Row],[Producto]],MARA[],5,FALSE),"")</f>
        <v/>
      </c>
      <c r="M82" s="48" t="str">
        <f>IFERROR(VLOOKUP(CANTIDAD[[#This Row],[Producto]],MARA[],4,FALSE),"")</f>
        <v/>
      </c>
      <c r="N82" s="136" t="s">
        <v>4351</v>
      </c>
    </row>
    <row r="83" spans="1:14" hidden="1">
      <c r="A83" s="139" t="str">
        <f t="shared" si="1"/>
        <v>PASILLO 5</v>
      </c>
      <c r="B83" s="93" t="s">
        <v>4352</v>
      </c>
      <c r="C83" s="11" t="str">
        <f>IFERROR(VLOOKUP(CANTIDAD[[#This Row],[Ubicación]],SAP[],3,FALSE),"")</f>
        <v/>
      </c>
      <c r="D83" s="30" t="str">
        <f>IFERROR(VLOOKUP(CANTIDAD[[#This Row],[Producto]],MARA[],3,FALSE),"")</f>
        <v/>
      </c>
      <c r="E83" s="13" t="str">
        <f>IFERROR(VLOOKUP(CANTIDAD[[#This Row],[Ubicación]],SAP[],4,FALSE),"")</f>
        <v/>
      </c>
      <c r="F83" s="13" t="str">
        <f>IFERROR(VLOOKUP(CANTIDAD[[#This Row],[Ubicación]],SAP[],8,FALSE),"")</f>
        <v/>
      </c>
      <c r="G83" s="13" t="str">
        <f>IFERROR(VLOOKUP(CANTIDAD[[#This Row],[Ubicación]],SAP[],9,FALSE),"")</f>
        <v/>
      </c>
      <c r="H83" s="13" t="str">
        <f>IFERROR(VLOOKUP(CANTIDAD[[#This Row],[Ubicación]],SAP[],5,FALSE),"")</f>
        <v/>
      </c>
      <c r="I83" s="43" t="str">
        <f>IFERROR(VLOOKUP(CANTIDAD[[#This Row],[Ubicación]],SAP[],6,FALSE),"")</f>
        <v/>
      </c>
      <c r="J83" s="13" t="str">
        <f>IFERROR(VLOOKUP(CANTIDAD[[#This Row],[Ubicación]],SAP[],7,FALSE),"")</f>
        <v/>
      </c>
      <c r="K83" s="14" t="str">
        <f>IFERROR(VLOOKUP(CANTIDAD[[#This Row],[Ubicación]],SAP[],10,FALSE),"")</f>
        <v/>
      </c>
      <c r="L83" s="48" t="str">
        <f>IFERROR(VLOOKUP(CANTIDAD[[#This Row],[Producto]],MARA[],5,FALSE),"")</f>
        <v/>
      </c>
      <c r="M83" s="48" t="str">
        <f>IFERROR(VLOOKUP(CANTIDAD[[#This Row],[Producto]],MARA[],4,FALSE),"")</f>
        <v/>
      </c>
      <c r="N83" s="136" t="s">
        <v>4353</v>
      </c>
    </row>
    <row r="84" spans="1:14" hidden="1">
      <c r="A84" s="139" t="str">
        <f t="shared" si="1"/>
        <v>PASILLO 5</v>
      </c>
      <c r="B84" s="92" t="s">
        <v>4354</v>
      </c>
      <c r="C84" s="11" t="str">
        <f>IFERROR(VLOOKUP(CANTIDAD[[#This Row],[Ubicación]],SAP[],3,FALSE),"")</f>
        <v/>
      </c>
      <c r="D84" s="29" t="str">
        <f>IFERROR(VLOOKUP(CANTIDAD[[#This Row],[Producto]],MARA[],3,FALSE),"")</f>
        <v/>
      </c>
      <c r="E84" s="11" t="str">
        <f>IFERROR(VLOOKUP(CANTIDAD[[#This Row],[Ubicación]],SAP[],4,FALSE),"")</f>
        <v/>
      </c>
      <c r="F84" s="11" t="str">
        <f>IFERROR(VLOOKUP(CANTIDAD[[#This Row],[Ubicación]],SAP[],8,FALSE),"")</f>
        <v/>
      </c>
      <c r="G84" s="11" t="str">
        <f>IFERROR(VLOOKUP(CANTIDAD[[#This Row],[Ubicación]],SAP[],9,FALSE),"")</f>
        <v/>
      </c>
      <c r="H84" s="11" t="str">
        <f>IFERROR(VLOOKUP(CANTIDAD[[#This Row],[Ubicación]],SAP[],5,FALSE),"")</f>
        <v/>
      </c>
      <c r="I84" s="42" t="str">
        <f>IFERROR(VLOOKUP(CANTIDAD[[#This Row],[Ubicación]],SAP[],6,FALSE),"")</f>
        <v/>
      </c>
      <c r="J84" s="11" t="str">
        <f>IFERROR(VLOOKUP(CANTIDAD[[#This Row],[Ubicación]],SAP[],7,FALSE),"")</f>
        <v/>
      </c>
      <c r="K84" s="11" t="str">
        <f>IFERROR(VLOOKUP(CANTIDAD[[#This Row],[Ubicación]],SAP[],10,FALSE),"")</f>
        <v/>
      </c>
      <c r="L84" s="48" t="str">
        <f>IFERROR(VLOOKUP(CANTIDAD[[#This Row],[Producto]],MARA[],5,FALSE),"")</f>
        <v/>
      </c>
      <c r="M84" s="48" t="str">
        <f>IFERROR(VLOOKUP(CANTIDAD[[#This Row],[Producto]],MARA[],4,FALSE),"")</f>
        <v/>
      </c>
      <c r="N84" s="136" t="s">
        <v>4355</v>
      </c>
    </row>
    <row r="85" spans="1:14" hidden="1">
      <c r="A85" s="139" t="str">
        <f t="shared" si="1"/>
        <v>PASILLO 5</v>
      </c>
      <c r="B85" s="93" t="s">
        <v>4356</v>
      </c>
      <c r="C85" s="11" t="str">
        <f>IFERROR(VLOOKUP(CANTIDAD[[#This Row],[Ubicación]],SAP[],3,FALSE),"")</f>
        <v/>
      </c>
      <c r="D85" s="30" t="str">
        <f>IFERROR(VLOOKUP(CANTIDAD[[#This Row],[Producto]],MARA[],3,FALSE),"")</f>
        <v/>
      </c>
      <c r="E85" s="13" t="str">
        <f>IFERROR(VLOOKUP(CANTIDAD[[#This Row],[Ubicación]],SAP[],4,FALSE),"")</f>
        <v/>
      </c>
      <c r="F85" s="13" t="str">
        <f>IFERROR(VLOOKUP(CANTIDAD[[#This Row],[Ubicación]],SAP[],8,FALSE),"")</f>
        <v/>
      </c>
      <c r="G85" s="13" t="str">
        <f>IFERROR(VLOOKUP(CANTIDAD[[#This Row],[Ubicación]],SAP[],9,FALSE),"")</f>
        <v/>
      </c>
      <c r="H85" s="13" t="str">
        <f>IFERROR(VLOOKUP(CANTIDAD[[#This Row],[Ubicación]],SAP[],5,FALSE),"")</f>
        <v/>
      </c>
      <c r="I85" s="43" t="str">
        <f>IFERROR(VLOOKUP(CANTIDAD[[#This Row],[Ubicación]],SAP[],6,FALSE),"")</f>
        <v/>
      </c>
      <c r="J85" s="13" t="str">
        <f>IFERROR(VLOOKUP(CANTIDAD[[#This Row],[Ubicación]],SAP[],7,FALSE),"")</f>
        <v/>
      </c>
      <c r="K85" s="14" t="str">
        <f>IFERROR(VLOOKUP(CANTIDAD[[#This Row],[Ubicación]],SAP[],10,FALSE),"")</f>
        <v/>
      </c>
      <c r="L85" s="48" t="str">
        <f>IFERROR(VLOOKUP(CANTIDAD[[#This Row],[Producto]],MARA[],5,FALSE),"")</f>
        <v/>
      </c>
      <c r="M85" s="48" t="str">
        <f>IFERROR(VLOOKUP(CANTIDAD[[#This Row],[Producto]],MARA[],4,FALSE),"")</f>
        <v/>
      </c>
      <c r="N85" s="136" t="s">
        <v>4357</v>
      </c>
    </row>
    <row r="86" spans="1:14" hidden="1">
      <c r="A86" s="139" t="str">
        <f t="shared" si="1"/>
        <v>PASILLO 5</v>
      </c>
      <c r="B86" s="92" t="s">
        <v>4358</v>
      </c>
      <c r="C86" s="11" t="str">
        <f>IFERROR(VLOOKUP(CANTIDAD[[#This Row],[Ubicación]],SAP[],3,FALSE),"")</f>
        <v/>
      </c>
      <c r="D86" s="29" t="str">
        <f>IFERROR(VLOOKUP(CANTIDAD[[#This Row],[Producto]],MARA[],3,FALSE),"")</f>
        <v/>
      </c>
      <c r="E86" s="11" t="str">
        <f>IFERROR(VLOOKUP(CANTIDAD[[#This Row],[Ubicación]],SAP[],4,FALSE),"")</f>
        <v/>
      </c>
      <c r="F86" s="11" t="str">
        <f>IFERROR(VLOOKUP(CANTIDAD[[#This Row],[Ubicación]],SAP[],8,FALSE),"")</f>
        <v/>
      </c>
      <c r="G86" s="11" t="str">
        <f>IFERROR(VLOOKUP(CANTIDAD[[#This Row],[Ubicación]],SAP[],9,FALSE),"")</f>
        <v/>
      </c>
      <c r="H86" s="11" t="str">
        <f>IFERROR(VLOOKUP(CANTIDAD[[#This Row],[Ubicación]],SAP[],5,FALSE),"")</f>
        <v/>
      </c>
      <c r="I86" s="42" t="str">
        <f>IFERROR(VLOOKUP(CANTIDAD[[#This Row],[Ubicación]],SAP[],6,FALSE),"")</f>
        <v/>
      </c>
      <c r="J86" s="11" t="str">
        <f>IFERROR(VLOOKUP(CANTIDAD[[#This Row],[Ubicación]],SAP[],7,FALSE),"")</f>
        <v/>
      </c>
      <c r="K86" s="11" t="str">
        <f>IFERROR(VLOOKUP(CANTIDAD[[#This Row],[Ubicación]],SAP[],10,FALSE),"")</f>
        <v/>
      </c>
      <c r="L86" s="48" t="str">
        <f>IFERROR(VLOOKUP(CANTIDAD[[#This Row],[Producto]],MARA[],5,FALSE),"")</f>
        <v/>
      </c>
      <c r="M86" s="48" t="str">
        <f>IFERROR(VLOOKUP(CANTIDAD[[#This Row],[Producto]],MARA[],4,FALSE),"")</f>
        <v/>
      </c>
      <c r="N86" s="136" t="s">
        <v>4359</v>
      </c>
    </row>
    <row r="87" spans="1:14" hidden="1">
      <c r="A87" s="139" t="str">
        <f t="shared" si="1"/>
        <v>PASILLO 5</v>
      </c>
      <c r="B87" s="93" t="s">
        <v>4360</v>
      </c>
      <c r="C87" s="11" t="str">
        <f>IFERROR(VLOOKUP(CANTIDAD[[#This Row],[Ubicación]],SAP[],3,FALSE),"")</f>
        <v/>
      </c>
      <c r="D87" s="30" t="str">
        <f>IFERROR(VLOOKUP(CANTIDAD[[#This Row],[Producto]],MARA[],3,FALSE),"")</f>
        <v/>
      </c>
      <c r="E87" s="13" t="str">
        <f>IFERROR(VLOOKUP(CANTIDAD[[#This Row],[Ubicación]],SAP[],4,FALSE),"")</f>
        <v/>
      </c>
      <c r="F87" s="13" t="str">
        <f>IFERROR(VLOOKUP(CANTIDAD[[#This Row],[Ubicación]],SAP[],8,FALSE),"")</f>
        <v/>
      </c>
      <c r="G87" s="13" t="str">
        <f>IFERROR(VLOOKUP(CANTIDAD[[#This Row],[Ubicación]],SAP[],9,FALSE),"")</f>
        <v/>
      </c>
      <c r="H87" s="13" t="str">
        <f>IFERROR(VLOOKUP(CANTIDAD[[#This Row],[Ubicación]],SAP[],5,FALSE),"")</f>
        <v/>
      </c>
      <c r="I87" s="43" t="str">
        <f>IFERROR(VLOOKUP(CANTIDAD[[#This Row],[Ubicación]],SAP[],6,FALSE),"")</f>
        <v/>
      </c>
      <c r="J87" s="13" t="str">
        <f>IFERROR(VLOOKUP(CANTIDAD[[#This Row],[Ubicación]],SAP[],7,FALSE),"")</f>
        <v/>
      </c>
      <c r="K87" s="14" t="str">
        <f>IFERROR(VLOOKUP(CANTIDAD[[#This Row],[Ubicación]],SAP[],10,FALSE),"")</f>
        <v/>
      </c>
      <c r="L87" s="48" t="str">
        <f>IFERROR(VLOOKUP(CANTIDAD[[#This Row],[Producto]],MARA[],5,FALSE),"")</f>
        <v/>
      </c>
      <c r="M87" s="48" t="str">
        <f>IFERROR(VLOOKUP(CANTIDAD[[#This Row],[Producto]],MARA[],4,FALSE),"")</f>
        <v/>
      </c>
      <c r="N87" s="136" t="s">
        <v>4361</v>
      </c>
    </row>
    <row r="88" spans="1:14" hidden="1">
      <c r="A88" s="139" t="str">
        <f t="shared" si="1"/>
        <v>PASILLO 5</v>
      </c>
      <c r="B88" s="92" t="s">
        <v>4362</v>
      </c>
      <c r="C88" s="11" t="str">
        <f>IFERROR(VLOOKUP(CANTIDAD[[#This Row],[Ubicación]],SAP[],3,FALSE),"")</f>
        <v/>
      </c>
      <c r="D88" s="29" t="str">
        <f>IFERROR(VLOOKUP(CANTIDAD[[#This Row],[Producto]],MARA[],3,FALSE),"")</f>
        <v/>
      </c>
      <c r="E88" s="11" t="str">
        <f>IFERROR(VLOOKUP(CANTIDAD[[#This Row],[Ubicación]],SAP[],4,FALSE),"")</f>
        <v/>
      </c>
      <c r="F88" s="11" t="str">
        <f>IFERROR(VLOOKUP(CANTIDAD[[#This Row],[Ubicación]],SAP[],8,FALSE),"")</f>
        <v/>
      </c>
      <c r="G88" s="11" t="str">
        <f>IFERROR(VLOOKUP(CANTIDAD[[#This Row],[Ubicación]],SAP[],9,FALSE),"")</f>
        <v/>
      </c>
      <c r="H88" s="11" t="str">
        <f>IFERROR(VLOOKUP(CANTIDAD[[#This Row],[Ubicación]],SAP[],5,FALSE),"")</f>
        <v/>
      </c>
      <c r="I88" s="42" t="str">
        <f>IFERROR(VLOOKUP(CANTIDAD[[#This Row],[Ubicación]],SAP[],6,FALSE),"")</f>
        <v/>
      </c>
      <c r="J88" s="11" t="str">
        <f>IFERROR(VLOOKUP(CANTIDAD[[#This Row],[Ubicación]],SAP[],7,FALSE),"")</f>
        <v/>
      </c>
      <c r="K88" s="11" t="str">
        <f>IFERROR(VLOOKUP(CANTIDAD[[#This Row],[Ubicación]],SAP[],10,FALSE),"")</f>
        <v/>
      </c>
      <c r="L88" s="48" t="str">
        <f>IFERROR(VLOOKUP(CANTIDAD[[#This Row],[Producto]],MARA[],5,FALSE),"")</f>
        <v/>
      </c>
      <c r="M88" s="48" t="str">
        <f>IFERROR(VLOOKUP(CANTIDAD[[#This Row],[Producto]],MARA[],4,FALSE),"")</f>
        <v/>
      </c>
      <c r="N88" s="136" t="s">
        <v>4363</v>
      </c>
    </row>
    <row r="89" spans="1:14" hidden="1">
      <c r="A89" s="139" t="str">
        <f t="shared" si="1"/>
        <v>PASILLO 5</v>
      </c>
      <c r="B89" s="93" t="s">
        <v>4364</v>
      </c>
      <c r="C89" s="11" t="str">
        <f>IFERROR(VLOOKUP(CANTIDAD[[#This Row],[Ubicación]],SAP[],3,FALSE),"")</f>
        <v/>
      </c>
      <c r="D89" s="30" t="str">
        <f>IFERROR(VLOOKUP(CANTIDAD[[#This Row],[Producto]],MARA[],3,FALSE),"")</f>
        <v/>
      </c>
      <c r="E89" s="13" t="str">
        <f>IFERROR(VLOOKUP(CANTIDAD[[#This Row],[Ubicación]],SAP[],4,FALSE),"")</f>
        <v/>
      </c>
      <c r="F89" s="13" t="str">
        <f>IFERROR(VLOOKUP(CANTIDAD[[#This Row],[Ubicación]],SAP[],8,FALSE),"")</f>
        <v/>
      </c>
      <c r="G89" s="13" t="str">
        <f>IFERROR(VLOOKUP(CANTIDAD[[#This Row],[Ubicación]],SAP[],9,FALSE),"")</f>
        <v/>
      </c>
      <c r="H89" s="13" t="str">
        <f>IFERROR(VLOOKUP(CANTIDAD[[#This Row],[Ubicación]],SAP[],5,FALSE),"")</f>
        <v/>
      </c>
      <c r="I89" s="43" t="str">
        <f>IFERROR(VLOOKUP(CANTIDAD[[#This Row],[Ubicación]],SAP[],6,FALSE),"")</f>
        <v/>
      </c>
      <c r="J89" s="13" t="str">
        <f>IFERROR(VLOOKUP(CANTIDAD[[#This Row],[Ubicación]],SAP[],7,FALSE),"")</f>
        <v/>
      </c>
      <c r="K89" s="14" t="str">
        <f>IFERROR(VLOOKUP(CANTIDAD[[#This Row],[Ubicación]],SAP[],10,FALSE),"")</f>
        <v/>
      </c>
      <c r="L89" s="48" t="str">
        <f>IFERROR(VLOOKUP(CANTIDAD[[#This Row],[Producto]],MARA[],5,FALSE),"")</f>
        <v/>
      </c>
      <c r="M89" s="48" t="str">
        <f>IFERROR(VLOOKUP(CANTIDAD[[#This Row],[Producto]],MARA[],4,FALSE),"")</f>
        <v/>
      </c>
      <c r="N89" s="136" t="s">
        <v>4365</v>
      </c>
    </row>
    <row r="90" spans="1:14" hidden="1">
      <c r="A90" s="139" t="str">
        <f t="shared" si="1"/>
        <v>PASILLO 6</v>
      </c>
      <c r="B90" s="92" t="s">
        <v>4366</v>
      </c>
      <c r="C90" s="11" t="str">
        <f>IFERROR(VLOOKUP(CANTIDAD[[#This Row],[Ubicación]],SAP[],3,FALSE),"")</f>
        <v/>
      </c>
      <c r="D90" s="29" t="str">
        <f>IFERROR(VLOOKUP(CANTIDAD[[#This Row],[Producto]],MARA[],3,FALSE),"")</f>
        <v/>
      </c>
      <c r="E90" s="11" t="str">
        <f>IFERROR(VLOOKUP(CANTIDAD[[#This Row],[Ubicación]],SAP[],4,FALSE),"")</f>
        <v/>
      </c>
      <c r="F90" s="11" t="str">
        <f>IFERROR(VLOOKUP(CANTIDAD[[#This Row],[Ubicación]],SAP[],8,FALSE),"")</f>
        <v/>
      </c>
      <c r="G90" s="11" t="str">
        <f>IFERROR(VLOOKUP(CANTIDAD[[#This Row],[Ubicación]],SAP[],9,FALSE),"")</f>
        <v/>
      </c>
      <c r="H90" s="11" t="str">
        <f>IFERROR(VLOOKUP(CANTIDAD[[#This Row],[Ubicación]],SAP[],5,FALSE),"")</f>
        <v/>
      </c>
      <c r="I90" s="42" t="str">
        <f>IFERROR(VLOOKUP(CANTIDAD[[#This Row],[Ubicación]],SAP[],6,FALSE),"")</f>
        <v/>
      </c>
      <c r="J90" s="11" t="str">
        <f>IFERROR(VLOOKUP(CANTIDAD[[#This Row],[Ubicación]],SAP[],7,FALSE),"")</f>
        <v/>
      </c>
      <c r="K90" s="11" t="str">
        <f>IFERROR(VLOOKUP(CANTIDAD[[#This Row],[Ubicación]],SAP[],10,FALSE),"")</f>
        <v/>
      </c>
      <c r="L90" s="48" t="str">
        <f>IFERROR(VLOOKUP(CANTIDAD[[#This Row],[Producto]],MARA[],5,FALSE),"")</f>
        <v/>
      </c>
      <c r="M90" s="48" t="str">
        <f>IFERROR(VLOOKUP(CANTIDAD[[#This Row],[Producto]],MARA[],4,FALSE),"")</f>
        <v/>
      </c>
      <c r="N90" s="136" t="s">
        <v>4367</v>
      </c>
    </row>
    <row r="91" spans="1:14" hidden="1">
      <c r="A91" s="139" t="str">
        <f t="shared" si="1"/>
        <v>PASILLO 6</v>
      </c>
      <c r="B91" s="93" t="s">
        <v>4368</v>
      </c>
      <c r="C91" s="11" t="str">
        <f>IFERROR(VLOOKUP(CANTIDAD[[#This Row],[Ubicación]],SAP[],3,FALSE),"")</f>
        <v/>
      </c>
      <c r="D91" s="30" t="str">
        <f>IFERROR(VLOOKUP(CANTIDAD[[#This Row],[Producto]],MARA[],3,FALSE),"")</f>
        <v/>
      </c>
      <c r="E91" s="13" t="str">
        <f>IFERROR(VLOOKUP(CANTIDAD[[#This Row],[Ubicación]],SAP[],4,FALSE),"")</f>
        <v/>
      </c>
      <c r="F91" s="13" t="str">
        <f>IFERROR(VLOOKUP(CANTIDAD[[#This Row],[Ubicación]],SAP[],8,FALSE),"")</f>
        <v/>
      </c>
      <c r="G91" s="13" t="str">
        <f>IFERROR(VLOOKUP(CANTIDAD[[#This Row],[Ubicación]],SAP[],9,FALSE),"")</f>
        <v/>
      </c>
      <c r="H91" s="13" t="str">
        <f>IFERROR(VLOOKUP(CANTIDAD[[#This Row],[Ubicación]],SAP[],5,FALSE),"")</f>
        <v/>
      </c>
      <c r="I91" s="43" t="str">
        <f>IFERROR(VLOOKUP(CANTIDAD[[#This Row],[Ubicación]],SAP[],6,FALSE),"")</f>
        <v/>
      </c>
      <c r="J91" s="13" t="str">
        <f>IFERROR(VLOOKUP(CANTIDAD[[#This Row],[Ubicación]],SAP[],7,FALSE),"")</f>
        <v/>
      </c>
      <c r="K91" s="14" t="str">
        <f>IFERROR(VLOOKUP(CANTIDAD[[#This Row],[Ubicación]],SAP[],10,FALSE),"")</f>
        <v/>
      </c>
      <c r="L91" s="48" t="str">
        <f>IFERROR(VLOOKUP(CANTIDAD[[#This Row],[Producto]],MARA[],5,FALSE),"")</f>
        <v/>
      </c>
      <c r="M91" s="48" t="str">
        <f>IFERROR(VLOOKUP(CANTIDAD[[#This Row],[Producto]],MARA[],4,FALSE),"")</f>
        <v/>
      </c>
      <c r="N91" s="136" t="s">
        <v>4369</v>
      </c>
    </row>
    <row r="92" spans="1:14" hidden="1">
      <c r="A92" s="139" t="str">
        <f t="shared" si="1"/>
        <v>PASILLO 6</v>
      </c>
      <c r="B92" s="92" t="s">
        <v>4370</v>
      </c>
      <c r="C92" s="11" t="str">
        <f>IFERROR(VLOOKUP(CANTIDAD[[#This Row],[Ubicación]],SAP[],3,FALSE),"")</f>
        <v/>
      </c>
      <c r="D92" s="29" t="str">
        <f>IFERROR(VLOOKUP(CANTIDAD[[#This Row],[Producto]],MARA[],3,FALSE),"")</f>
        <v/>
      </c>
      <c r="E92" s="11" t="str">
        <f>IFERROR(VLOOKUP(CANTIDAD[[#This Row],[Ubicación]],SAP[],4,FALSE),"")</f>
        <v/>
      </c>
      <c r="F92" s="11" t="str">
        <f>IFERROR(VLOOKUP(CANTIDAD[[#This Row],[Ubicación]],SAP[],8,FALSE),"")</f>
        <v/>
      </c>
      <c r="G92" s="11" t="str">
        <f>IFERROR(VLOOKUP(CANTIDAD[[#This Row],[Ubicación]],SAP[],9,FALSE),"")</f>
        <v/>
      </c>
      <c r="H92" s="11" t="str">
        <f>IFERROR(VLOOKUP(CANTIDAD[[#This Row],[Ubicación]],SAP[],5,FALSE),"")</f>
        <v/>
      </c>
      <c r="I92" s="42" t="str">
        <f>IFERROR(VLOOKUP(CANTIDAD[[#This Row],[Ubicación]],SAP[],6,FALSE),"")</f>
        <v/>
      </c>
      <c r="J92" s="11" t="str">
        <f>IFERROR(VLOOKUP(CANTIDAD[[#This Row],[Ubicación]],SAP[],7,FALSE),"")</f>
        <v/>
      </c>
      <c r="K92" s="11" t="str">
        <f>IFERROR(VLOOKUP(CANTIDAD[[#This Row],[Ubicación]],SAP[],10,FALSE),"")</f>
        <v/>
      </c>
      <c r="L92" s="48" t="str">
        <f>IFERROR(VLOOKUP(CANTIDAD[[#This Row],[Producto]],MARA[],5,FALSE),"")</f>
        <v/>
      </c>
      <c r="M92" s="48" t="str">
        <f>IFERROR(VLOOKUP(CANTIDAD[[#This Row],[Producto]],MARA[],4,FALSE),"")</f>
        <v/>
      </c>
      <c r="N92" s="136" t="s">
        <v>4371</v>
      </c>
    </row>
    <row r="93" spans="1:14" hidden="1">
      <c r="A93" s="139" t="str">
        <f t="shared" si="1"/>
        <v>PASILLO 6</v>
      </c>
      <c r="B93" s="93" t="s">
        <v>4372</v>
      </c>
      <c r="C93" s="11" t="str">
        <f>IFERROR(VLOOKUP(CANTIDAD[[#This Row],[Ubicación]],SAP[],3,FALSE),"")</f>
        <v/>
      </c>
      <c r="D93" s="30" t="str">
        <f>IFERROR(VLOOKUP(CANTIDAD[[#This Row],[Producto]],MARA[],3,FALSE),"")</f>
        <v/>
      </c>
      <c r="E93" s="13" t="str">
        <f>IFERROR(VLOOKUP(CANTIDAD[[#This Row],[Ubicación]],SAP[],4,FALSE),"")</f>
        <v/>
      </c>
      <c r="F93" s="13" t="str">
        <f>IFERROR(VLOOKUP(CANTIDAD[[#This Row],[Ubicación]],SAP[],8,FALSE),"")</f>
        <v/>
      </c>
      <c r="G93" s="13" t="str">
        <f>IFERROR(VLOOKUP(CANTIDAD[[#This Row],[Ubicación]],SAP[],9,FALSE),"")</f>
        <v/>
      </c>
      <c r="H93" s="13" t="str">
        <f>IFERROR(VLOOKUP(CANTIDAD[[#This Row],[Ubicación]],SAP[],5,FALSE),"")</f>
        <v/>
      </c>
      <c r="I93" s="43" t="str">
        <f>IFERROR(VLOOKUP(CANTIDAD[[#This Row],[Ubicación]],SAP[],6,FALSE),"")</f>
        <v/>
      </c>
      <c r="J93" s="13" t="str">
        <f>IFERROR(VLOOKUP(CANTIDAD[[#This Row],[Ubicación]],SAP[],7,FALSE),"")</f>
        <v/>
      </c>
      <c r="K93" s="14" t="str">
        <f>IFERROR(VLOOKUP(CANTIDAD[[#This Row],[Ubicación]],SAP[],10,FALSE),"")</f>
        <v/>
      </c>
      <c r="L93" s="48" t="str">
        <f>IFERROR(VLOOKUP(CANTIDAD[[#This Row],[Producto]],MARA[],5,FALSE),"")</f>
        <v/>
      </c>
      <c r="M93" s="48" t="str">
        <f>IFERROR(VLOOKUP(CANTIDAD[[#This Row],[Producto]],MARA[],4,FALSE),"")</f>
        <v/>
      </c>
      <c r="N93" s="136" t="s">
        <v>4373</v>
      </c>
    </row>
    <row r="94" spans="1:14" hidden="1">
      <c r="A94" s="139" t="str">
        <f t="shared" si="1"/>
        <v>PASILLO 6</v>
      </c>
      <c r="B94" s="92" t="s">
        <v>4374</v>
      </c>
      <c r="C94" s="11" t="str">
        <f>IFERROR(VLOOKUP(CANTIDAD[[#This Row],[Ubicación]],SAP[],3,FALSE),"")</f>
        <v/>
      </c>
      <c r="D94" s="29" t="str">
        <f>IFERROR(VLOOKUP(CANTIDAD[[#This Row],[Producto]],MARA[],3,FALSE),"")</f>
        <v/>
      </c>
      <c r="E94" s="11" t="str">
        <f>IFERROR(VLOOKUP(CANTIDAD[[#This Row],[Ubicación]],SAP[],4,FALSE),"")</f>
        <v/>
      </c>
      <c r="F94" s="11" t="str">
        <f>IFERROR(VLOOKUP(CANTIDAD[[#This Row],[Ubicación]],SAP[],8,FALSE),"")</f>
        <v/>
      </c>
      <c r="G94" s="11" t="str">
        <f>IFERROR(VLOOKUP(CANTIDAD[[#This Row],[Ubicación]],SAP[],9,FALSE),"")</f>
        <v/>
      </c>
      <c r="H94" s="11" t="str">
        <f>IFERROR(VLOOKUP(CANTIDAD[[#This Row],[Ubicación]],SAP[],5,FALSE),"")</f>
        <v/>
      </c>
      <c r="I94" s="42" t="str">
        <f>IFERROR(VLOOKUP(CANTIDAD[[#This Row],[Ubicación]],SAP[],6,FALSE),"")</f>
        <v/>
      </c>
      <c r="J94" s="11" t="str">
        <f>IFERROR(VLOOKUP(CANTIDAD[[#This Row],[Ubicación]],SAP[],7,FALSE),"")</f>
        <v/>
      </c>
      <c r="K94" s="11" t="str">
        <f>IFERROR(VLOOKUP(CANTIDAD[[#This Row],[Ubicación]],SAP[],10,FALSE),"")</f>
        <v/>
      </c>
      <c r="L94" s="48" t="str">
        <f>IFERROR(VLOOKUP(CANTIDAD[[#This Row],[Producto]],MARA[],5,FALSE),"")</f>
        <v/>
      </c>
      <c r="M94" s="48" t="str">
        <f>IFERROR(VLOOKUP(CANTIDAD[[#This Row],[Producto]],MARA[],4,FALSE),"")</f>
        <v/>
      </c>
      <c r="N94" s="136" t="s">
        <v>4375</v>
      </c>
    </row>
    <row r="95" spans="1:14" hidden="1">
      <c r="A95" s="139" t="str">
        <f t="shared" si="1"/>
        <v>PASILLO 6</v>
      </c>
      <c r="B95" s="93" t="s">
        <v>4376</v>
      </c>
      <c r="C95" s="11" t="str">
        <f>IFERROR(VLOOKUP(CANTIDAD[[#This Row],[Ubicación]],SAP[],3,FALSE),"")</f>
        <v/>
      </c>
      <c r="D95" s="30" t="str">
        <f>IFERROR(VLOOKUP(CANTIDAD[[#This Row],[Producto]],MARA[],3,FALSE),"")</f>
        <v/>
      </c>
      <c r="E95" s="13" t="str">
        <f>IFERROR(VLOOKUP(CANTIDAD[[#This Row],[Ubicación]],SAP[],4,FALSE),"")</f>
        <v/>
      </c>
      <c r="F95" s="13" t="str">
        <f>IFERROR(VLOOKUP(CANTIDAD[[#This Row],[Ubicación]],SAP[],8,FALSE),"")</f>
        <v/>
      </c>
      <c r="G95" s="13" t="str">
        <f>IFERROR(VLOOKUP(CANTIDAD[[#This Row],[Ubicación]],SAP[],9,FALSE),"")</f>
        <v/>
      </c>
      <c r="H95" s="13" t="str">
        <f>IFERROR(VLOOKUP(CANTIDAD[[#This Row],[Ubicación]],SAP[],5,FALSE),"")</f>
        <v/>
      </c>
      <c r="I95" s="43" t="str">
        <f>IFERROR(VLOOKUP(CANTIDAD[[#This Row],[Ubicación]],SAP[],6,FALSE),"")</f>
        <v/>
      </c>
      <c r="J95" s="13" t="str">
        <f>IFERROR(VLOOKUP(CANTIDAD[[#This Row],[Ubicación]],SAP[],7,FALSE),"")</f>
        <v/>
      </c>
      <c r="K95" s="14" t="str">
        <f>IFERROR(VLOOKUP(CANTIDAD[[#This Row],[Ubicación]],SAP[],10,FALSE),"")</f>
        <v/>
      </c>
      <c r="L95" s="48" t="str">
        <f>IFERROR(VLOOKUP(CANTIDAD[[#This Row],[Producto]],MARA[],5,FALSE),"")</f>
        <v/>
      </c>
      <c r="M95" s="48" t="str">
        <f>IFERROR(VLOOKUP(CANTIDAD[[#This Row],[Producto]],MARA[],4,FALSE),"")</f>
        <v/>
      </c>
      <c r="N95" s="136" t="s">
        <v>4377</v>
      </c>
    </row>
    <row r="96" spans="1:14" hidden="1">
      <c r="A96" s="139" t="str">
        <f t="shared" si="1"/>
        <v>PASILLO 6</v>
      </c>
      <c r="B96" s="92" t="s">
        <v>4378</v>
      </c>
      <c r="C96" s="11" t="str">
        <f>IFERROR(VLOOKUP(CANTIDAD[[#This Row],[Ubicación]],SAP[],3,FALSE),"")</f>
        <v/>
      </c>
      <c r="D96" s="29" t="str">
        <f>IFERROR(VLOOKUP(CANTIDAD[[#This Row],[Producto]],MARA[],3,FALSE),"")</f>
        <v/>
      </c>
      <c r="E96" s="11" t="str">
        <f>IFERROR(VLOOKUP(CANTIDAD[[#This Row],[Ubicación]],SAP[],4,FALSE),"")</f>
        <v/>
      </c>
      <c r="F96" s="11" t="str">
        <f>IFERROR(VLOOKUP(CANTIDAD[[#This Row],[Ubicación]],SAP[],8,FALSE),"")</f>
        <v/>
      </c>
      <c r="G96" s="11" t="str">
        <f>IFERROR(VLOOKUP(CANTIDAD[[#This Row],[Ubicación]],SAP[],9,FALSE),"")</f>
        <v/>
      </c>
      <c r="H96" s="11" t="str">
        <f>IFERROR(VLOOKUP(CANTIDAD[[#This Row],[Ubicación]],SAP[],5,FALSE),"")</f>
        <v/>
      </c>
      <c r="I96" s="42" t="str">
        <f>IFERROR(VLOOKUP(CANTIDAD[[#This Row],[Ubicación]],SAP[],6,FALSE),"")</f>
        <v/>
      </c>
      <c r="J96" s="11" t="str">
        <f>IFERROR(VLOOKUP(CANTIDAD[[#This Row],[Ubicación]],SAP[],7,FALSE),"")</f>
        <v/>
      </c>
      <c r="K96" s="11" t="str">
        <f>IFERROR(VLOOKUP(CANTIDAD[[#This Row],[Ubicación]],SAP[],10,FALSE),"")</f>
        <v/>
      </c>
      <c r="L96" s="48" t="str">
        <f>IFERROR(VLOOKUP(CANTIDAD[[#This Row],[Producto]],MARA[],5,FALSE),"")</f>
        <v/>
      </c>
      <c r="M96" s="48" t="str">
        <f>IFERROR(VLOOKUP(CANTIDAD[[#This Row],[Producto]],MARA[],4,FALSE),"")</f>
        <v/>
      </c>
      <c r="N96" s="136" t="s">
        <v>4379</v>
      </c>
    </row>
    <row r="97" spans="1:14" hidden="1">
      <c r="A97" s="139" t="str">
        <f t="shared" si="1"/>
        <v>PASILLO 6</v>
      </c>
      <c r="B97" s="93" t="s">
        <v>4380</v>
      </c>
      <c r="C97" s="11" t="str">
        <f>IFERROR(VLOOKUP(CANTIDAD[[#This Row],[Ubicación]],SAP[],3,FALSE),"")</f>
        <v/>
      </c>
      <c r="D97" s="30" t="str">
        <f>IFERROR(VLOOKUP(CANTIDAD[[#This Row],[Producto]],MARA[],3,FALSE),"")</f>
        <v/>
      </c>
      <c r="E97" s="13" t="str">
        <f>IFERROR(VLOOKUP(CANTIDAD[[#This Row],[Ubicación]],SAP[],4,FALSE),"")</f>
        <v/>
      </c>
      <c r="F97" s="13" t="str">
        <f>IFERROR(VLOOKUP(CANTIDAD[[#This Row],[Ubicación]],SAP[],8,FALSE),"")</f>
        <v/>
      </c>
      <c r="G97" s="13" t="str">
        <f>IFERROR(VLOOKUP(CANTIDAD[[#This Row],[Ubicación]],SAP[],9,FALSE),"")</f>
        <v/>
      </c>
      <c r="H97" s="13" t="str">
        <f>IFERROR(VLOOKUP(CANTIDAD[[#This Row],[Ubicación]],SAP[],5,FALSE),"")</f>
        <v/>
      </c>
      <c r="I97" s="43" t="str">
        <f>IFERROR(VLOOKUP(CANTIDAD[[#This Row],[Ubicación]],SAP[],6,FALSE),"")</f>
        <v/>
      </c>
      <c r="J97" s="13" t="str">
        <f>IFERROR(VLOOKUP(CANTIDAD[[#This Row],[Ubicación]],SAP[],7,FALSE),"")</f>
        <v/>
      </c>
      <c r="K97" s="14" t="str">
        <f>IFERROR(VLOOKUP(CANTIDAD[[#This Row],[Ubicación]],SAP[],10,FALSE),"")</f>
        <v/>
      </c>
      <c r="L97" s="48" t="str">
        <f>IFERROR(VLOOKUP(CANTIDAD[[#This Row],[Producto]],MARA[],5,FALSE),"")</f>
        <v/>
      </c>
      <c r="M97" s="48" t="str">
        <f>IFERROR(VLOOKUP(CANTIDAD[[#This Row],[Producto]],MARA[],4,FALSE),"")</f>
        <v/>
      </c>
      <c r="N97" s="136" t="s">
        <v>4381</v>
      </c>
    </row>
    <row r="98" spans="1:14" hidden="1">
      <c r="A98" s="139" t="str">
        <f t="shared" si="1"/>
        <v>PASILLO 6</v>
      </c>
      <c r="B98" s="92" t="s">
        <v>4382</v>
      </c>
      <c r="C98" s="11" t="str">
        <f>IFERROR(VLOOKUP(CANTIDAD[[#This Row],[Ubicación]],SAP[],3,FALSE),"")</f>
        <v/>
      </c>
      <c r="D98" s="29" t="str">
        <f>IFERROR(VLOOKUP(CANTIDAD[[#This Row],[Producto]],MARA[],3,FALSE),"")</f>
        <v/>
      </c>
      <c r="E98" s="11" t="str">
        <f>IFERROR(VLOOKUP(CANTIDAD[[#This Row],[Ubicación]],SAP[],4,FALSE),"")</f>
        <v/>
      </c>
      <c r="F98" s="11" t="str">
        <f>IFERROR(VLOOKUP(CANTIDAD[[#This Row],[Ubicación]],SAP[],8,FALSE),"")</f>
        <v/>
      </c>
      <c r="G98" s="11" t="str">
        <f>IFERROR(VLOOKUP(CANTIDAD[[#This Row],[Ubicación]],SAP[],9,FALSE),"")</f>
        <v/>
      </c>
      <c r="H98" s="11" t="str">
        <f>IFERROR(VLOOKUP(CANTIDAD[[#This Row],[Ubicación]],SAP[],5,FALSE),"")</f>
        <v/>
      </c>
      <c r="I98" s="42" t="str">
        <f>IFERROR(VLOOKUP(CANTIDAD[[#This Row],[Ubicación]],SAP[],6,FALSE),"")</f>
        <v/>
      </c>
      <c r="J98" s="11" t="str">
        <f>IFERROR(VLOOKUP(CANTIDAD[[#This Row],[Ubicación]],SAP[],7,FALSE),"")</f>
        <v/>
      </c>
      <c r="K98" s="11" t="str">
        <f>IFERROR(VLOOKUP(CANTIDAD[[#This Row],[Ubicación]],SAP[],10,FALSE),"")</f>
        <v/>
      </c>
      <c r="L98" s="48" t="str">
        <f>IFERROR(VLOOKUP(CANTIDAD[[#This Row],[Producto]],MARA[],5,FALSE),"")</f>
        <v/>
      </c>
      <c r="M98" s="48" t="str">
        <f>IFERROR(VLOOKUP(CANTIDAD[[#This Row],[Producto]],MARA[],4,FALSE),"")</f>
        <v/>
      </c>
      <c r="N98" s="136" t="s">
        <v>4383</v>
      </c>
    </row>
    <row r="99" spans="1:14" hidden="1">
      <c r="A99" s="139" t="str">
        <f t="shared" si="1"/>
        <v>PASILLO 6</v>
      </c>
      <c r="B99" s="93" t="s">
        <v>4384</v>
      </c>
      <c r="C99" s="11" t="str">
        <f>IFERROR(VLOOKUP(CANTIDAD[[#This Row],[Ubicación]],SAP[],3,FALSE),"")</f>
        <v/>
      </c>
      <c r="D99" s="30" t="str">
        <f>IFERROR(VLOOKUP(CANTIDAD[[#This Row],[Producto]],MARA[],3,FALSE),"")</f>
        <v/>
      </c>
      <c r="E99" s="13" t="str">
        <f>IFERROR(VLOOKUP(CANTIDAD[[#This Row],[Ubicación]],SAP[],4,FALSE),"")</f>
        <v/>
      </c>
      <c r="F99" s="13" t="str">
        <f>IFERROR(VLOOKUP(CANTIDAD[[#This Row],[Ubicación]],SAP[],8,FALSE),"")</f>
        <v/>
      </c>
      <c r="G99" s="13" t="str">
        <f>IFERROR(VLOOKUP(CANTIDAD[[#This Row],[Ubicación]],SAP[],9,FALSE),"")</f>
        <v/>
      </c>
      <c r="H99" s="13" t="str">
        <f>IFERROR(VLOOKUP(CANTIDAD[[#This Row],[Ubicación]],SAP[],5,FALSE),"")</f>
        <v/>
      </c>
      <c r="I99" s="43" t="str">
        <f>IFERROR(VLOOKUP(CANTIDAD[[#This Row],[Ubicación]],SAP[],6,FALSE),"")</f>
        <v/>
      </c>
      <c r="J99" s="13" t="str">
        <f>IFERROR(VLOOKUP(CANTIDAD[[#This Row],[Ubicación]],SAP[],7,FALSE),"")</f>
        <v/>
      </c>
      <c r="K99" s="14" t="str">
        <f>IFERROR(VLOOKUP(CANTIDAD[[#This Row],[Ubicación]],SAP[],10,FALSE),"")</f>
        <v/>
      </c>
      <c r="L99" s="48" t="str">
        <f>IFERROR(VLOOKUP(CANTIDAD[[#This Row],[Producto]],MARA[],5,FALSE),"")</f>
        <v/>
      </c>
      <c r="M99" s="48" t="str">
        <f>IFERROR(VLOOKUP(CANTIDAD[[#This Row],[Producto]],MARA[],4,FALSE),"")</f>
        <v/>
      </c>
      <c r="N99" s="136" t="s">
        <v>4385</v>
      </c>
    </row>
    <row r="100" spans="1:14" hidden="1">
      <c r="A100" s="139" t="str">
        <f t="shared" si="1"/>
        <v>PASILLO 6</v>
      </c>
      <c r="B100" s="92" t="s">
        <v>4386</v>
      </c>
      <c r="C100" s="11" t="str">
        <f>IFERROR(VLOOKUP(CANTIDAD[[#This Row],[Ubicación]],SAP[],3,FALSE),"")</f>
        <v/>
      </c>
      <c r="D100" s="29" t="str">
        <f>IFERROR(VLOOKUP(CANTIDAD[[#This Row],[Producto]],MARA[],3,FALSE),"")</f>
        <v/>
      </c>
      <c r="E100" s="11" t="str">
        <f>IFERROR(VLOOKUP(CANTIDAD[[#This Row],[Ubicación]],SAP[],4,FALSE),"")</f>
        <v/>
      </c>
      <c r="F100" s="11" t="str">
        <f>IFERROR(VLOOKUP(CANTIDAD[[#This Row],[Ubicación]],SAP[],8,FALSE),"")</f>
        <v/>
      </c>
      <c r="G100" s="11" t="str">
        <f>IFERROR(VLOOKUP(CANTIDAD[[#This Row],[Ubicación]],SAP[],9,FALSE),"")</f>
        <v/>
      </c>
      <c r="H100" s="11" t="str">
        <f>IFERROR(VLOOKUP(CANTIDAD[[#This Row],[Ubicación]],SAP[],5,FALSE),"")</f>
        <v/>
      </c>
      <c r="I100" s="42" t="str">
        <f>IFERROR(VLOOKUP(CANTIDAD[[#This Row],[Ubicación]],SAP[],6,FALSE),"")</f>
        <v/>
      </c>
      <c r="J100" s="11" t="str">
        <f>IFERROR(VLOOKUP(CANTIDAD[[#This Row],[Ubicación]],SAP[],7,FALSE),"")</f>
        <v/>
      </c>
      <c r="K100" s="11" t="str">
        <f>IFERROR(VLOOKUP(CANTIDAD[[#This Row],[Ubicación]],SAP[],10,FALSE),"")</f>
        <v/>
      </c>
      <c r="L100" s="48" t="str">
        <f>IFERROR(VLOOKUP(CANTIDAD[[#This Row],[Producto]],MARA[],5,FALSE),"")</f>
        <v/>
      </c>
      <c r="M100" s="48" t="str">
        <f>IFERROR(VLOOKUP(CANTIDAD[[#This Row],[Producto]],MARA[],4,FALSE),"")</f>
        <v/>
      </c>
      <c r="N100" s="136" t="s">
        <v>4387</v>
      </c>
    </row>
    <row r="101" spans="1:14" hidden="1">
      <c r="A101" s="139" t="str">
        <f t="shared" si="1"/>
        <v>PASILLO 6</v>
      </c>
      <c r="B101" s="93" t="s">
        <v>4388</v>
      </c>
      <c r="C101" s="11" t="str">
        <f>IFERROR(VLOOKUP(CANTIDAD[[#This Row],[Ubicación]],SAP[],3,FALSE),"")</f>
        <v/>
      </c>
      <c r="D101" s="30" t="str">
        <f>IFERROR(VLOOKUP(CANTIDAD[[#This Row],[Producto]],MARA[],3,FALSE),"")</f>
        <v/>
      </c>
      <c r="E101" s="13" t="str">
        <f>IFERROR(VLOOKUP(CANTIDAD[[#This Row],[Ubicación]],SAP[],4,FALSE),"")</f>
        <v/>
      </c>
      <c r="F101" s="13" t="str">
        <f>IFERROR(VLOOKUP(CANTIDAD[[#This Row],[Ubicación]],SAP[],8,FALSE),"")</f>
        <v/>
      </c>
      <c r="G101" s="13" t="str">
        <f>IFERROR(VLOOKUP(CANTIDAD[[#This Row],[Ubicación]],SAP[],9,FALSE),"")</f>
        <v/>
      </c>
      <c r="H101" s="13" t="str">
        <f>IFERROR(VLOOKUP(CANTIDAD[[#This Row],[Ubicación]],SAP[],5,FALSE),"")</f>
        <v/>
      </c>
      <c r="I101" s="43" t="str">
        <f>IFERROR(VLOOKUP(CANTIDAD[[#This Row],[Ubicación]],SAP[],6,FALSE),"")</f>
        <v/>
      </c>
      <c r="J101" s="13" t="str">
        <f>IFERROR(VLOOKUP(CANTIDAD[[#This Row],[Ubicación]],SAP[],7,FALSE),"")</f>
        <v/>
      </c>
      <c r="K101" s="14" t="str">
        <f>IFERROR(VLOOKUP(CANTIDAD[[#This Row],[Ubicación]],SAP[],10,FALSE),"")</f>
        <v/>
      </c>
      <c r="L101" s="48" t="str">
        <f>IFERROR(VLOOKUP(CANTIDAD[[#This Row],[Producto]],MARA[],5,FALSE),"")</f>
        <v/>
      </c>
      <c r="M101" s="48" t="str">
        <f>IFERROR(VLOOKUP(CANTIDAD[[#This Row],[Producto]],MARA[],4,FALSE),"")</f>
        <v/>
      </c>
      <c r="N101" s="136" t="s">
        <v>4389</v>
      </c>
    </row>
    <row r="102" spans="1:14" hidden="1">
      <c r="A102" s="139" t="str">
        <f t="shared" si="1"/>
        <v>PASILLO 6</v>
      </c>
      <c r="B102" s="92" t="s">
        <v>4390</v>
      </c>
      <c r="C102" s="11" t="str">
        <f>IFERROR(VLOOKUP(CANTIDAD[[#This Row],[Ubicación]],SAP[],3,FALSE),"")</f>
        <v/>
      </c>
      <c r="D102" s="29" t="str">
        <f>IFERROR(VLOOKUP(CANTIDAD[[#This Row],[Producto]],MARA[],3,FALSE),"")</f>
        <v/>
      </c>
      <c r="E102" s="11" t="str">
        <f>IFERROR(VLOOKUP(CANTIDAD[[#This Row],[Ubicación]],SAP[],4,FALSE),"")</f>
        <v/>
      </c>
      <c r="F102" s="11" t="str">
        <f>IFERROR(VLOOKUP(CANTIDAD[[#This Row],[Ubicación]],SAP[],8,FALSE),"")</f>
        <v/>
      </c>
      <c r="G102" s="11" t="str">
        <f>IFERROR(VLOOKUP(CANTIDAD[[#This Row],[Ubicación]],SAP[],9,FALSE),"")</f>
        <v/>
      </c>
      <c r="H102" s="11" t="str">
        <f>IFERROR(VLOOKUP(CANTIDAD[[#This Row],[Ubicación]],SAP[],5,FALSE),"")</f>
        <v/>
      </c>
      <c r="I102" s="42" t="str">
        <f>IFERROR(VLOOKUP(CANTIDAD[[#This Row],[Ubicación]],SAP[],6,FALSE),"")</f>
        <v/>
      </c>
      <c r="J102" s="11" t="str">
        <f>IFERROR(VLOOKUP(CANTIDAD[[#This Row],[Ubicación]],SAP[],7,FALSE),"")</f>
        <v/>
      </c>
      <c r="K102" s="11" t="str">
        <f>IFERROR(VLOOKUP(CANTIDAD[[#This Row],[Ubicación]],SAP[],10,FALSE),"")</f>
        <v/>
      </c>
      <c r="L102" s="48" t="str">
        <f>IFERROR(VLOOKUP(CANTIDAD[[#This Row],[Producto]],MARA[],5,FALSE),"")</f>
        <v/>
      </c>
      <c r="M102" s="48" t="str">
        <f>IFERROR(VLOOKUP(CANTIDAD[[#This Row],[Producto]],MARA[],4,FALSE),"")</f>
        <v/>
      </c>
      <c r="N102" s="136" t="s">
        <v>4391</v>
      </c>
    </row>
    <row r="103" spans="1:14" hidden="1">
      <c r="A103" s="139" t="str">
        <f t="shared" si="1"/>
        <v>PASILLO 6</v>
      </c>
      <c r="B103" s="93" t="s">
        <v>4392</v>
      </c>
      <c r="C103" s="11" t="str">
        <f>IFERROR(VLOOKUP(CANTIDAD[[#This Row],[Ubicación]],SAP[],3,FALSE),"")</f>
        <v/>
      </c>
      <c r="D103" s="30" t="str">
        <f>IFERROR(VLOOKUP(CANTIDAD[[#This Row],[Producto]],MARA[],3,FALSE),"")</f>
        <v/>
      </c>
      <c r="E103" s="13" t="str">
        <f>IFERROR(VLOOKUP(CANTIDAD[[#This Row],[Ubicación]],SAP[],4,FALSE),"")</f>
        <v/>
      </c>
      <c r="F103" s="13" t="str">
        <f>IFERROR(VLOOKUP(CANTIDAD[[#This Row],[Ubicación]],SAP[],8,FALSE),"")</f>
        <v/>
      </c>
      <c r="G103" s="13" t="str">
        <f>IFERROR(VLOOKUP(CANTIDAD[[#This Row],[Ubicación]],SAP[],9,FALSE),"")</f>
        <v/>
      </c>
      <c r="H103" s="13" t="str">
        <f>IFERROR(VLOOKUP(CANTIDAD[[#This Row],[Ubicación]],SAP[],5,FALSE),"")</f>
        <v/>
      </c>
      <c r="I103" s="43" t="str">
        <f>IFERROR(VLOOKUP(CANTIDAD[[#This Row],[Ubicación]],SAP[],6,FALSE),"")</f>
        <v/>
      </c>
      <c r="J103" s="13" t="str">
        <f>IFERROR(VLOOKUP(CANTIDAD[[#This Row],[Ubicación]],SAP[],7,FALSE),"")</f>
        <v/>
      </c>
      <c r="K103" s="14" t="str">
        <f>IFERROR(VLOOKUP(CANTIDAD[[#This Row],[Ubicación]],SAP[],10,FALSE),"")</f>
        <v/>
      </c>
      <c r="L103" s="48" t="str">
        <f>IFERROR(VLOOKUP(CANTIDAD[[#This Row],[Producto]],MARA[],5,FALSE),"")</f>
        <v/>
      </c>
      <c r="M103" s="48" t="str">
        <f>IFERROR(VLOOKUP(CANTIDAD[[#This Row],[Producto]],MARA[],4,FALSE),"")</f>
        <v/>
      </c>
      <c r="N103" s="136" t="s">
        <v>4393</v>
      </c>
    </row>
    <row r="104" spans="1:14" hidden="1">
      <c r="A104" s="139" t="str">
        <f t="shared" si="1"/>
        <v>PASILLO 6</v>
      </c>
      <c r="B104" s="92" t="s">
        <v>4394</v>
      </c>
      <c r="C104" s="11" t="str">
        <f>IFERROR(VLOOKUP(CANTIDAD[[#This Row],[Ubicación]],SAP[],3,FALSE),"")</f>
        <v/>
      </c>
      <c r="D104" s="29" t="str">
        <f>IFERROR(VLOOKUP(CANTIDAD[[#This Row],[Producto]],MARA[],3,FALSE),"")</f>
        <v/>
      </c>
      <c r="E104" s="11" t="str">
        <f>IFERROR(VLOOKUP(CANTIDAD[[#This Row],[Ubicación]],SAP[],4,FALSE),"")</f>
        <v/>
      </c>
      <c r="F104" s="11" t="str">
        <f>IFERROR(VLOOKUP(CANTIDAD[[#This Row],[Ubicación]],SAP[],8,FALSE),"")</f>
        <v/>
      </c>
      <c r="G104" s="11" t="str">
        <f>IFERROR(VLOOKUP(CANTIDAD[[#This Row],[Ubicación]],SAP[],9,FALSE),"")</f>
        <v/>
      </c>
      <c r="H104" s="11" t="str">
        <f>IFERROR(VLOOKUP(CANTIDAD[[#This Row],[Ubicación]],SAP[],5,FALSE),"")</f>
        <v/>
      </c>
      <c r="I104" s="42" t="str">
        <f>IFERROR(VLOOKUP(CANTIDAD[[#This Row],[Ubicación]],SAP[],6,FALSE),"")</f>
        <v/>
      </c>
      <c r="J104" s="11" t="str">
        <f>IFERROR(VLOOKUP(CANTIDAD[[#This Row],[Ubicación]],SAP[],7,FALSE),"")</f>
        <v/>
      </c>
      <c r="K104" s="11" t="str">
        <f>IFERROR(VLOOKUP(CANTIDAD[[#This Row],[Ubicación]],SAP[],10,FALSE),"")</f>
        <v/>
      </c>
      <c r="L104" s="48" t="str">
        <f>IFERROR(VLOOKUP(CANTIDAD[[#This Row],[Producto]],MARA[],5,FALSE),"")</f>
        <v/>
      </c>
      <c r="M104" s="48" t="str">
        <f>IFERROR(VLOOKUP(CANTIDAD[[#This Row],[Producto]],MARA[],4,FALSE),"")</f>
        <v/>
      </c>
      <c r="N104" s="136" t="s">
        <v>4395</v>
      </c>
    </row>
    <row r="105" spans="1:14" hidden="1">
      <c r="A105" s="139" t="str">
        <f t="shared" si="1"/>
        <v>PASILLO 6</v>
      </c>
      <c r="B105" s="93" t="s">
        <v>4396</v>
      </c>
      <c r="C105" s="11" t="str">
        <f>IFERROR(VLOOKUP(CANTIDAD[[#This Row],[Ubicación]],SAP[],3,FALSE),"")</f>
        <v/>
      </c>
      <c r="D105" s="30" t="str">
        <f>IFERROR(VLOOKUP(CANTIDAD[[#This Row],[Producto]],MARA[],3,FALSE),"")</f>
        <v/>
      </c>
      <c r="E105" s="13" t="str">
        <f>IFERROR(VLOOKUP(CANTIDAD[[#This Row],[Ubicación]],SAP[],4,FALSE),"")</f>
        <v/>
      </c>
      <c r="F105" s="13" t="str">
        <f>IFERROR(VLOOKUP(CANTIDAD[[#This Row],[Ubicación]],SAP[],8,FALSE),"")</f>
        <v/>
      </c>
      <c r="G105" s="13" t="str">
        <f>IFERROR(VLOOKUP(CANTIDAD[[#This Row],[Ubicación]],SAP[],9,FALSE),"")</f>
        <v/>
      </c>
      <c r="H105" s="13" t="str">
        <f>IFERROR(VLOOKUP(CANTIDAD[[#This Row],[Ubicación]],SAP[],5,FALSE),"")</f>
        <v/>
      </c>
      <c r="I105" s="43" t="str">
        <f>IFERROR(VLOOKUP(CANTIDAD[[#This Row],[Ubicación]],SAP[],6,FALSE),"")</f>
        <v/>
      </c>
      <c r="J105" s="13" t="str">
        <f>IFERROR(VLOOKUP(CANTIDAD[[#This Row],[Ubicación]],SAP[],7,FALSE),"")</f>
        <v/>
      </c>
      <c r="K105" s="14" t="str">
        <f>IFERROR(VLOOKUP(CANTIDAD[[#This Row],[Ubicación]],SAP[],10,FALSE),"")</f>
        <v/>
      </c>
      <c r="L105" s="48" t="str">
        <f>IFERROR(VLOOKUP(CANTIDAD[[#This Row],[Producto]],MARA[],5,FALSE),"")</f>
        <v/>
      </c>
      <c r="M105" s="48" t="str">
        <f>IFERROR(VLOOKUP(CANTIDAD[[#This Row],[Producto]],MARA[],4,FALSE),"")</f>
        <v/>
      </c>
      <c r="N105" s="136" t="s">
        <v>4397</v>
      </c>
    </row>
    <row r="106" spans="1:14" hidden="1">
      <c r="A106" s="139" t="str">
        <f t="shared" si="1"/>
        <v>PASILLO 6</v>
      </c>
      <c r="B106" s="92" t="s">
        <v>4398</v>
      </c>
      <c r="C106" s="11" t="str">
        <f>IFERROR(VLOOKUP(CANTIDAD[[#This Row],[Ubicación]],SAP[],3,FALSE),"")</f>
        <v/>
      </c>
      <c r="D106" s="29" t="str">
        <f>IFERROR(VLOOKUP(CANTIDAD[[#This Row],[Producto]],MARA[],3,FALSE),"")</f>
        <v/>
      </c>
      <c r="E106" s="11" t="str">
        <f>IFERROR(VLOOKUP(CANTIDAD[[#This Row],[Ubicación]],SAP[],4,FALSE),"")</f>
        <v/>
      </c>
      <c r="F106" s="11" t="str">
        <f>IFERROR(VLOOKUP(CANTIDAD[[#This Row],[Ubicación]],SAP[],8,FALSE),"")</f>
        <v/>
      </c>
      <c r="G106" s="11" t="str">
        <f>IFERROR(VLOOKUP(CANTIDAD[[#This Row],[Ubicación]],SAP[],9,FALSE),"")</f>
        <v/>
      </c>
      <c r="H106" s="11" t="str">
        <f>IFERROR(VLOOKUP(CANTIDAD[[#This Row],[Ubicación]],SAP[],5,FALSE),"")</f>
        <v/>
      </c>
      <c r="I106" s="42" t="str">
        <f>IFERROR(VLOOKUP(CANTIDAD[[#This Row],[Ubicación]],SAP[],6,FALSE),"")</f>
        <v/>
      </c>
      <c r="J106" s="11" t="str">
        <f>IFERROR(VLOOKUP(CANTIDAD[[#This Row],[Ubicación]],SAP[],7,FALSE),"")</f>
        <v/>
      </c>
      <c r="K106" s="11" t="str">
        <f>IFERROR(VLOOKUP(CANTIDAD[[#This Row],[Ubicación]],SAP[],10,FALSE),"")</f>
        <v/>
      </c>
      <c r="L106" s="48" t="str">
        <f>IFERROR(VLOOKUP(CANTIDAD[[#This Row],[Producto]],MARA[],5,FALSE),"")</f>
        <v/>
      </c>
      <c r="M106" s="48" t="str">
        <f>IFERROR(VLOOKUP(CANTIDAD[[#This Row],[Producto]],MARA[],4,FALSE),"")</f>
        <v/>
      </c>
      <c r="N106" s="136" t="s">
        <v>4399</v>
      </c>
    </row>
    <row r="107" spans="1:14" hidden="1">
      <c r="A107" s="139" t="str">
        <f t="shared" si="1"/>
        <v>PASILLO 6</v>
      </c>
      <c r="B107" s="93" t="s">
        <v>4400</v>
      </c>
      <c r="C107" s="11" t="str">
        <f>IFERROR(VLOOKUP(CANTIDAD[[#This Row],[Ubicación]],SAP[],3,FALSE),"")</f>
        <v/>
      </c>
      <c r="D107" s="30" t="str">
        <f>IFERROR(VLOOKUP(CANTIDAD[[#This Row],[Producto]],MARA[],3,FALSE),"")</f>
        <v/>
      </c>
      <c r="E107" s="13" t="str">
        <f>IFERROR(VLOOKUP(CANTIDAD[[#This Row],[Ubicación]],SAP[],4,FALSE),"")</f>
        <v/>
      </c>
      <c r="F107" s="13" t="str">
        <f>IFERROR(VLOOKUP(CANTIDAD[[#This Row],[Ubicación]],SAP[],8,FALSE),"")</f>
        <v/>
      </c>
      <c r="G107" s="13" t="str">
        <f>IFERROR(VLOOKUP(CANTIDAD[[#This Row],[Ubicación]],SAP[],9,FALSE),"")</f>
        <v/>
      </c>
      <c r="H107" s="13" t="str">
        <f>IFERROR(VLOOKUP(CANTIDAD[[#This Row],[Ubicación]],SAP[],5,FALSE),"")</f>
        <v/>
      </c>
      <c r="I107" s="43" t="str">
        <f>IFERROR(VLOOKUP(CANTIDAD[[#This Row],[Ubicación]],SAP[],6,FALSE),"")</f>
        <v/>
      </c>
      <c r="J107" s="13" t="str">
        <f>IFERROR(VLOOKUP(CANTIDAD[[#This Row],[Ubicación]],SAP[],7,FALSE),"")</f>
        <v/>
      </c>
      <c r="K107" s="14" t="str">
        <f>IFERROR(VLOOKUP(CANTIDAD[[#This Row],[Ubicación]],SAP[],10,FALSE),"")</f>
        <v/>
      </c>
      <c r="L107" s="48" t="str">
        <f>IFERROR(VLOOKUP(CANTIDAD[[#This Row],[Producto]],MARA[],5,FALSE),"")</f>
        <v/>
      </c>
      <c r="M107" s="48" t="str">
        <f>IFERROR(VLOOKUP(CANTIDAD[[#This Row],[Producto]],MARA[],4,FALSE),"")</f>
        <v/>
      </c>
      <c r="N107" s="136" t="s">
        <v>4401</v>
      </c>
    </row>
    <row r="108" spans="1:14" hidden="1">
      <c r="A108" s="139" t="str">
        <f t="shared" si="1"/>
        <v>PASILLO 6</v>
      </c>
      <c r="B108" s="92" t="s">
        <v>4402</v>
      </c>
      <c r="C108" s="11" t="str">
        <f>IFERROR(VLOOKUP(CANTIDAD[[#This Row],[Ubicación]],SAP[],3,FALSE),"")</f>
        <v/>
      </c>
      <c r="D108" s="29" t="str">
        <f>IFERROR(VLOOKUP(CANTIDAD[[#This Row],[Producto]],MARA[],3,FALSE),"")</f>
        <v/>
      </c>
      <c r="E108" s="11" t="str">
        <f>IFERROR(VLOOKUP(CANTIDAD[[#This Row],[Ubicación]],SAP[],4,FALSE),"")</f>
        <v/>
      </c>
      <c r="F108" s="11" t="str">
        <f>IFERROR(VLOOKUP(CANTIDAD[[#This Row],[Ubicación]],SAP[],8,FALSE),"")</f>
        <v/>
      </c>
      <c r="G108" s="11" t="str">
        <f>IFERROR(VLOOKUP(CANTIDAD[[#This Row],[Ubicación]],SAP[],9,FALSE),"")</f>
        <v/>
      </c>
      <c r="H108" s="11" t="str">
        <f>IFERROR(VLOOKUP(CANTIDAD[[#This Row],[Ubicación]],SAP[],5,FALSE),"")</f>
        <v/>
      </c>
      <c r="I108" s="42" t="str">
        <f>IFERROR(VLOOKUP(CANTIDAD[[#This Row],[Ubicación]],SAP[],6,FALSE),"")</f>
        <v/>
      </c>
      <c r="J108" s="11" t="str">
        <f>IFERROR(VLOOKUP(CANTIDAD[[#This Row],[Ubicación]],SAP[],7,FALSE),"")</f>
        <v/>
      </c>
      <c r="K108" s="11" t="str">
        <f>IFERROR(VLOOKUP(CANTIDAD[[#This Row],[Ubicación]],SAP[],10,FALSE),"")</f>
        <v/>
      </c>
      <c r="L108" s="48" t="str">
        <f>IFERROR(VLOOKUP(CANTIDAD[[#This Row],[Producto]],MARA[],5,FALSE),"")</f>
        <v/>
      </c>
      <c r="M108" s="48" t="str">
        <f>IFERROR(VLOOKUP(CANTIDAD[[#This Row],[Producto]],MARA[],4,FALSE),"")</f>
        <v/>
      </c>
      <c r="N108" s="136" t="s">
        <v>4403</v>
      </c>
    </row>
    <row r="109" spans="1:14" hidden="1">
      <c r="A109" s="139" t="str">
        <f t="shared" si="1"/>
        <v>PASILLO 6</v>
      </c>
      <c r="B109" s="93" t="s">
        <v>4404</v>
      </c>
      <c r="C109" s="11" t="str">
        <f>IFERROR(VLOOKUP(CANTIDAD[[#This Row],[Ubicación]],SAP[],3,FALSE),"")</f>
        <v/>
      </c>
      <c r="D109" s="30" t="str">
        <f>IFERROR(VLOOKUP(CANTIDAD[[#This Row],[Producto]],MARA[],3,FALSE),"")</f>
        <v/>
      </c>
      <c r="E109" s="13" t="str">
        <f>IFERROR(VLOOKUP(CANTIDAD[[#This Row],[Ubicación]],SAP[],4,FALSE),"")</f>
        <v/>
      </c>
      <c r="F109" s="13" t="str">
        <f>IFERROR(VLOOKUP(CANTIDAD[[#This Row],[Ubicación]],SAP[],8,FALSE),"")</f>
        <v/>
      </c>
      <c r="G109" s="13" t="str">
        <f>IFERROR(VLOOKUP(CANTIDAD[[#This Row],[Ubicación]],SAP[],9,FALSE),"")</f>
        <v/>
      </c>
      <c r="H109" s="13" t="str">
        <f>IFERROR(VLOOKUP(CANTIDAD[[#This Row],[Ubicación]],SAP[],5,FALSE),"")</f>
        <v/>
      </c>
      <c r="I109" s="43" t="str">
        <f>IFERROR(VLOOKUP(CANTIDAD[[#This Row],[Ubicación]],SAP[],6,FALSE),"")</f>
        <v/>
      </c>
      <c r="J109" s="13" t="str">
        <f>IFERROR(VLOOKUP(CANTIDAD[[#This Row],[Ubicación]],SAP[],7,FALSE),"")</f>
        <v/>
      </c>
      <c r="K109" s="14" t="str">
        <f>IFERROR(VLOOKUP(CANTIDAD[[#This Row],[Ubicación]],SAP[],10,FALSE),"")</f>
        <v/>
      </c>
      <c r="L109" s="48" t="str">
        <f>IFERROR(VLOOKUP(CANTIDAD[[#This Row],[Producto]],MARA[],5,FALSE),"")</f>
        <v/>
      </c>
      <c r="M109" s="48" t="str">
        <f>IFERROR(VLOOKUP(CANTIDAD[[#This Row],[Producto]],MARA[],4,FALSE),"")</f>
        <v/>
      </c>
      <c r="N109" s="136" t="s">
        <v>4405</v>
      </c>
    </row>
    <row r="110" spans="1:14" hidden="1">
      <c r="A110" s="139" t="str">
        <f t="shared" si="1"/>
        <v>PASILLO 6</v>
      </c>
      <c r="B110" s="92" t="s">
        <v>4406</v>
      </c>
      <c r="C110" s="11" t="str">
        <f>IFERROR(VLOOKUP(CANTIDAD[[#This Row],[Ubicación]],SAP[],3,FALSE),"")</f>
        <v/>
      </c>
      <c r="D110" s="29" t="str">
        <f>IFERROR(VLOOKUP(CANTIDAD[[#This Row],[Producto]],MARA[],3,FALSE),"")</f>
        <v/>
      </c>
      <c r="E110" s="11" t="str">
        <f>IFERROR(VLOOKUP(CANTIDAD[[#This Row],[Ubicación]],SAP[],4,FALSE),"")</f>
        <v/>
      </c>
      <c r="F110" s="11" t="str">
        <f>IFERROR(VLOOKUP(CANTIDAD[[#This Row],[Ubicación]],SAP[],8,FALSE),"")</f>
        <v/>
      </c>
      <c r="G110" s="11" t="str">
        <f>IFERROR(VLOOKUP(CANTIDAD[[#This Row],[Ubicación]],SAP[],9,FALSE),"")</f>
        <v/>
      </c>
      <c r="H110" s="11" t="str">
        <f>IFERROR(VLOOKUP(CANTIDAD[[#This Row],[Ubicación]],SAP[],5,FALSE),"")</f>
        <v/>
      </c>
      <c r="I110" s="42" t="str">
        <f>IFERROR(VLOOKUP(CANTIDAD[[#This Row],[Ubicación]],SAP[],6,FALSE),"")</f>
        <v/>
      </c>
      <c r="J110" s="11" t="str">
        <f>IFERROR(VLOOKUP(CANTIDAD[[#This Row],[Ubicación]],SAP[],7,FALSE),"")</f>
        <v/>
      </c>
      <c r="K110" s="11" t="str">
        <f>IFERROR(VLOOKUP(CANTIDAD[[#This Row],[Ubicación]],SAP[],10,FALSE),"")</f>
        <v/>
      </c>
      <c r="L110" s="48" t="str">
        <f>IFERROR(VLOOKUP(CANTIDAD[[#This Row],[Producto]],MARA[],5,FALSE),"")</f>
        <v/>
      </c>
      <c r="M110" s="48" t="str">
        <f>IFERROR(VLOOKUP(CANTIDAD[[#This Row],[Producto]],MARA[],4,FALSE),"")</f>
        <v/>
      </c>
      <c r="N110" s="136" t="s">
        <v>4407</v>
      </c>
    </row>
    <row r="111" spans="1:14" hidden="1">
      <c r="A111" s="139" t="str">
        <f t="shared" si="1"/>
        <v>PASILLO 6</v>
      </c>
      <c r="B111" s="93" t="s">
        <v>4408</v>
      </c>
      <c r="C111" s="11" t="str">
        <f>IFERROR(VLOOKUP(CANTIDAD[[#This Row],[Ubicación]],SAP[],3,FALSE),"")</f>
        <v/>
      </c>
      <c r="D111" s="30" t="str">
        <f>IFERROR(VLOOKUP(CANTIDAD[[#This Row],[Producto]],MARA[],3,FALSE),"")</f>
        <v/>
      </c>
      <c r="E111" s="13" t="str">
        <f>IFERROR(VLOOKUP(CANTIDAD[[#This Row],[Ubicación]],SAP[],4,FALSE),"")</f>
        <v/>
      </c>
      <c r="F111" s="13" t="str">
        <f>IFERROR(VLOOKUP(CANTIDAD[[#This Row],[Ubicación]],SAP[],8,FALSE),"")</f>
        <v/>
      </c>
      <c r="G111" s="13" t="str">
        <f>IFERROR(VLOOKUP(CANTIDAD[[#This Row],[Ubicación]],SAP[],9,FALSE),"")</f>
        <v/>
      </c>
      <c r="H111" s="13" t="str">
        <f>IFERROR(VLOOKUP(CANTIDAD[[#This Row],[Ubicación]],SAP[],5,FALSE),"")</f>
        <v/>
      </c>
      <c r="I111" s="43" t="str">
        <f>IFERROR(VLOOKUP(CANTIDAD[[#This Row],[Ubicación]],SAP[],6,FALSE),"")</f>
        <v/>
      </c>
      <c r="J111" s="13" t="str">
        <f>IFERROR(VLOOKUP(CANTIDAD[[#This Row],[Ubicación]],SAP[],7,FALSE),"")</f>
        <v/>
      </c>
      <c r="K111" s="14" t="str">
        <f>IFERROR(VLOOKUP(CANTIDAD[[#This Row],[Ubicación]],SAP[],10,FALSE),"")</f>
        <v/>
      </c>
      <c r="L111" s="48" t="str">
        <f>IFERROR(VLOOKUP(CANTIDAD[[#This Row],[Producto]],MARA[],5,FALSE),"")</f>
        <v/>
      </c>
      <c r="M111" s="48" t="str">
        <f>IFERROR(VLOOKUP(CANTIDAD[[#This Row],[Producto]],MARA[],4,FALSE),"")</f>
        <v/>
      </c>
      <c r="N111" s="136" t="s">
        <v>4409</v>
      </c>
    </row>
    <row r="112" spans="1:14" hidden="1">
      <c r="A112" s="139" t="str">
        <f t="shared" si="1"/>
        <v>PASILLO 6</v>
      </c>
      <c r="B112" s="92" t="s">
        <v>4410</v>
      </c>
      <c r="C112" s="11" t="str">
        <f>IFERROR(VLOOKUP(CANTIDAD[[#This Row],[Ubicación]],SAP[],3,FALSE),"")</f>
        <v/>
      </c>
      <c r="D112" s="29" t="str">
        <f>IFERROR(VLOOKUP(CANTIDAD[[#This Row],[Producto]],MARA[],3,FALSE),"")</f>
        <v/>
      </c>
      <c r="E112" s="11" t="str">
        <f>IFERROR(VLOOKUP(CANTIDAD[[#This Row],[Ubicación]],SAP[],4,FALSE),"")</f>
        <v/>
      </c>
      <c r="F112" s="11" t="str">
        <f>IFERROR(VLOOKUP(CANTIDAD[[#This Row],[Ubicación]],SAP[],8,FALSE),"")</f>
        <v/>
      </c>
      <c r="G112" s="11" t="str">
        <f>IFERROR(VLOOKUP(CANTIDAD[[#This Row],[Ubicación]],SAP[],9,FALSE),"")</f>
        <v/>
      </c>
      <c r="H112" s="11" t="str">
        <f>IFERROR(VLOOKUP(CANTIDAD[[#This Row],[Ubicación]],SAP[],5,FALSE),"")</f>
        <v/>
      </c>
      <c r="I112" s="42" t="str">
        <f>IFERROR(VLOOKUP(CANTIDAD[[#This Row],[Ubicación]],SAP[],6,FALSE),"")</f>
        <v/>
      </c>
      <c r="J112" s="11" t="str">
        <f>IFERROR(VLOOKUP(CANTIDAD[[#This Row],[Ubicación]],SAP[],7,FALSE),"")</f>
        <v/>
      </c>
      <c r="K112" s="11" t="str">
        <f>IFERROR(VLOOKUP(CANTIDAD[[#This Row],[Ubicación]],SAP[],10,FALSE),"")</f>
        <v/>
      </c>
      <c r="L112" s="48" t="str">
        <f>IFERROR(VLOOKUP(CANTIDAD[[#This Row],[Producto]],MARA[],5,FALSE),"")</f>
        <v/>
      </c>
      <c r="M112" s="48" t="str">
        <f>IFERROR(VLOOKUP(CANTIDAD[[#This Row],[Producto]],MARA[],4,FALSE),"")</f>
        <v/>
      </c>
      <c r="N112" s="136" t="s">
        <v>4411</v>
      </c>
    </row>
    <row r="113" spans="1:14" hidden="1">
      <c r="A113" s="139" t="str">
        <f t="shared" si="1"/>
        <v>PASILLO 6</v>
      </c>
      <c r="B113" s="93" t="s">
        <v>4412</v>
      </c>
      <c r="C113" s="11" t="str">
        <f>IFERROR(VLOOKUP(CANTIDAD[[#This Row],[Ubicación]],SAP[],3,FALSE),"")</f>
        <v/>
      </c>
      <c r="D113" s="30" t="str">
        <f>IFERROR(VLOOKUP(CANTIDAD[[#This Row],[Producto]],MARA[],3,FALSE),"")</f>
        <v/>
      </c>
      <c r="E113" s="13" t="str">
        <f>IFERROR(VLOOKUP(CANTIDAD[[#This Row],[Ubicación]],SAP[],4,FALSE),"")</f>
        <v/>
      </c>
      <c r="F113" s="13" t="str">
        <f>IFERROR(VLOOKUP(CANTIDAD[[#This Row],[Ubicación]],SAP[],8,FALSE),"")</f>
        <v/>
      </c>
      <c r="G113" s="13" t="str">
        <f>IFERROR(VLOOKUP(CANTIDAD[[#This Row],[Ubicación]],SAP[],9,FALSE),"")</f>
        <v/>
      </c>
      <c r="H113" s="13" t="str">
        <f>IFERROR(VLOOKUP(CANTIDAD[[#This Row],[Ubicación]],SAP[],5,FALSE),"")</f>
        <v/>
      </c>
      <c r="I113" s="43" t="str">
        <f>IFERROR(VLOOKUP(CANTIDAD[[#This Row],[Ubicación]],SAP[],6,FALSE),"")</f>
        <v/>
      </c>
      <c r="J113" s="13" t="str">
        <f>IFERROR(VLOOKUP(CANTIDAD[[#This Row],[Ubicación]],SAP[],7,FALSE),"")</f>
        <v/>
      </c>
      <c r="K113" s="14" t="str">
        <f>IFERROR(VLOOKUP(CANTIDAD[[#This Row],[Ubicación]],SAP[],10,FALSE),"")</f>
        <v/>
      </c>
      <c r="L113" s="48" t="str">
        <f>IFERROR(VLOOKUP(CANTIDAD[[#This Row],[Producto]],MARA[],5,FALSE),"")</f>
        <v/>
      </c>
      <c r="M113" s="48" t="str">
        <f>IFERROR(VLOOKUP(CANTIDAD[[#This Row],[Producto]],MARA[],4,FALSE),"")</f>
        <v/>
      </c>
      <c r="N113" s="136" t="s">
        <v>4413</v>
      </c>
    </row>
    <row r="114" spans="1:14" hidden="1">
      <c r="A114" s="139" t="str">
        <f t="shared" si="1"/>
        <v>PASILLO 6</v>
      </c>
      <c r="B114" s="92" t="s">
        <v>4414</v>
      </c>
      <c r="C114" s="11" t="str">
        <f>IFERROR(VLOOKUP(CANTIDAD[[#This Row],[Ubicación]],SAP[],3,FALSE),"")</f>
        <v/>
      </c>
      <c r="D114" s="29" t="str">
        <f>IFERROR(VLOOKUP(CANTIDAD[[#This Row],[Producto]],MARA[],3,FALSE),"")</f>
        <v/>
      </c>
      <c r="E114" s="11" t="str">
        <f>IFERROR(VLOOKUP(CANTIDAD[[#This Row],[Ubicación]],SAP[],4,FALSE),"")</f>
        <v/>
      </c>
      <c r="F114" s="11" t="str">
        <f>IFERROR(VLOOKUP(CANTIDAD[[#This Row],[Ubicación]],SAP[],8,FALSE),"")</f>
        <v/>
      </c>
      <c r="G114" s="11" t="str">
        <f>IFERROR(VLOOKUP(CANTIDAD[[#This Row],[Ubicación]],SAP[],9,FALSE),"")</f>
        <v/>
      </c>
      <c r="H114" s="11" t="str">
        <f>IFERROR(VLOOKUP(CANTIDAD[[#This Row],[Ubicación]],SAP[],5,FALSE),"")</f>
        <v/>
      </c>
      <c r="I114" s="42" t="str">
        <f>IFERROR(VLOOKUP(CANTIDAD[[#This Row],[Ubicación]],SAP[],6,FALSE),"")</f>
        <v/>
      </c>
      <c r="J114" s="11" t="str">
        <f>IFERROR(VLOOKUP(CANTIDAD[[#This Row],[Ubicación]],SAP[],7,FALSE),"")</f>
        <v/>
      </c>
      <c r="K114" s="11" t="str">
        <f>IFERROR(VLOOKUP(CANTIDAD[[#This Row],[Ubicación]],SAP[],10,FALSE),"")</f>
        <v/>
      </c>
      <c r="L114" s="48" t="str">
        <f>IFERROR(VLOOKUP(CANTIDAD[[#This Row],[Producto]],MARA[],5,FALSE),"")</f>
        <v/>
      </c>
      <c r="M114" s="48" t="str">
        <f>IFERROR(VLOOKUP(CANTIDAD[[#This Row],[Producto]],MARA[],4,FALSE),"")</f>
        <v/>
      </c>
      <c r="N114" s="136" t="s">
        <v>4415</v>
      </c>
    </row>
    <row r="115" spans="1:14" hidden="1">
      <c r="A115" s="139" t="str">
        <f t="shared" si="1"/>
        <v>PASILLO 6</v>
      </c>
      <c r="B115" s="93" t="s">
        <v>4416</v>
      </c>
      <c r="C115" s="11" t="str">
        <f>IFERROR(VLOOKUP(CANTIDAD[[#This Row],[Ubicación]],SAP[],3,FALSE),"")</f>
        <v/>
      </c>
      <c r="D115" s="30" t="str">
        <f>IFERROR(VLOOKUP(CANTIDAD[[#This Row],[Producto]],MARA[],3,FALSE),"")</f>
        <v/>
      </c>
      <c r="E115" s="13" t="str">
        <f>IFERROR(VLOOKUP(CANTIDAD[[#This Row],[Ubicación]],SAP[],4,FALSE),"")</f>
        <v/>
      </c>
      <c r="F115" s="13" t="str">
        <f>IFERROR(VLOOKUP(CANTIDAD[[#This Row],[Ubicación]],SAP[],8,FALSE),"")</f>
        <v/>
      </c>
      <c r="G115" s="13" t="str">
        <f>IFERROR(VLOOKUP(CANTIDAD[[#This Row],[Ubicación]],SAP[],9,FALSE),"")</f>
        <v/>
      </c>
      <c r="H115" s="13" t="str">
        <f>IFERROR(VLOOKUP(CANTIDAD[[#This Row],[Ubicación]],SAP[],5,FALSE),"")</f>
        <v/>
      </c>
      <c r="I115" s="43" t="str">
        <f>IFERROR(VLOOKUP(CANTIDAD[[#This Row],[Ubicación]],SAP[],6,FALSE),"")</f>
        <v/>
      </c>
      <c r="J115" s="13" t="str">
        <f>IFERROR(VLOOKUP(CANTIDAD[[#This Row],[Ubicación]],SAP[],7,FALSE),"")</f>
        <v/>
      </c>
      <c r="K115" s="14" t="str">
        <f>IFERROR(VLOOKUP(CANTIDAD[[#This Row],[Ubicación]],SAP[],10,FALSE),"")</f>
        <v/>
      </c>
      <c r="L115" s="48" t="str">
        <f>IFERROR(VLOOKUP(CANTIDAD[[#This Row],[Producto]],MARA[],5,FALSE),"")</f>
        <v/>
      </c>
      <c r="M115" s="48" t="str">
        <f>IFERROR(VLOOKUP(CANTIDAD[[#This Row],[Producto]],MARA[],4,FALSE),"")</f>
        <v/>
      </c>
      <c r="N115" s="136" t="s">
        <v>4417</v>
      </c>
    </row>
    <row r="116" spans="1:14" hidden="1">
      <c r="A116" s="139" t="str">
        <f t="shared" si="1"/>
        <v>PASILLO 6</v>
      </c>
      <c r="B116" s="92" t="s">
        <v>4418</v>
      </c>
      <c r="C116" s="11" t="str">
        <f>IFERROR(VLOOKUP(CANTIDAD[[#This Row],[Ubicación]],SAP[],3,FALSE),"")</f>
        <v/>
      </c>
      <c r="D116" s="29" t="str">
        <f>IFERROR(VLOOKUP(CANTIDAD[[#This Row],[Producto]],MARA[],3,FALSE),"")</f>
        <v/>
      </c>
      <c r="E116" s="11" t="str">
        <f>IFERROR(VLOOKUP(CANTIDAD[[#This Row],[Ubicación]],SAP[],4,FALSE),"")</f>
        <v/>
      </c>
      <c r="F116" s="11" t="str">
        <f>IFERROR(VLOOKUP(CANTIDAD[[#This Row],[Ubicación]],SAP[],8,FALSE),"")</f>
        <v/>
      </c>
      <c r="G116" s="11" t="str">
        <f>IFERROR(VLOOKUP(CANTIDAD[[#This Row],[Ubicación]],SAP[],9,FALSE),"")</f>
        <v/>
      </c>
      <c r="H116" s="11" t="str">
        <f>IFERROR(VLOOKUP(CANTIDAD[[#This Row],[Ubicación]],SAP[],5,FALSE),"")</f>
        <v/>
      </c>
      <c r="I116" s="42" t="str">
        <f>IFERROR(VLOOKUP(CANTIDAD[[#This Row],[Ubicación]],SAP[],6,FALSE),"")</f>
        <v/>
      </c>
      <c r="J116" s="11" t="str">
        <f>IFERROR(VLOOKUP(CANTIDAD[[#This Row],[Ubicación]],SAP[],7,FALSE),"")</f>
        <v/>
      </c>
      <c r="K116" s="11" t="str">
        <f>IFERROR(VLOOKUP(CANTIDAD[[#This Row],[Ubicación]],SAP[],10,FALSE),"")</f>
        <v/>
      </c>
      <c r="L116" s="48" t="str">
        <f>IFERROR(VLOOKUP(CANTIDAD[[#This Row],[Producto]],MARA[],5,FALSE),"")</f>
        <v/>
      </c>
      <c r="M116" s="48" t="str">
        <f>IFERROR(VLOOKUP(CANTIDAD[[#This Row],[Producto]],MARA[],4,FALSE),"")</f>
        <v/>
      </c>
      <c r="N116" s="136" t="s">
        <v>4419</v>
      </c>
    </row>
    <row r="117" spans="1:14" hidden="1">
      <c r="A117" s="139" t="str">
        <f t="shared" si="1"/>
        <v>PASILLO 6</v>
      </c>
      <c r="B117" s="93" t="s">
        <v>4420</v>
      </c>
      <c r="C117" s="11" t="str">
        <f>IFERROR(VLOOKUP(CANTIDAD[[#This Row],[Ubicación]],SAP[],3,FALSE),"")</f>
        <v/>
      </c>
      <c r="D117" s="30" t="str">
        <f>IFERROR(VLOOKUP(CANTIDAD[[#This Row],[Producto]],MARA[],3,FALSE),"")</f>
        <v/>
      </c>
      <c r="E117" s="13" t="str">
        <f>IFERROR(VLOOKUP(CANTIDAD[[#This Row],[Ubicación]],SAP[],4,FALSE),"")</f>
        <v/>
      </c>
      <c r="F117" s="13" t="str">
        <f>IFERROR(VLOOKUP(CANTIDAD[[#This Row],[Ubicación]],SAP[],8,FALSE),"")</f>
        <v/>
      </c>
      <c r="G117" s="13" t="str">
        <f>IFERROR(VLOOKUP(CANTIDAD[[#This Row],[Ubicación]],SAP[],9,FALSE),"")</f>
        <v/>
      </c>
      <c r="H117" s="13" t="str">
        <f>IFERROR(VLOOKUP(CANTIDAD[[#This Row],[Ubicación]],SAP[],5,FALSE),"")</f>
        <v/>
      </c>
      <c r="I117" s="43" t="str">
        <f>IFERROR(VLOOKUP(CANTIDAD[[#This Row],[Ubicación]],SAP[],6,FALSE),"")</f>
        <v/>
      </c>
      <c r="J117" s="13" t="str">
        <f>IFERROR(VLOOKUP(CANTIDAD[[#This Row],[Ubicación]],SAP[],7,FALSE),"")</f>
        <v/>
      </c>
      <c r="K117" s="14" t="str">
        <f>IFERROR(VLOOKUP(CANTIDAD[[#This Row],[Ubicación]],SAP[],10,FALSE),"")</f>
        <v/>
      </c>
      <c r="L117" s="48" t="str">
        <f>IFERROR(VLOOKUP(CANTIDAD[[#This Row],[Producto]],MARA[],5,FALSE),"")</f>
        <v/>
      </c>
      <c r="M117" s="48" t="str">
        <f>IFERROR(VLOOKUP(CANTIDAD[[#This Row],[Producto]],MARA[],4,FALSE),"")</f>
        <v/>
      </c>
      <c r="N117" s="136" t="s">
        <v>4421</v>
      </c>
    </row>
    <row r="118" spans="1:14" hidden="1">
      <c r="A118" s="139" t="str">
        <f t="shared" si="1"/>
        <v>PASILLO 6</v>
      </c>
      <c r="B118" s="92" t="s">
        <v>4422</v>
      </c>
      <c r="C118" s="11" t="str">
        <f>IFERROR(VLOOKUP(CANTIDAD[[#This Row],[Ubicación]],SAP[],3,FALSE),"")</f>
        <v/>
      </c>
      <c r="D118" s="29" t="str">
        <f>IFERROR(VLOOKUP(CANTIDAD[[#This Row],[Producto]],MARA[],3,FALSE),"")</f>
        <v/>
      </c>
      <c r="E118" s="11" t="str">
        <f>IFERROR(VLOOKUP(CANTIDAD[[#This Row],[Ubicación]],SAP[],4,FALSE),"")</f>
        <v/>
      </c>
      <c r="F118" s="11" t="str">
        <f>IFERROR(VLOOKUP(CANTIDAD[[#This Row],[Ubicación]],SAP[],8,FALSE),"")</f>
        <v/>
      </c>
      <c r="G118" s="11" t="str">
        <f>IFERROR(VLOOKUP(CANTIDAD[[#This Row],[Ubicación]],SAP[],9,FALSE),"")</f>
        <v/>
      </c>
      <c r="H118" s="11" t="str">
        <f>IFERROR(VLOOKUP(CANTIDAD[[#This Row],[Ubicación]],SAP[],5,FALSE),"")</f>
        <v/>
      </c>
      <c r="I118" s="42" t="str">
        <f>IFERROR(VLOOKUP(CANTIDAD[[#This Row],[Ubicación]],SAP[],6,FALSE),"")</f>
        <v/>
      </c>
      <c r="J118" s="11" t="str">
        <f>IFERROR(VLOOKUP(CANTIDAD[[#This Row],[Ubicación]],SAP[],7,FALSE),"")</f>
        <v/>
      </c>
      <c r="K118" s="11" t="str">
        <f>IFERROR(VLOOKUP(CANTIDAD[[#This Row],[Ubicación]],SAP[],10,FALSE),"")</f>
        <v/>
      </c>
      <c r="L118" s="48" t="str">
        <f>IFERROR(VLOOKUP(CANTIDAD[[#This Row],[Producto]],MARA[],5,FALSE),"")</f>
        <v/>
      </c>
      <c r="M118" s="48" t="str">
        <f>IFERROR(VLOOKUP(CANTIDAD[[#This Row],[Producto]],MARA[],4,FALSE),"")</f>
        <v/>
      </c>
      <c r="N118" s="136" t="s">
        <v>4423</v>
      </c>
    </row>
    <row r="119" spans="1:14" hidden="1">
      <c r="A119" s="139" t="str">
        <f t="shared" si="1"/>
        <v>PASILLO 6</v>
      </c>
      <c r="B119" s="93" t="s">
        <v>4424</v>
      </c>
      <c r="C119" s="11" t="str">
        <f>IFERROR(VLOOKUP(CANTIDAD[[#This Row],[Ubicación]],SAP[],3,FALSE),"")</f>
        <v/>
      </c>
      <c r="D119" s="30" t="str">
        <f>IFERROR(VLOOKUP(CANTIDAD[[#This Row],[Producto]],MARA[],3,FALSE),"")</f>
        <v/>
      </c>
      <c r="E119" s="13" t="str">
        <f>IFERROR(VLOOKUP(CANTIDAD[[#This Row],[Ubicación]],SAP[],4,FALSE),"")</f>
        <v/>
      </c>
      <c r="F119" s="13" t="str">
        <f>IFERROR(VLOOKUP(CANTIDAD[[#This Row],[Ubicación]],SAP[],8,FALSE),"")</f>
        <v/>
      </c>
      <c r="G119" s="13" t="str">
        <f>IFERROR(VLOOKUP(CANTIDAD[[#This Row],[Ubicación]],SAP[],9,FALSE),"")</f>
        <v/>
      </c>
      <c r="H119" s="13" t="str">
        <f>IFERROR(VLOOKUP(CANTIDAD[[#This Row],[Ubicación]],SAP[],5,FALSE),"")</f>
        <v/>
      </c>
      <c r="I119" s="43" t="str">
        <f>IFERROR(VLOOKUP(CANTIDAD[[#This Row],[Ubicación]],SAP[],6,FALSE),"")</f>
        <v/>
      </c>
      <c r="J119" s="13" t="str">
        <f>IFERROR(VLOOKUP(CANTIDAD[[#This Row],[Ubicación]],SAP[],7,FALSE),"")</f>
        <v/>
      </c>
      <c r="K119" s="14" t="str">
        <f>IFERROR(VLOOKUP(CANTIDAD[[#This Row],[Ubicación]],SAP[],10,FALSE),"")</f>
        <v/>
      </c>
      <c r="L119" s="48" t="str">
        <f>IFERROR(VLOOKUP(CANTIDAD[[#This Row],[Producto]],MARA[],5,FALSE),"")</f>
        <v/>
      </c>
      <c r="M119" s="48" t="str">
        <f>IFERROR(VLOOKUP(CANTIDAD[[#This Row],[Producto]],MARA[],4,FALSE),"")</f>
        <v/>
      </c>
      <c r="N119" s="136" t="s">
        <v>4425</v>
      </c>
    </row>
    <row r="120" spans="1:14" hidden="1">
      <c r="A120" s="139" t="str">
        <f t="shared" si="1"/>
        <v>PASILLO 6</v>
      </c>
      <c r="B120" s="92" t="s">
        <v>4426</v>
      </c>
      <c r="C120" s="11" t="str">
        <f>IFERROR(VLOOKUP(CANTIDAD[[#This Row],[Ubicación]],SAP[],3,FALSE),"")</f>
        <v/>
      </c>
      <c r="D120" s="29" t="str">
        <f>IFERROR(VLOOKUP(CANTIDAD[[#This Row],[Producto]],MARA[],3,FALSE),"")</f>
        <v/>
      </c>
      <c r="E120" s="11" t="str">
        <f>IFERROR(VLOOKUP(CANTIDAD[[#This Row],[Ubicación]],SAP[],4,FALSE),"")</f>
        <v/>
      </c>
      <c r="F120" s="11" t="str">
        <f>IFERROR(VLOOKUP(CANTIDAD[[#This Row],[Ubicación]],SAP[],8,FALSE),"")</f>
        <v/>
      </c>
      <c r="G120" s="11" t="str">
        <f>IFERROR(VLOOKUP(CANTIDAD[[#This Row],[Ubicación]],SAP[],9,FALSE),"")</f>
        <v/>
      </c>
      <c r="H120" s="11" t="str">
        <f>IFERROR(VLOOKUP(CANTIDAD[[#This Row],[Ubicación]],SAP[],5,FALSE),"")</f>
        <v/>
      </c>
      <c r="I120" s="42" t="str">
        <f>IFERROR(VLOOKUP(CANTIDAD[[#This Row],[Ubicación]],SAP[],6,FALSE),"")</f>
        <v/>
      </c>
      <c r="J120" s="11" t="str">
        <f>IFERROR(VLOOKUP(CANTIDAD[[#This Row],[Ubicación]],SAP[],7,FALSE),"")</f>
        <v/>
      </c>
      <c r="K120" s="11" t="str">
        <f>IFERROR(VLOOKUP(CANTIDAD[[#This Row],[Ubicación]],SAP[],10,FALSE),"")</f>
        <v/>
      </c>
      <c r="L120" s="48" t="str">
        <f>IFERROR(VLOOKUP(CANTIDAD[[#This Row],[Producto]],MARA[],5,FALSE),"")</f>
        <v/>
      </c>
      <c r="M120" s="48" t="str">
        <f>IFERROR(VLOOKUP(CANTIDAD[[#This Row],[Producto]],MARA[],4,FALSE),"")</f>
        <v/>
      </c>
      <c r="N120" s="136" t="s">
        <v>4427</v>
      </c>
    </row>
    <row r="121" spans="1:14" hidden="1">
      <c r="A121" s="139" t="str">
        <f t="shared" si="1"/>
        <v>PASILLO 6</v>
      </c>
      <c r="B121" s="93" t="s">
        <v>4428</v>
      </c>
      <c r="C121" s="11" t="str">
        <f>IFERROR(VLOOKUP(CANTIDAD[[#This Row],[Ubicación]],SAP[],3,FALSE),"")</f>
        <v/>
      </c>
      <c r="D121" s="30" t="str">
        <f>IFERROR(VLOOKUP(CANTIDAD[[#This Row],[Producto]],MARA[],3,FALSE),"")</f>
        <v/>
      </c>
      <c r="E121" s="13" t="str">
        <f>IFERROR(VLOOKUP(CANTIDAD[[#This Row],[Ubicación]],SAP[],4,FALSE),"")</f>
        <v/>
      </c>
      <c r="F121" s="13" t="str">
        <f>IFERROR(VLOOKUP(CANTIDAD[[#This Row],[Ubicación]],SAP[],8,FALSE),"")</f>
        <v/>
      </c>
      <c r="G121" s="13" t="str">
        <f>IFERROR(VLOOKUP(CANTIDAD[[#This Row],[Ubicación]],SAP[],9,FALSE),"")</f>
        <v/>
      </c>
      <c r="H121" s="13" t="str">
        <f>IFERROR(VLOOKUP(CANTIDAD[[#This Row],[Ubicación]],SAP[],5,FALSE),"")</f>
        <v/>
      </c>
      <c r="I121" s="43" t="str">
        <f>IFERROR(VLOOKUP(CANTIDAD[[#This Row],[Ubicación]],SAP[],6,FALSE),"")</f>
        <v/>
      </c>
      <c r="J121" s="13" t="str">
        <f>IFERROR(VLOOKUP(CANTIDAD[[#This Row],[Ubicación]],SAP[],7,FALSE),"")</f>
        <v/>
      </c>
      <c r="K121" s="14" t="str">
        <f>IFERROR(VLOOKUP(CANTIDAD[[#This Row],[Ubicación]],SAP[],10,FALSE),"")</f>
        <v/>
      </c>
      <c r="L121" s="48" t="str">
        <f>IFERROR(VLOOKUP(CANTIDAD[[#This Row],[Producto]],MARA[],5,FALSE),"")</f>
        <v/>
      </c>
      <c r="M121" s="48" t="str">
        <f>IFERROR(VLOOKUP(CANTIDAD[[#This Row],[Producto]],MARA[],4,FALSE),"")</f>
        <v/>
      </c>
      <c r="N121" s="136" t="s">
        <v>4429</v>
      </c>
    </row>
    <row r="122" spans="1:14" hidden="1">
      <c r="A122" s="139" t="str">
        <f t="shared" si="1"/>
        <v>PASILLO 6</v>
      </c>
      <c r="B122" s="92" t="s">
        <v>4430</v>
      </c>
      <c r="C122" s="11" t="str">
        <f>IFERROR(VLOOKUP(CANTIDAD[[#This Row],[Ubicación]],SAP[],3,FALSE),"")</f>
        <v/>
      </c>
      <c r="D122" s="29" t="str">
        <f>IFERROR(VLOOKUP(CANTIDAD[[#This Row],[Producto]],MARA[],3,FALSE),"")</f>
        <v/>
      </c>
      <c r="E122" s="11" t="str">
        <f>IFERROR(VLOOKUP(CANTIDAD[[#This Row],[Ubicación]],SAP[],4,FALSE),"")</f>
        <v/>
      </c>
      <c r="F122" s="11" t="str">
        <f>IFERROR(VLOOKUP(CANTIDAD[[#This Row],[Ubicación]],SAP[],8,FALSE),"")</f>
        <v/>
      </c>
      <c r="G122" s="11" t="str">
        <f>IFERROR(VLOOKUP(CANTIDAD[[#This Row],[Ubicación]],SAP[],9,FALSE),"")</f>
        <v/>
      </c>
      <c r="H122" s="11" t="str">
        <f>IFERROR(VLOOKUP(CANTIDAD[[#This Row],[Ubicación]],SAP[],5,FALSE),"")</f>
        <v/>
      </c>
      <c r="I122" s="42" t="str">
        <f>IFERROR(VLOOKUP(CANTIDAD[[#This Row],[Ubicación]],SAP[],6,FALSE),"")</f>
        <v/>
      </c>
      <c r="J122" s="11" t="str">
        <f>IFERROR(VLOOKUP(CANTIDAD[[#This Row],[Ubicación]],SAP[],7,FALSE),"")</f>
        <v/>
      </c>
      <c r="K122" s="11" t="str">
        <f>IFERROR(VLOOKUP(CANTIDAD[[#This Row],[Ubicación]],SAP[],10,FALSE),"")</f>
        <v/>
      </c>
      <c r="L122" s="48" t="str">
        <f>IFERROR(VLOOKUP(CANTIDAD[[#This Row],[Producto]],MARA[],5,FALSE),"")</f>
        <v/>
      </c>
      <c r="M122" s="48" t="str">
        <f>IFERROR(VLOOKUP(CANTIDAD[[#This Row],[Producto]],MARA[],4,FALSE),"")</f>
        <v/>
      </c>
      <c r="N122" s="137" t="s">
        <v>4431</v>
      </c>
    </row>
    <row r="123" spans="1:14" hidden="1">
      <c r="A123" s="139" t="str">
        <f t="shared" si="1"/>
        <v>PASILLO 6</v>
      </c>
      <c r="B123" s="93" t="s">
        <v>4432</v>
      </c>
      <c r="C123" s="11" t="str">
        <f>IFERROR(VLOOKUP(CANTIDAD[[#This Row],[Ubicación]],SAP[],3,FALSE),"")</f>
        <v/>
      </c>
      <c r="D123" s="30" t="str">
        <f>IFERROR(VLOOKUP(CANTIDAD[[#This Row],[Producto]],MARA[],3,FALSE),"")</f>
        <v/>
      </c>
      <c r="E123" s="13" t="str">
        <f>IFERROR(VLOOKUP(CANTIDAD[[#This Row],[Ubicación]],SAP[],4,FALSE),"")</f>
        <v/>
      </c>
      <c r="F123" s="13" t="str">
        <f>IFERROR(VLOOKUP(CANTIDAD[[#This Row],[Ubicación]],SAP[],8,FALSE),"")</f>
        <v/>
      </c>
      <c r="G123" s="13" t="str">
        <f>IFERROR(VLOOKUP(CANTIDAD[[#This Row],[Ubicación]],SAP[],9,FALSE),"")</f>
        <v/>
      </c>
      <c r="H123" s="13" t="str">
        <f>IFERROR(VLOOKUP(CANTIDAD[[#This Row],[Ubicación]],SAP[],5,FALSE),"")</f>
        <v/>
      </c>
      <c r="I123" s="43" t="str">
        <f>IFERROR(VLOOKUP(CANTIDAD[[#This Row],[Ubicación]],SAP[],6,FALSE),"")</f>
        <v/>
      </c>
      <c r="J123" s="13" t="str">
        <f>IFERROR(VLOOKUP(CANTIDAD[[#This Row],[Ubicación]],SAP[],7,FALSE),"")</f>
        <v/>
      </c>
      <c r="K123" s="14" t="str">
        <f>IFERROR(VLOOKUP(CANTIDAD[[#This Row],[Ubicación]],SAP[],10,FALSE),"")</f>
        <v/>
      </c>
      <c r="L123" s="48" t="str">
        <f>IFERROR(VLOOKUP(CANTIDAD[[#This Row],[Producto]],MARA[],5,FALSE),"")</f>
        <v/>
      </c>
      <c r="M123" s="48" t="str">
        <f>IFERROR(VLOOKUP(CANTIDAD[[#This Row],[Producto]],MARA[],4,FALSE),"")</f>
        <v/>
      </c>
      <c r="N123" s="136" t="s">
        <v>4433</v>
      </c>
    </row>
    <row r="124" spans="1:14" hidden="1">
      <c r="A124" s="139" t="str">
        <f t="shared" si="1"/>
        <v>PASILLO 6</v>
      </c>
      <c r="B124" s="92" t="s">
        <v>4434</v>
      </c>
      <c r="C124" s="11" t="str">
        <f>IFERROR(VLOOKUP(CANTIDAD[[#This Row],[Ubicación]],SAP[],3,FALSE),"")</f>
        <v/>
      </c>
      <c r="D124" s="29" t="str">
        <f>IFERROR(VLOOKUP(CANTIDAD[[#This Row],[Producto]],MARA[],3,FALSE),"")</f>
        <v/>
      </c>
      <c r="E124" s="11" t="str">
        <f>IFERROR(VLOOKUP(CANTIDAD[[#This Row],[Ubicación]],SAP[],4,FALSE),"")</f>
        <v/>
      </c>
      <c r="F124" s="11" t="str">
        <f>IFERROR(VLOOKUP(CANTIDAD[[#This Row],[Ubicación]],SAP[],8,FALSE),"")</f>
        <v/>
      </c>
      <c r="G124" s="11" t="str">
        <f>IFERROR(VLOOKUP(CANTIDAD[[#This Row],[Ubicación]],SAP[],9,FALSE),"")</f>
        <v/>
      </c>
      <c r="H124" s="11" t="str">
        <f>IFERROR(VLOOKUP(CANTIDAD[[#This Row],[Ubicación]],SAP[],5,FALSE),"")</f>
        <v/>
      </c>
      <c r="I124" s="42" t="str">
        <f>IFERROR(VLOOKUP(CANTIDAD[[#This Row],[Ubicación]],SAP[],6,FALSE),"")</f>
        <v/>
      </c>
      <c r="J124" s="11" t="str">
        <f>IFERROR(VLOOKUP(CANTIDAD[[#This Row],[Ubicación]],SAP[],7,FALSE),"")</f>
        <v/>
      </c>
      <c r="K124" s="11" t="str">
        <f>IFERROR(VLOOKUP(CANTIDAD[[#This Row],[Ubicación]],SAP[],10,FALSE),"")</f>
        <v/>
      </c>
      <c r="L124" s="48" t="str">
        <f>IFERROR(VLOOKUP(CANTIDAD[[#This Row],[Producto]],MARA[],5,FALSE),"")</f>
        <v/>
      </c>
      <c r="M124" s="48" t="str">
        <f>IFERROR(VLOOKUP(CANTIDAD[[#This Row],[Producto]],MARA[],4,FALSE),"")</f>
        <v/>
      </c>
      <c r="N124" s="136" t="s">
        <v>4435</v>
      </c>
    </row>
    <row r="125" spans="1:14" hidden="1">
      <c r="A125" s="139" t="str">
        <f t="shared" si="1"/>
        <v>PASILLO 6</v>
      </c>
      <c r="B125" s="93" t="s">
        <v>4436</v>
      </c>
      <c r="C125" s="11" t="str">
        <f>IFERROR(VLOOKUP(CANTIDAD[[#This Row],[Ubicación]],SAP[],3,FALSE),"")</f>
        <v/>
      </c>
      <c r="D125" s="30" t="str">
        <f>IFERROR(VLOOKUP(CANTIDAD[[#This Row],[Producto]],MARA[],3,FALSE),"")</f>
        <v/>
      </c>
      <c r="E125" s="13" t="str">
        <f>IFERROR(VLOOKUP(CANTIDAD[[#This Row],[Ubicación]],SAP[],4,FALSE),"")</f>
        <v/>
      </c>
      <c r="F125" s="13" t="str">
        <f>IFERROR(VLOOKUP(CANTIDAD[[#This Row],[Ubicación]],SAP[],8,FALSE),"")</f>
        <v/>
      </c>
      <c r="G125" s="13" t="str">
        <f>IFERROR(VLOOKUP(CANTIDAD[[#This Row],[Ubicación]],SAP[],9,FALSE),"")</f>
        <v/>
      </c>
      <c r="H125" s="13" t="str">
        <f>IFERROR(VLOOKUP(CANTIDAD[[#This Row],[Ubicación]],SAP[],5,FALSE),"")</f>
        <v/>
      </c>
      <c r="I125" s="43" t="str">
        <f>IFERROR(VLOOKUP(CANTIDAD[[#This Row],[Ubicación]],SAP[],6,FALSE),"")</f>
        <v/>
      </c>
      <c r="J125" s="13" t="str">
        <f>IFERROR(VLOOKUP(CANTIDAD[[#This Row],[Ubicación]],SAP[],7,FALSE),"")</f>
        <v/>
      </c>
      <c r="K125" s="14" t="str">
        <f>IFERROR(VLOOKUP(CANTIDAD[[#This Row],[Ubicación]],SAP[],10,FALSE),"")</f>
        <v/>
      </c>
      <c r="L125" s="48" t="str">
        <f>IFERROR(VLOOKUP(CANTIDAD[[#This Row],[Producto]],MARA[],5,FALSE),"")</f>
        <v/>
      </c>
      <c r="M125" s="48" t="str">
        <f>IFERROR(VLOOKUP(CANTIDAD[[#This Row],[Producto]],MARA[],4,FALSE),"")</f>
        <v/>
      </c>
      <c r="N125" s="136" t="s">
        <v>4437</v>
      </c>
    </row>
    <row r="126" spans="1:14" hidden="1">
      <c r="A126" s="139" t="str">
        <f t="shared" si="1"/>
        <v>PASILLO 6</v>
      </c>
      <c r="B126" s="92" t="s">
        <v>4438</v>
      </c>
      <c r="C126" s="11" t="str">
        <f>IFERROR(VLOOKUP(CANTIDAD[[#This Row],[Ubicación]],SAP[],3,FALSE),"")</f>
        <v/>
      </c>
      <c r="D126" s="29" t="str">
        <f>IFERROR(VLOOKUP(CANTIDAD[[#This Row],[Producto]],MARA[],3,FALSE),"")</f>
        <v/>
      </c>
      <c r="E126" s="11" t="str">
        <f>IFERROR(VLOOKUP(CANTIDAD[[#This Row],[Ubicación]],SAP[],4,FALSE),"")</f>
        <v/>
      </c>
      <c r="F126" s="11" t="str">
        <f>IFERROR(VLOOKUP(CANTIDAD[[#This Row],[Ubicación]],SAP[],8,FALSE),"")</f>
        <v/>
      </c>
      <c r="G126" s="11" t="str">
        <f>IFERROR(VLOOKUP(CANTIDAD[[#This Row],[Ubicación]],SAP[],9,FALSE),"")</f>
        <v/>
      </c>
      <c r="H126" s="11" t="str">
        <f>IFERROR(VLOOKUP(CANTIDAD[[#This Row],[Ubicación]],SAP[],5,FALSE),"")</f>
        <v/>
      </c>
      <c r="I126" s="42" t="str">
        <f>IFERROR(VLOOKUP(CANTIDAD[[#This Row],[Ubicación]],SAP[],6,FALSE),"")</f>
        <v/>
      </c>
      <c r="J126" s="11" t="str">
        <f>IFERROR(VLOOKUP(CANTIDAD[[#This Row],[Ubicación]],SAP[],7,FALSE),"")</f>
        <v/>
      </c>
      <c r="K126" s="11" t="str">
        <f>IFERROR(VLOOKUP(CANTIDAD[[#This Row],[Ubicación]],SAP[],10,FALSE),"")</f>
        <v/>
      </c>
      <c r="L126" s="48" t="str">
        <f>IFERROR(VLOOKUP(CANTIDAD[[#This Row],[Producto]],MARA[],5,FALSE),"")</f>
        <v/>
      </c>
      <c r="M126" s="48" t="str">
        <f>IFERROR(VLOOKUP(CANTIDAD[[#This Row],[Producto]],MARA[],4,FALSE),"")</f>
        <v/>
      </c>
      <c r="N126" s="136" t="s">
        <v>4439</v>
      </c>
    </row>
    <row r="127" spans="1:14" hidden="1">
      <c r="A127" s="139" t="str">
        <f t="shared" si="1"/>
        <v>PASILLO 6</v>
      </c>
      <c r="B127" s="93" t="s">
        <v>4440</v>
      </c>
      <c r="C127" s="11" t="str">
        <f>IFERROR(VLOOKUP(CANTIDAD[[#This Row],[Ubicación]],SAP[],3,FALSE),"")</f>
        <v/>
      </c>
      <c r="D127" s="30" t="str">
        <f>IFERROR(VLOOKUP(CANTIDAD[[#This Row],[Producto]],MARA[],3,FALSE),"")</f>
        <v/>
      </c>
      <c r="E127" s="13" t="str">
        <f>IFERROR(VLOOKUP(CANTIDAD[[#This Row],[Ubicación]],SAP[],4,FALSE),"")</f>
        <v/>
      </c>
      <c r="F127" s="13" t="str">
        <f>IFERROR(VLOOKUP(CANTIDAD[[#This Row],[Ubicación]],SAP[],8,FALSE),"")</f>
        <v/>
      </c>
      <c r="G127" s="13" t="str">
        <f>IFERROR(VLOOKUP(CANTIDAD[[#This Row],[Ubicación]],SAP[],9,FALSE),"")</f>
        <v/>
      </c>
      <c r="H127" s="13" t="str">
        <f>IFERROR(VLOOKUP(CANTIDAD[[#This Row],[Ubicación]],SAP[],5,FALSE),"")</f>
        <v/>
      </c>
      <c r="I127" s="43" t="str">
        <f>IFERROR(VLOOKUP(CANTIDAD[[#This Row],[Ubicación]],SAP[],6,FALSE),"")</f>
        <v/>
      </c>
      <c r="J127" s="13" t="str">
        <f>IFERROR(VLOOKUP(CANTIDAD[[#This Row],[Ubicación]],SAP[],7,FALSE),"")</f>
        <v/>
      </c>
      <c r="K127" s="14" t="str">
        <f>IFERROR(VLOOKUP(CANTIDAD[[#This Row],[Ubicación]],SAP[],10,FALSE),"")</f>
        <v/>
      </c>
      <c r="L127" s="48" t="str">
        <f>IFERROR(VLOOKUP(CANTIDAD[[#This Row],[Producto]],MARA[],5,FALSE),"")</f>
        <v/>
      </c>
      <c r="M127" s="48" t="str">
        <f>IFERROR(VLOOKUP(CANTIDAD[[#This Row],[Producto]],MARA[],4,FALSE),"")</f>
        <v/>
      </c>
      <c r="N127" s="136" t="s">
        <v>4441</v>
      </c>
    </row>
    <row r="128" spans="1:14" hidden="1">
      <c r="A128" s="139" t="str">
        <f t="shared" si="1"/>
        <v>PASILLO 6</v>
      </c>
      <c r="B128" s="92" t="s">
        <v>4442</v>
      </c>
      <c r="C128" s="11" t="str">
        <f>IFERROR(VLOOKUP(CANTIDAD[[#This Row],[Ubicación]],SAP[],3,FALSE),"")</f>
        <v/>
      </c>
      <c r="D128" s="29" t="str">
        <f>IFERROR(VLOOKUP(CANTIDAD[[#This Row],[Producto]],MARA[],3,FALSE),"")</f>
        <v/>
      </c>
      <c r="E128" s="11" t="str">
        <f>IFERROR(VLOOKUP(CANTIDAD[[#This Row],[Ubicación]],SAP[],4,FALSE),"")</f>
        <v/>
      </c>
      <c r="F128" s="11" t="str">
        <f>IFERROR(VLOOKUP(CANTIDAD[[#This Row],[Ubicación]],SAP[],8,FALSE),"")</f>
        <v/>
      </c>
      <c r="G128" s="11" t="str">
        <f>IFERROR(VLOOKUP(CANTIDAD[[#This Row],[Ubicación]],SAP[],9,FALSE),"")</f>
        <v/>
      </c>
      <c r="H128" s="11" t="str">
        <f>IFERROR(VLOOKUP(CANTIDAD[[#This Row],[Ubicación]],SAP[],5,FALSE),"")</f>
        <v/>
      </c>
      <c r="I128" s="42" t="str">
        <f>IFERROR(VLOOKUP(CANTIDAD[[#This Row],[Ubicación]],SAP[],6,FALSE),"")</f>
        <v/>
      </c>
      <c r="J128" s="11" t="str">
        <f>IFERROR(VLOOKUP(CANTIDAD[[#This Row],[Ubicación]],SAP[],7,FALSE),"")</f>
        <v/>
      </c>
      <c r="K128" s="11" t="str">
        <f>IFERROR(VLOOKUP(CANTIDAD[[#This Row],[Ubicación]],SAP[],10,FALSE),"")</f>
        <v/>
      </c>
      <c r="L128" s="48" t="str">
        <f>IFERROR(VLOOKUP(CANTIDAD[[#This Row],[Producto]],MARA[],5,FALSE),"")</f>
        <v/>
      </c>
      <c r="M128" s="48" t="str">
        <f>IFERROR(VLOOKUP(CANTIDAD[[#This Row],[Producto]],MARA[],4,FALSE),"")</f>
        <v/>
      </c>
      <c r="N128" s="136" t="s">
        <v>4443</v>
      </c>
    </row>
    <row r="129" spans="1:14" hidden="1">
      <c r="A129" s="139" t="str">
        <f t="shared" si="1"/>
        <v>PASILLO 6</v>
      </c>
      <c r="B129" s="93" t="s">
        <v>4444</v>
      </c>
      <c r="C129" s="11" t="str">
        <f>IFERROR(VLOOKUP(CANTIDAD[[#This Row],[Ubicación]],SAP[],3,FALSE),"")</f>
        <v/>
      </c>
      <c r="D129" s="30" t="str">
        <f>IFERROR(VLOOKUP(CANTIDAD[[#This Row],[Producto]],MARA[],3,FALSE),"")</f>
        <v/>
      </c>
      <c r="E129" s="13" t="str">
        <f>IFERROR(VLOOKUP(CANTIDAD[[#This Row],[Ubicación]],SAP[],4,FALSE),"")</f>
        <v/>
      </c>
      <c r="F129" s="13" t="str">
        <f>IFERROR(VLOOKUP(CANTIDAD[[#This Row],[Ubicación]],SAP[],8,FALSE),"")</f>
        <v/>
      </c>
      <c r="G129" s="13" t="str">
        <f>IFERROR(VLOOKUP(CANTIDAD[[#This Row],[Ubicación]],SAP[],9,FALSE),"")</f>
        <v/>
      </c>
      <c r="H129" s="13" t="str">
        <f>IFERROR(VLOOKUP(CANTIDAD[[#This Row],[Ubicación]],SAP[],5,FALSE),"")</f>
        <v/>
      </c>
      <c r="I129" s="43" t="str">
        <f>IFERROR(VLOOKUP(CANTIDAD[[#This Row],[Ubicación]],SAP[],6,FALSE),"")</f>
        <v/>
      </c>
      <c r="J129" s="13" t="str">
        <f>IFERROR(VLOOKUP(CANTIDAD[[#This Row],[Ubicación]],SAP[],7,FALSE),"")</f>
        <v/>
      </c>
      <c r="K129" s="14" t="str">
        <f>IFERROR(VLOOKUP(CANTIDAD[[#This Row],[Ubicación]],SAP[],10,FALSE),"")</f>
        <v/>
      </c>
      <c r="L129" s="48" t="str">
        <f>IFERROR(VLOOKUP(CANTIDAD[[#This Row],[Producto]],MARA[],5,FALSE),"")</f>
        <v/>
      </c>
      <c r="M129" s="48" t="str">
        <f>IFERROR(VLOOKUP(CANTIDAD[[#This Row],[Producto]],MARA[],4,FALSE),"")</f>
        <v/>
      </c>
      <c r="N129" s="136" t="s">
        <v>4445</v>
      </c>
    </row>
    <row r="130" spans="1:14" hidden="1">
      <c r="A130" s="139" t="str">
        <f t="shared" ref="A130:A193" si="2">"PASILLO " &amp; VALUE(MID(B130, 4, 2))</f>
        <v>PASILLO 6</v>
      </c>
      <c r="B130" s="92" t="s">
        <v>4446</v>
      </c>
      <c r="C130" s="11" t="str">
        <f>IFERROR(VLOOKUP(CANTIDAD[[#This Row],[Ubicación]],SAP[],3,FALSE),"")</f>
        <v/>
      </c>
      <c r="D130" s="29" t="str">
        <f>IFERROR(VLOOKUP(CANTIDAD[[#This Row],[Producto]],MARA[],3,FALSE),"")</f>
        <v/>
      </c>
      <c r="E130" s="11" t="str">
        <f>IFERROR(VLOOKUP(CANTIDAD[[#This Row],[Ubicación]],SAP[],4,FALSE),"")</f>
        <v/>
      </c>
      <c r="F130" s="11" t="str">
        <f>IFERROR(VLOOKUP(CANTIDAD[[#This Row],[Ubicación]],SAP[],8,FALSE),"")</f>
        <v/>
      </c>
      <c r="G130" s="11" t="str">
        <f>IFERROR(VLOOKUP(CANTIDAD[[#This Row],[Ubicación]],SAP[],9,FALSE),"")</f>
        <v/>
      </c>
      <c r="H130" s="11" t="str">
        <f>IFERROR(VLOOKUP(CANTIDAD[[#This Row],[Ubicación]],SAP[],5,FALSE),"")</f>
        <v/>
      </c>
      <c r="I130" s="42" t="str">
        <f>IFERROR(VLOOKUP(CANTIDAD[[#This Row],[Ubicación]],SAP[],6,FALSE),"")</f>
        <v/>
      </c>
      <c r="J130" s="11" t="str">
        <f>IFERROR(VLOOKUP(CANTIDAD[[#This Row],[Ubicación]],SAP[],7,FALSE),"")</f>
        <v/>
      </c>
      <c r="K130" s="11" t="str">
        <f>IFERROR(VLOOKUP(CANTIDAD[[#This Row],[Ubicación]],SAP[],10,FALSE),"")</f>
        <v/>
      </c>
      <c r="L130" s="48" t="str">
        <f>IFERROR(VLOOKUP(CANTIDAD[[#This Row],[Producto]],MARA[],5,FALSE),"")</f>
        <v/>
      </c>
      <c r="M130" s="48" t="str">
        <f>IFERROR(VLOOKUP(CANTIDAD[[#This Row],[Producto]],MARA[],4,FALSE),"")</f>
        <v/>
      </c>
      <c r="N130" s="136" t="s">
        <v>4447</v>
      </c>
    </row>
    <row r="131" spans="1:14" hidden="1">
      <c r="A131" s="139" t="str">
        <f t="shared" si="2"/>
        <v>PASILLO 6</v>
      </c>
      <c r="B131" s="93" t="s">
        <v>4448</v>
      </c>
      <c r="C131" s="11" t="str">
        <f>IFERROR(VLOOKUP(CANTIDAD[[#This Row],[Ubicación]],SAP[],3,FALSE),"")</f>
        <v/>
      </c>
      <c r="D131" s="30" t="str">
        <f>IFERROR(VLOOKUP(CANTIDAD[[#This Row],[Producto]],MARA[],3,FALSE),"")</f>
        <v/>
      </c>
      <c r="E131" s="13" t="str">
        <f>IFERROR(VLOOKUP(CANTIDAD[[#This Row],[Ubicación]],SAP[],4,FALSE),"")</f>
        <v/>
      </c>
      <c r="F131" s="13" t="str">
        <f>IFERROR(VLOOKUP(CANTIDAD[[#This Row],[Ubicación]],SAP[],8,FALSE),"")</f>
        <v/>
      </c>
      <c r="G131" s="13" t="str">
        <f>IFERROR(VLOOKUP(CANTIDAD[[#This Row],[Ubicación]],SAP[],9,FALSE),"")</f>
        <v/>
      </c>
      <c r="H131" s="13" t="str">
        <f>IFERROR(VLOOKUP(CANTIDAD[[#This Row],[Ubicación]],SAP[],5,FALSE),"")</f>
        <v/>
      </c>
      <c r="I131" s="43" t="str">
        <f>IFERROR(VLOOKUP(CANTIDAD[[#This Row],[Ubicación]],SAP[],6,FALSE),"")</f>
        <v/>
      </c>
      <c r="J131" s="13" t="str">
        <f>IFERROR(VLOOKUP(CANTIDAD[[#This Row],[Ubicación]],SAP[],7,FALSE),"")</f>
        <v/>
      </c>
      <c r="K131" s="14" t="str">
        <f>IFERROR(VLOOKUP(CANTIDAD[[#This Row],[Ubicación]],SAP[],10,FALSE),"")</f>
        <v/>
      </c>
      <c r="L131" s="48" t="str">
        <f>IFERROR(VLOOKUP(CANTIDAD[[#This Row],[Producto]],MARA[],5,FALSE),"")</f>
        <v/>
      </c>
      <c r="M131" s="48" t="str">
        <f>IFERROR(VLOOKUP(CANTIDAD[[#This Row],[Producto]],MARA[],4,FALSE),"")</f>
        <v/>
      </c>
      <c r="N131" s="136" t="s">
        <v>4449</v>
      </c>
    </row>
    <row r="132" spans="1:14" hidden="1">
      <c r="A132" s="139" t="str">
        <f t="shared" si="2"/>
        <v>PASILLO 6</v>
      </c>
      <c r="B132" s="92" t="s">
        <v>4450</v>
      </c>
      <c r="C132" s="11" t="str">
        <f>IFERROR(VLOOKUP(CANTIDAD[[#This Row],[Ubicación]],SAP[],3,FALSE),"")</f>
        <v/>
      </c>
      <c r="D132" s="29" t="str">
        <f>IFERROR(VLOOKUP(CANTIDAD[[#This Row],[Producto]],MARA[],3,FALSE),"")</f>
        <v/>
      </c>
      <c r="E132" s="11" t="str">
        <f>IFERROR(VLOOKUP(CANTIDAD[[#This Row],[Ubicación]],SAP[],4,FALSE),"")</f>
        <v/>
      </c>
      <c r="F132" s="11" t="str">
        <f>IFERROR(VLOOKUP(CANTIDAD[[#This Row],[Ubicación]],SAP[],8,FALSE),"")</f>
        <v/>
      </c>
      <c r="G132" s="11" t="str">
        <f>IFERROR(VLOOKUP(CANTIDAD[[#This Row],[Ubicación]],SAP[],9,FALSE),"")</f>
        <v/>
      </c>
      <c r="H132" s="11" t="str">
        <f>IFERROR(VLOOKUP(CANTIDAD[[#This Row],[Ubicación]],SAP[],5,FALSE),"")</f>
        <v/>
      </c>
      <c r="I132" s="42" t="str">
        <f>IFERROR(VLOOKUP(CANTIDAD[[#This Row],[Ubicación]],SAP[],6,FALSE),"")</f>
        <v/>
      </c>
      <c r="J132" s="11" t="str">
        <f>IFERROR(VLOOKUP(CANTIDAD[[#This Row],[Ubicación]],SAP[],7,FALSE),"")</f>
        <v/>
      </c>
      <c r="K132" s="11" t="str">
        <f>IFERROR(VLOOKUP(CANTIDAD[[#This Row],[Ubicación]],SAP[],10,FALSE),"")</f>
        <v/>
      </c>
      <c r="L132" s="48" t="str">
        <f>IFERROR(VLOOKUP(CANTIDAD[[#This Row],[Producto]],MARA[],5,FALSE),"")</f>
        <v/>
      </c>
      <c r="M132" s="48" t="str">
        <f>IFERROR(VLOOKUP(CANTIDAD[[#This Row],[Producto]],MARA[],4,FALSE),"")</f>
        <v/>
      </c>
      <c r="N132" s="136" t="s">
        <v>4451</v>
      </c>
    </row>
    <row r="133" spans="1:14" hidden="1">
      <c r="A133" s="139" t="str">
        <f t="shared" si="2"/>
        <v>PASILLO 6</v>
      </c>
      <c r="B133" s="93" t="s">
        <v>4452</v>
      </c>
      <c r="C133" s="11" t="str">
        <f>IFERROR(VLOOKUP(CANTIDAD[[#This Row],[Ubicación]],SAP[],3,FALSE),"")</f>
        <v/>
      </c>
      <c r="D133" s="30" t="str">
        <f>IFERROR(VLOOKUP(CANTIDAD[[#This Row],[Producto]],MARA[],3,FALSE),"")</f>
        <v/>
      </c>
      <c r="E133" s="13" t="str">
        <f>IFERROR(VLOOKUP(CANTIDAD[[#This Row],[Ubicación]],SAP[],4,FALSE),"")</f>
        <v/>
      </c>
      <c r="F133" s="13" t="str">
        <f>IFERROR(VLOOKUP(CANTIDAD[[#This Row],[Ubicación]],SAP[],8,FALSE),"")</f>
        <v/>
      </c>
      <c r="G133" s="13" t="str">
        <f>IFERROR(VLOOKUP(CANTIDAD[[#This Row],[Ubicación]],SAP[],9,FALSE),"")</f>
        <v/>
      </c>
      <c r="H133" s="13" t="str">
        <f>IFERROR(VLOOKUP(CANTIDAD[[#This Row],[Ubicación]],SAP[],5,FALSE),"")</f>
        <v/>
      </c>
      <c r="I133" s="43" t="str">
        <f>IFERROR(VLOOKUP(CANTIDAD[[#This Row],[Ubicación]],SAP[],6,FALSE),"")</f>
        <v/>
      </c>
      <c r="J133" s="13" t="str">
        <f>IFERROR(VLOOKUP(CANTIDAD[[#This Row],[Ubicación]],SAP[],7,FALSE),"")</f>
        <v/>
      </c>
      <c r="K133" s="14" t="str">
        <f>IFERROR(VLOOKUP(CANTIDAD[[#This Row],[Ubicación]],SAP[],10,FALSE),"")</f>
        <v/>
      </c>
      <c r="L133" s="48" t="str">
        <f>IFERROR(VLOOKUP(CANTIDAD[[#This Row],[Producto]],MARA[],5,FALSE),"")</f>
        <v/>
      </c>
      <c r="M133" s="48" t="str">
        <f>IFERROR(VLOOKUP(CANTIDAD[[#This Row],[Producto]],MARA[],4,FALSE),"")</f>
        <v/>
      </c>
      <c r="N133" s="136" t="s">
        <v>4453</v>
      </c>
    </row>
    <row r="134" spans="1:14" hidden="1">
      <c r="A134" s="139" t="str">
        <f t="shared" si="2"/>
        <v>PASILLO 6</v>
      </c>
      <c r="B134" s="92" t="s">
        <v>4454</v>
      </c>
      <c r="C134" s="11" t="str">
        <f>IFERROR(VLOOKUP(CANTIDAD[[#This Row],[Ubicación]],SAP[],3,FALSE),"")</f>
        <v/>
      </c>
      <c r="D134" s="29" t="str">
        <f>IFERROR(VLOOKUP(CANTIDAD[[#This Row],[Producto]],MARA[],3,FALSE),"")</f>
        <v/>
      </c>
      <c r="E134" s="11" t="str">
        <f>IFERROR(VLOOKUP(CANTIDAD[[#This Row],[Ubicación]],SAP[],4,FALSE),"")</f>
        <v/>
      </c>
      <c r="F134" s="11" t="str">
        <f>IFERROR(VLOOKUP(CANTIDAD[[#This Row],[Ubicación]],SAP[],8,FALSE),"")</f>
        <v/>
      </c>
      <c r="G134" s="11" t="str">
        <f>IFERROR(VLOOKUP(CANTIDAD[[#This Row],[Ubicación]],SAP[],9,FALSE),"")</f>
        <v/>
      </c>
      <c r="H134" s="11" t="str">
        <f>IFERROR(VLOOKUP(CANTIDAD[[#This Row],[Ubicación]],SAP[],5,FALSE),"")</f>
        <v/>
      </c>
      <c r="I134" s="42" t="str">
        <f>IFERROR(VLOOKUP(CANTIDAD[[#This Row],[Ubicación]],SAP[],6,FALSE),"")</f>
        <v/>
      </c>
      <c r="J134" s="11" t="str">
        <f>IFERROR(VLOOKUP(CANTIDAD[[#This Row],[Ubicación]],SAP[],7,FALSE),"")</f>
        <v/>
      </c>
      <c r="K134" s="11" t="str">
        <f>IFERROR(VLOOKUP(CANTIDAD[[#This Row],[Ubicación]],SAP[],10,FALSE),"")</f>
        <v/>
      </c>
      <c r="L134" s="48" t="str">
        <f>IFERROR(VLOOKUP(CANTIDAD[[#This Row],[Producto]],MARA[],5,FALSE),"")</f>
        <v/>
      </c>
      <c r="M134" s="48" t="str">
        <f>IFERROR(VLOOKUP(CANTIDAD[[#This Row],[Producto]],MARA[],4,FALSE),"")</f>
        <v/>
      </c>
      <c r="N134" s="136" t="s">
        <v>4455</v>
      </c>
    </row>
    <row r="135" spans="1:14" hidden="1">
      <c r="A135" s="139" t="str">
        <f t="shared" si="2"/>
        <v>PASILLO 6</v>
      </c>
      <c r="B135" s="93" t="s">
        <v>4456</v>
      </c>
      <c r="C135" s="11" t="str">
        <f>IFERROR(VLOOKUP(CANTIDAD[[#This Row],[Ubicación]],SAP[],3,FALSE),"")</f>
        <v/>
      </c>
      <c r="D135" s="30" t="str">
        <f>IFERROR(VLOOKUP(CANTIDAD[[#This Row],[Producto]],MARA[],3,FALSE),"")</f>
        <v/>
      </c>
      <c r="E135" s="13" t="str">
        <f>IFERROR(VLOOKUP(CANTIDAD[[#This Row],[Ubicación]],SAP[],4,FALSE),"")</f>
        <v/>
      </c>
      <c r="F135" s="13" t="str">
        <f>IFERROR(VLOOKUP(CANTIDAD[[#This Row],[Ubicación]],SAP[],8,FALSE),"")</f>
        <v/>
      </c>
      <c r="G135" s="13" t="str">
        <f>IFERROR(VLOOKUP(CANTIDAD[[#This Row],[Ubicación]],SAP[],9,FALSE),"")</f>
        <v/>
      </c>
      <c r="H135" s="13" t="str">
        <f>IFERROR(VLOOKUP(CANTIDAD[[#This Row],[Ubicación]],SAP[],5,FALSE),"")</f>
        <v/>
      </c>
      <c r="I135" s="43" t="str">
        <f>IFERROR(VLOOKUP(CANTIDAD[[#This Row],[Ubicación]],SAP[],6,FALSE),"")</f>
        <v/>
      </c>
      <c r="J135" s="13" t="str">
        <f>IFERROR(VLOOKUP(CANTIDAD[[#This Row],[Ubicación]],SAP[],7,FALSE),"")</f>
        <v/>
      </c>
      <c r="K135" s="14" t="str">
        <f>IFERROR(VLOOKUP(CANTIDAD[[#This Row],[Ubicación]],SAP[],10,FALSE),"")</f>
        <v/>
      </c>
      <c r="L135" s="48" t="str">
        <f>IFERROR(VLOOKUP(CANTIDAD[[#This Row],[Producto]],MARA[],5,FALSE),"")</f>
        <v/>
      </c>
      <c r="M135" s="48" t="str">
        <f>IFERROR(VLOOKUP(CANTIDAD[[#This Row],[Producto]],MARA[],4,FALSE),"")</f>
        <v/>
      </c>
      <c r="N135" s="136" t="s">
        <v>4457</v>
      </c>
    </row>
    <row r="136" spans="1:14" hidden="1">
      <c r="A136" s="139" t="str">
        <f t="shared" si="2"/>
        <v>PASILLO 6</v>
      </c>
      <c r="B136" s="92" t="s">
        <v>4458</v>
      </c>
      <c r="C136" s="11" t="str">
        <f>IFERROR(VLOOKUP(CANTIDAD[[#This Row],[Ubicación]],SAP[],3,FALSE),"")</f>
        <v/>
      </c>
      <c r="D136" s="29" t="str">
        <f>IFERROR(VLOOKUP(CANTIDAD[[#This Row],[Producto]],MARA[],3,FALSE),"")</f>
        <v/>
      </c>
      <c r="E136" s="11" t="str">
        <f>IFERROR(VLOOKUP(CANTIDAD[[#This Row],[Ubicación]],SAP[],4,FALSE),"")</f>
        <v/>
      </c>
      <c r="F136" s="11" t="str">
        <f>IFERROR(VLOOKUP(CANTIDAD[[#This Row],[Ubicación]],SAP[],8,FALSE),"")</f>
        <v/>
      </c>
      <c r="G136" s="11" t="str">
        <f>IFERROR(VLOOKUP(CANTIDAD[[#This Row],[Ubicación]],SAP[],9,FALSE),"")</f>
        <v/>
      </c>
      <c r="H136" s="11" t="str">
        <f>IFERROR(VLOOKUP(CANTIDAD[[#This Row],[Ubicación]],SAP[],5,FALSE),"")</f>
        <v/>
      </c>
      <c r="I136" s="42" t="str">
        <f>IFERROR(VLOOKUP(CANTIDAD[[#This Row],[Ubicación]],SAP[],6,FALSE),"")</f>
        <v/>
      </c>
      <c r="J136" s="11" t="str">
        <f>IFERROR(VLOOKUP(CANTIDAD[[#This Row],[Ubicación]],SAP[],7,FALSE),"")</f>
        <v/>
      </c>
      <c r="K136" s="11" t="str">
        <f>IFERROR(VLOOKUP(CANTIDAD[[#This Row],[Ubicación]],SAP[],10,FALSE),"")</f>
        <v/>
      </c>
      <c r="L136" s="48" t="str">
        <f>IFERROR(VLOOKUP(CANTIDAD[[#This Row],[Producto]],MARA[],5,FALSE),"")</f>
        <v/>
      </c>
      <c r="M136" s="48" t="str">
        <f>IFERROR(VLOOKUP(CANTIDAD[[#This Row],[Producto]],MARA[],4,FALSE),"")</f>
        <v/>
      </c>
      <c r="N136" s="136" t="s">
        <v>4459</v>
      </c>
    </row>
    <row r="137" spans="1:14" hidden="1">
      <c r="A137" s="139" t="str">
        <f t="shared" si="2"/>
        <v>PASILLO 6</v>
      </c>
      <c r="B137" s="93" t="s">
        <v>4460</v>
      </c>
      <c r="C137" s="11" t="str">
        <f>IFERROR(VLOOKUP(CANTIDAD[[#This Row],[Ubicación]],SAP[],3,FALSE),"")</f>
        <v/>
      </c>
      <c r="D137" s="30" t="str">
        <f>IFERROR(VLOOKUP(CANTIDAD[[#This Row],[Producto]],MARA[],3,FALSE),"")</f>
        <v/>
      </c>
      <c r="E137" s="13" t="str">
        <f>IFERROR(VLOOKUP(CANTIDAD[[#This Row],[Ubicación]],SAP[],4,FALSE),"")</f>
        <v/>
      </c>
      <c r="F137" s="13" t="str">
        <f>IFERROR(VLOOKUP(CANTIDAD[[#This Row],[Ubicación]],SAP[],8,FALSE),"")</f>
        <v/>
      </c>
      <c r="G137" s="13" t="str">
        <f>IFERROR(VLOOKUP(CANTIDAD[[#This Row],[Ubicación]],SAP[],9,FALSE),"")</f>
        <v/>
      </c>
      <c r="H137" s="13" t="str">
        <f>IFERROR(VLOOKUP(CANTIDAD[[#This Row],[Ubicación]],SAP[],5,FALSE),"")</f>
        <v/>
      </c>
      <c r="I137" s="43" t="str">
        <f>IFERROR(VLOOKUP(CANTIDAD[[#This Row],[Ubicación]],SAP[],6,FALSE),"")</f>
        <v/>
      </c>
      <c r="J137" s="13" t="str">
        <f>IFERROR(VLOOKUP(CANTIDAD[[#This Row],[Ubicación]],SAP[],7,FALSE),"")</f>
        <v/>
      </c>
      <c r="K137" s="14" t="str">
        <f>IFERROR(VLOOKUP(CANTIDAD[[#This Row],[Ubicación]],SAP[],10,FALSE),"")</f>
        <v/>
      </c>
      <c r="L137" s="48" t="str">
        <f>IFERROR(VLOOKUP(CANTIDAD[[#This Row],[Producto]],MARA[],5,FALSE),"")</f>
        <v/>
      </c>
      <c r="M137" s="48" t="str">
        <f>IFERROR(VLOOKUP(CANTIDAD[[#This Row],[Producto]],MARA[],4,FALSE),"")</f>
        <v/>
      </c>
      <c r="N137" s="136" t="s">
        <v>4461</v>
      </c>
    </row>
    <row r="138" spans="1:14" hidden="1">
      <c r="A138" s="139" t="str">
        <f t="shared" si="2"/>
        <v>PASILLO 6</v>
      </c>
      <c r="B138" s="92" t="s">
        <v>4462</v>
      </c>
      <c r="C138" s="11" t="str">
        <f>IFERROR(VLOOKUP(CANTIDAD[[#This Row],[Ubicación]],SAP[],3,FALSE),"")</f>
        <v/>
      </c>
      <c r="D138" s="29" t="str">
        <f>IFERROR(VLOOKUP(CANTIDAD[[#This Row],[Producto]],MARA[],3,FALSE),"")</f>
        <v/>
      </c>
      <c r="E138" s="11" t="str">
        <f>IFERROR(VLOOKUP(CANTIDAD[[#This Row],[Ubicación]],SAP[],4,FALSE),"")</f>
        <v/>
      </c>
      <c r="F138" s="11" t="str">
        <f>IFERROR(VLOOKUP(CANTIDAD[[#This Row],[Ubicación]],SAP[],8,FALSE),"")</f>
        <v/>
      </c>
      <c r="G138" s="11" t="str">
        <f>IFERROR(VLOOKUP(CANTIDAD[[#This Row],[Ubicación]],SAP[],9,FALSE),"")</f>
        <v/>
      </c>
      <c r="H138" s="11" t="str">
        <f>IFERROR(VLOOKUP(CANTIDAD[[#This Row],[Ubicación]],SAP[],5,FALSE),"")</f>
        <v/>
      </c>
      <c r="I138" s="42" t="str">
        <f>IFERROR(VLOOKUP(CANTIDAD[[#This Row],[Ubicación]],SAP[],6,FALSE),"")</f>
        <v/>
      </c>
      <c r="J138" s="11" t="str">
        <f>IFERROR(VLOOKUP(CANTIDAD[[#This Row],[Ubicación]],SAP[],7,FALSE),"")</f>
        <v/>
      </c>
      <c r="K138" s="11" t="str">
        <f>IFERROR(VLOOKUP(CANTIDAD[[#This Row],[Ubicación]],SAP[],10,FALSE),"")</f>
        <v/>
      </c>
      <c r="L138" s="48" t="str">
        <f>IFERROR(VLOOKUP(CANTIDAD[[#This Row],[Producto]],MARA[],5,FALSE),"")</f>
        <v/>
      </c>
      <c r="M138" s="48" t="str">
        <f>IFERROR(VLOOKUP(CANTIDAD[[#This Row],[Producto]],MARA[],4,FALSE),"")</f>
        <v/>
      </c>
      <c r="N138" s="136" t="s">
        <v>4463</v>
      </c>
    </row>
    <row r="139" spans="1:14" hidden="1">
      <c r="A139" s="139" t="str">
        <f t="shared" si="2"/>
        <v>PASILLO 6</v>
      </c>
      <c r="B139" s="93" t="s">
        <v>4464</v>
      </c>
      <c r="C139" s="11" t="str">
        <f>IFERROR(VLOOKUP(CANTIDAD[[#This Row],[Ubicación]],SAP[],3,FALSE),"")</f>
        <v/>
      </c>
      <c r="D139" s="30" t="str">
        <f>IFERROR(VLOOKUP(CANTIDAD[[#This Row],[Producto]],MARA[],3,FALSE),"")</f>
        <v/>
      </c>
      <c r="E139" s="13" t="str">
        <f>IFERROR(VLOOKUP(CANTIDAD[[#This Row],[Ubicación]],SAP[],4,FALSE),"")</f>
        <v/>
      </c>
      <c r="F139" s="13" t="str">
        <f>IFERROR(VLOOKUP(CANTIDAD[[#This Row],[Ubicación]],SAP[],8,FALSE),"")</f>
        <v/>
      </c>
      <c r="G139" s="13" t="str">
        <f>IFERROR(VLOOKUP(CANTIDAD[[#This Row],[Ubicación]],SAP[],9,FALSE),"")</f>
        <v/>
      </c>
      <c r="H139" s="13" t="str">
        <f>IFERROR(VLOOKUP(CANTIDAD[[#This Row],[Ubicación]],SAP[],5,FALSE),"")</f>
        <v/>
      </c>
      <c r="I139" s="43" t="str">
        <f>IFERROR(VLOOKUP(CANTIDAD[[#This Row],[Ubicación]],SAP[],6,FALSE),"")</f>
        <v/>
      </c>
      <c r="J139" s="13" t="str">
        <f>IFERROR(VLOOKUP(CANTIDAD[[#This Row],[Ubicación]],SAP[],7,FALSE),"")</f>
        <v/>
      </c>
      <c r="K139" s="14" t="str">
        <f>IFERROR(VLOOKUP(CANTIDAD[[#This Row],[Ubicación]],SAP[],10,FALSE),"")</f>
        <v/>
      </c>
      <c r="L139" s="48" t="str">
        <f>IFERROR(VLOOKUP(CANTIDAD[[#This Row],[Producto]],MARA[],5,FALSE),"")</f>
        <v/>
      </c>
      <c r="M139" s="48" t="str">
        <f>IFERROR(VLOOKUP(CANTIDAD[[#This Row],[Producto]],MARA[],4,FALSE),"")</f>
        <v/>
      </c>
      <c r="N139" s="136" t="s">
        <v>4465</v>
      </c>
    </row>
    <row r="140" spans="1:14" hidden="1">
      <c r="A140" s="139" t="str">
        <f t="shared" si="2"/>
        <v>PASILLO 6</v>
      </c>
      <c r="B140" s="92" t="s">
        <v>4466</v>
      </c>
      <c r="C140" s="11" t="str">
        <f>IFERROR(VLOOKUP(CANTIDAD[[#This Row],[Ubicación]],SAP[],3,FALSE),"")</f>
        <v/>
      </c>
      <c r="D140" s="29" t="str">
        <f>IFERROR(VLOOKUP(CANTIDAD[[#This Row],[Producto]],MARA[],3,FALSE),"")</f>
        <v/>
      </c>
      <c r="E140" s="11" t="str">
        <f>IFERROR(VLOOKUP(CANTIDAD[[#This Row],[Ubicación]],SAP[],4,FALSE),"")</f>
        <v/>
      </c>
      <c r="F140" s="11" t="str">
        <f>IFERROR(VLOOKUP(CANTIDAD[[#This Row],[Ubicación]],SAP[],8,FALSE),"")</f>
        <v/>
      </c>
      <c r="G140" s="11" t="str">
        <f>IFERROR(VLOOKUP(CANTIDAD[[#This Row],[Ubicación]],SAP[],9,FALSE),"")</f>
        <v/>
      </c>
      <c r="H140" s="11" t="str">
        <f>IFERROR(VLOOKUP(CANTIDAD[[#This Row],[Ubicación]],SAP[],5,FALSE),"")</f>
        <v/>
      </c>
      <c r="I140" s="42" t="str">
        <f>IFERROR(VLOOKUP(CANTIDAD[[#This Row],[Ubicación]],SAP[],6,FALSE),"")</f>
        <v/>
      </c>
      <c r="J140" s="11" t="str">
        <f>IFERROR(VLOOKUP(CANTIDAD[[#This Row],[Ubicación]],SAP[],7,FALSE),"")</f>
        <v/>
      </c>
      <c r="K140" s="11" t="str">
        <f>IFERROR(VLOOKUP(CANTIDAD[[#This Row],[Ubicación]],SAP[],10,FALSE),"")</f>
        <v/>
      </c>
      <c r="L140" s="48" t="str">
        <f>IFERROR(VLOOKUP(CANTIDAD[[#This Row],[Producto]],MARA[],5,FALSE),"")</f>
        <v/>
      </c>
      <c r="M140" s="48" t="str">
        <f>IFERROR(VLOOKUP(CANTIDAD[[#This Row],[Producto]],MARA[],4,FALSE),"")</f>
        <v/>
      </c>
      <c r="N140" s="136" t="s">
        <v>4467</v>
      </c>
    </row>
    <row r="141" spans="1:14" hidden="1">
      <c r="A141" s="139" t="str">
        <f t="shared" si="2"/>
        <v>PASILLO 7</v>
      </c>
      <c r="B141" s="93" t="s">
        <v>3134</v>
      </c>
      <c r="C141" s="11">
        <f>IFERROR(VLOOKUP(CANTIDAD[[#This Row],[Ubicación]],SAP[],3,FALSE),"")</f>
        <v>8300013</v>
      </c>
      <c r="D141" s="30">
        <f>IFERROR(VLOOKUP(CANTIDAD[[#This Row],[Producto]],MARA[],3,FALSE),"")</f>
        <v>7751851029292</v>
      </c>
      <c r="E141" s="13" t="str">
        <f>IFERROR(VLOOKUP(CANTIDAD[[#This Row],[Ubicación]],SAP[],4,FALSE),"")</f>
        <v>LEJIA 4.63% ORIG SAPOLIO JC 5GL 1UND</v>
      </c>
      <c r="F141" s="13">
        <f>IFERROR(VLOOKUP(CANTIDAD[[#This Row],[Ubicación]],SAP[],8,FALSE),"")</f>
        <v>19</v>
      </c>
      <c r="G141" s="13" t="str">
        <f>IFERROR(VLOOKUP(CANTIDAD[[#This Row],[Ubicación]],SAP[],9,FALSE),"")</f>
        <v>UND</v>
      </c>
      <c r="H141" s="13">
        <f>IFERROR(VLOOKUP(CANTIDAD[[#This Row],[Ubicación]],SAP[],5,FALSE),"")</f>
        <v>2608045060</v>
      </c>
      <c r="I141" s="43">
        <f>IFERROR(VLOOKUP(CANTIDAD[[#This Row],[Ubicación]],SAP[],6,FALSE),"")</f>
        <v>46485</v>
      </c>
      <c r="J141" s="13" t="str">
        <f>IFERROR(VLOOKUP(CANTIDAD[[#This Row],[Ubicación]],SAP[],7,FALSE),"")</f>
        <v>1F</v>
      </c>
      <c r="K141" s="14">
        <f>IFERROR(VLOOKUP(CANTIDAD[[#This Row],[Ubicación]],SAP[],10,FALSE),"")</f>
        <v>19</v>
      </c>
      <c r="L141" s="48">
        <f>IFERROR(VLOOKUP(CANTIDAD[[#This Row],[Producto]],MARA[],5,FALSE),"")</f>
        <v>17</v>
      </c>
      <c r="M141" s="48" t="str">
        <f>IFERROR(VLOOKUP(CANTIDAD[[#This Row],[Producto]],MARA[],4,FALSE),"")</f>
        <v>UND</v>
      </c>
      <c r="N141" s="136" t="s">
        <v>4468</v>
      </c>
    </row>
    <row r="142" spans="1:14" hidden="1">
      <c r="A142" s="139" t="str">
        <f t="shared" si="2"/>
        <v>PASILLO 7</v>
      </c>
      <c r="B142" s="92" t="s">
        <v>3253</v>
      </c>
      <c r="C142" s="11">
        <f>IFERROR(VLOOKUP(CANTIDAD[[#This Row],[Ubicación]],SAP[],3,FALSE),"")</f>
        <v>8303047</v>
      </c>
      <c r="D142" s="29">
        <f>IFERROR(VLOOKUP(CANTIDAD[[#This Row],[Producto]],MARA[],3,FALSE),"")</f>
        <v>7751851028998</v>
      </c>
      <c r="E142" s="11" t="str">
        <f>IFERROR(VLOOKUP(CANTIDAD[[#This Row],[Ubicación]],SAP[],4,FALSE),"")</f>
        <v>DET.LIQUIDO FLORES SAP. JC 5GL 1UND</v>
      </c>
      <c r="F142" s="11">
        <f>IFERROR(VLOOKUP(CANTIDAD[[#This Row],[Ubicación]],SAP[],8,FALSE),"")</f>
        <v>34</v>
      </c>
      <c r="G142" s="11" t="str">
        <f>IFERROR(VLOOKUP(CANTIDAD[[#This Row],[Ubicación]],SAP[],9,FALSE),"")</f>
        <v>UND</v>
      </c>
      <c r="H142" s="11">
        <f>IFERROR(VLOOKUP(CANTIDAD[[#This Row],[Ubicación]],SAP[],5,FALSE),"")</f>
        <v>2607235060</v>
      </c>
      <c r="I142" s="42" t="str">
        <f>IFERROR(VLOOKUP(CANTIDAD[[#This Row],[Ubicación]],SAP[],6,FALSE),"")</f>
        <v>24/07/2029</v>
      </c>
      <c r="J142" s="11" t="str">
        <f>IFERROR(VLOOKUP(CANTIDAD[[#This Row],[Ubicación]],SAP[],7,FALSE),"")</f>
        <v>1F</v>
      </c>
      <c r="K142" s="11">
        <f>IFERROR(VLOOKUP(CANTIDAD[[#This Row],[Ubicación]],SAP[],10,FALSE),"")</f>
        <v>34</v>
      </c>
      <c r="L142" s="48">
        <f>IFERROR(VLOOKUP(CANTIDAD[[#This Row],[Producto]],MARA[],5,FALSE),"")</f>
        <v>17</v>
      </c>
      <c r="M142" s="48" t="str">
        <f>IFERROR(VLOOKUP(CANTIDAD[[#This Row],[Producto]],MARA[],4,FALSE),"")</f>
        <v>UND</v>
      </c>
      <c r="N142" s="136" t="s">
        <v>4469</v>
      </c>
    </row>
    <row r="143" spans="1:14" hidden="1">
      <c r="A143" s="139" t="str">
        <f t="shared" si="2"/>
        <v>PASILLO 7</v>
      </c>
      <c r="B143" s="93" t="s">
        <v>4076</v>
      </c>
      <c r="C143" s="11">
        <f>IFERROR(VLOOKUP(CANTIDAD[[#This Row],[Ubicación]],SAP[],3,FALSE),"")</f>
        <v>8414023</v>
      </c>
      <c r="D143" s="30">
        <f>IFERROR(VLOOKUP(CANTIDAD[[#This Row],[Producto]],MARA[],3,FALSE),"")</f>
        <v>7750243073486</v>
      </c>
      <c r="E143" s="13" t="str">
        <f>IFERROR(VLOOKUP(CANTIDAD[[#This Row],[Ubicación]],SAP[],4,FALSE),"")</f>
        <v>DET. LÍQ. KLINTEX QUITAPRO 5GL</v>
      </c>
      <c r="F143" s="13">
        <f>IFERROR(VLOOKUP(CANTIDAD[[#This Row],[Ubicación]],SAP[],8,FALSE),"")</f>
        <v>29</v>
      </c>
      <c r="G143" s="13" t="str">
        <f>IFERROR(VLOOKUP(CANTIDAD[[#This Row],[Ubicación]],SAP[],9,FALSE),"")</f>
        <v>UND</v>
      </c>
      <c r="H143" s="13">
        <f>IFERROR(VLOOKUP(CANTIDAD[[#This Row],[Ubicación]],SAP[],5,FALSE),"")</f>
        <v>2608195060</v>
      </c>
      <c r="I143" s="43" t="str">
        <f>IFERROR(VLOOKUP(CANTIDAD[[#This Row],[Ubicación]],SAP[],6,FALSE),"")</f>
        <v>19/08/2029</v>
      </c>
      <c r="J143" s="13" t="str">
        <f>IFERROR(VLOOKUP(CANTIDAD[[#This Row],[Ubicación]],SAP[],7,FALSE),"")</f>
        <v>1F</v>
      </c>
      <c r="K143" s="14">
        <f>IFERROR(VLOOKUP(CANTIDAD[[#This Row],[Ubicación]],SAP[],10,FALSE),"")</f>
        <v>29</v>
      </c>
      <c r="L143" s="48">
        <f>IFERROR(VLOOKUP(CANTIDAD[[#This Row],[Producto]],MARA[],5,FALSE),"")</f>
        <v>17</v>
      </c>
      <c r="M143" s="48" t="str">
        <f>IFERROR(VLOOKUP(CANTIDAD[[#This Row],[Producto]],MARA[],4,FALSE),"")</f>
        <v>UND</v>
      </c>
      <c r="N143" s="136" t="s">
        <v>4470</v>
      </c>
    </row>
    <row r="144" spans="1:14" hidden="1">
      <c r="A144" s="139" t="str">
        <f t="shared" si="2"/>
        <v>PASILLO 7</v>
      </c>
      <c r="B144" s="92" t="s">
        <v>3227</v>
      </c>
      <c r="C144" s="11">
        <f>IFERROR(VLOOKUP(CANTIDAD[[#This Row],[Ubicación]],SAP[],3,FALSE),"")</f>
        <v>8303007</v>
      </c>
      <c r="D144" s="29">
        <f>IFERROR(VLOOKUP(CANTIDAD[[#This Row],[Producto]],MARA[],3,FALSE),"")</f>
        <v>17751851022016</v>
      </c>
      <c r="E144" s="11" t="str">
        <f>IFERROR(VLOOKUP(CANTIDAD[[#This Row],[Ubicación]],SAP[],4,FALSE),"")</f>
        <v>DET.LIQUIDO FRESCO LIMON SAP. 5L 4UND</v>
      </c>
      <c r="F144" s="11">
        <f>IFERROR(VLOOKUP(CANTIDAD[[#This Row],[Ubicación]],SAP[],8,FALSE),"")</f>
        <v>7</v>
      </c>
      <c r="G144" s="11" t="str">
        <f>IFERROR(VLOOKUP(CANTIDAD[[#This Row],[Ubicación]],SAP[],9,FALSE),"")</f>
        <v>CJA</v>
      </c>
      <c r="H144" s="11">
        <f>IFERROR(VLOOKUP(CANTIDAD[[#This Row],[Ubicación]],SAP[],5,FALSE),"")</f>
        <v>2606045060</v>
      </c>
      <c r="I144" s="42">
        <f>IFERROR(VLOOKUP(CANTIDAD[[#This Row],[Ubicación]],SAP[],6,FALSE),"")</f>
        <v>46849</v>
      </c>
      <c r="J144" s="11" t="str">
        <f>IFERROR(VLOOKUP(CANTIDAD[[#This Row],[Ubicación]],SAP[],7,FALSE),"")</f>
        <v>1F</v>
      </c>
      <c r="K144" s="11">
        <f>IFERROR(VLOOKUP(CANTIDAD[[#This Row],[Ubicación]],SAP[],10,FALSE),"")</f>
        <v>28</v>
      </c>
      <c r="L144" s="48">
        <f>IFERROR(VLOOKUP(CANTIDAD[[#This Row],[Producto]],MARA[],5,FALSE),"")</f>
        <v>9</v>
      </c>
      <c r="M144" s="48" t="str">
        <f>IFERROR(VLOOKUP(CANTIDAD[[#This Row],[Producto]],MARA[],4,FALSE),"")</f>
        <v>CJA</v>
      </c>
      <c r="N144" s="136" t="s">
        <v>4471</v>
      </c>
    </row>
    <row r="145" spans="1:14" hidden="1">
      <c r="A145" s="139" t="str">
        <f t="shared" si="2"/>
        <v>PASILLO 7</v>
      </c>
      <c r="B145" s="93" t="s">
        <v>3289</v>
      </c>
      <c r="C145" s="11">
        <f>IFERROR(VLOOKUP(CANTIDAD[[#This Row],[Ubicación]],SAP[],3,FALSE),"")</f>
        <v>8305191</v>
      </c>
      <c r="D145" s="30">
        <f>IFERROR(VLOOKUP(CANTIDAD[[#This Row],[Producto]],MARA[],3,FALSE),"")</f>
        <v>17750243080535</v>
      </c>
      <c r="E145" s="13" t="str">
        <f>IFERROR(VLOOKUP(CANTIDAD[[#This Row],[Ubicación]],SAP[],4,FALSE),"")</f>
        <v>SAP.PROF.LAVAV. LIQ. LIMÓN 5L 4FCO</v>
      </c>
      <c r="F145" s="13">
        <f>IFERROR(VLOOKUP(CANTIDAD[[#This Row],[Ubicación]],SAP[],8,FALSE),"")</f>
        <v>19</v>
      </c>
      <c r="G145" s="13" t="str">
        <f>IFERROR(VLOOKUP(CANTIDAD[[#This Row],[Ubicación]],SAP[],9,FALSE),"")</f>
        <v>CJA</v>
      </c>
      <c r="H145" s="13">
        <f>IFERROR(VLOOKUP(CANTIDAD[[#This Row],[Ubicación]],SAP[],5,FALSE),"")</f>
        <v>2509245060</v>
      </c>
      <c r="I145" s="43" t="str">
        <f>IFERROR(VLOOKUP(CANTIDAD[[#This Row],[Ubicación]],SAP[],6,FALSE),"")</f>
        <v>24/09/2028</v>
      </c>
      <c r="J145" s="13" t="str">
        <f>IFERROR(VLOOKUP(CANTIDAD[[#This Row],[Ubicación]],SAP[],7,FALSE),"")</f>
        <v>1F</v>
      </c>
      <c r="K145" s="14">
        <f>IFERROR(VLOOKUP(CANTIDAD[[#This Row],[Ubicación]],SAP[],10,FALSE),"")</f>
        <v>76</v>
      </c>
      <c r="L145" s="48">
        <f>IFERROR(VLOOKUP(CANTIDAD[[#This Row],[Producto]],MARA[],5,FALSE),"")</f>
        <v>9</v>
      </c>
      <c r="M145" s="48" t="str">
        <f>IFERROR(VLOOKUP(CANTIDAD[[#This Row],[Producto]],MARA[],4,FALSE),"")</f>
        <v>CJA</v>
      </c>
      <c r="N145" s="136" t="s">
        <v>4472</v>
      </c>
    </row>
    <row r="146" spans="1:14" hidden="1">
      <c r="A146" s="139" t="str">
        <f t="shared" si="2"/>
        <v>PASILLO 7</v>
      </c>
      <c r="B146" s="92" t="s">
        <v>3292</v>
      </c>
      <c r="C146" s="11">
        <f>IFERROR(VLOOKUP(CANTIDAD[[#This Row],[Ubicación]],SAP[],3,FALSE),"")</f>
        <v>8305192</v>
      </c>
      <c r="D146" s="29">
        <f>IFERROR(VLOOKUP(CANTIDAD[[#This Row],[Producto]],MARA[],3,FALSE),"")</f>
        <v>17750243080542</v>
      </c>
      <c r="E146" s="11" t="str">
        <f>IFERROR(VLOOKUP(CANTIDAD[[#This Row],[Ubicación]],SAP[],4,FALSE),"")</f>
        <v>SAP.PROF.LAVAV. LIQ. MANZANA 5L 4FCO</v>
      </c>
      <c r="F146" s="11">
        <f>IFERROR(VLOOKUP(CANTIDAD[[#This Row],[Ubicación]],SAP[],8,FALSE),"")</f>
        <v>10</v>
      </c>
      <c r="G146" s="11" t="str">
        <f>IFERROR(VLOOKUP(CANTIDAD[[#This Row],[Ubicación]],SAP[],9,FALSE),"")</f>
        <v>CJA</v>
      </c>
      <c r="H146" s="11">
        <f>IFERROR(VLOOKUP(CANTIDAD[[#This Row],[Ubicación]],SAP[],5,FALSE),"")</f>
        <v>2509045060</v>
      </c>
      <c r="I146" s="42">
        <f>IFERROR(VLOOKUP(CANTIDAD[[#This Row],[Ubicación]],SAP[],6,FALSE),"")</f>
        <v>46852</v>
      </c>
      <c r="J146" s="11" t="str">
        <f>IFERROR(VLOOKUP(CANTIDAD[[#This Row],[Ubicación]],SAP[],7,FALSE),"")</f>
        <v>1F</v>
      </c>
      <c r="K146" s="11">
        <f>IFERROR(VLOOKUP(CANTIDAD[[#This Row],[Ubicación]],SAP[],10,FALSE),"")</f>
        <v>40</v>
      </c>
      <c r="L146" s="48">
        <f>IFERROR(VLOOKUP(CANTIDAD[[#This Row],[Producto]],MARA[],5,FALSE),"")</f>
        <v>9</v>
      </c>
      <c r="M146" s="48" t="str">
        <f>IFERROR(VLOOKUP(CANTIDAD[[#This Row],[Producto]],MARA[],4,FALSE),"")</f>
        <v>CJA</v>
      </c>
      <c r="N146" s="136" t="s">
        <v>4473</v>
      </c>
    </row>
    <row r="147" spans="1:14" hidden="1">
      <c r="A147" s="139" t="str">
        <f t="shared" si="2"/>
        <v>PASILLO 7</v>
      </c>
      <c r="B147" s="93" t="s">
        <v>3656</v>
      </c>
      <c r="C147" s="11">
        <f>IFERROR(VLOOKUP(CANTIDAD[[#This Row],[Ubicación]],SAP[],3,FALSE),"")</f>
        <v>8317173</v>
      </c>
      <c r="D147" s="30">
        <f>IFERROR(VLOOKUP(CANTIDAD[[#This Row],[Producto]],MARA[],3,FALSE),"")</f>
        <v>17750243077351</v>
      </c>
      <c r="E147" s="13" t="str">
        <f>IFERROR(VLOOKUP(CANTIDAD[[#This Row],[Ubicación]],SAP[],4,FALSE),"")</f>
        <v>SAP. LIMPIA TODO AB LIMÓN 4.9L FR 4UND</v>
      </c>
      <c r="F147" s="13">
        <f>IFERROR(VLOOKUP(CANTIDAD[[#This Row],[Ubicación]],SAP[],8,FALSE),"")</f>
        <v>27</v>
      </c>
      <c r="G147" s="13" t="str">
        <f>IFERROR(VLOOKUP(CANTIDAD[[#This Row],[Ubicación]],SAP[],9,FALSE),"")</f>
        <v>CJA</v>
      </c>
      <c r="H147" s="13">
        <f>IFERROR(VLOOKUP(CANTIDAD[[#This Row],[Ubicación]],SAP[],5,FALSE),"")</f>
        <v>2404165060</v>
      </c>
      <c r="I147" s="43" t="str">
        <f>IFERROR(VLOOKUP(CANTIDAD[[#This Row],[Ubicación]],SAP[],6,FALSE),"")</f>
        <v>16/04/2027</v>
      </c>
      <c r="J147" s="13" t="str">
        <f>IFERROR(VLOOKUP(CANTIDAD[[#This Row],[Ubicación]],SAP[],7,FALSE),"")</f>
        <v>1F</v>
      </c>
      <c r="K147" s="14">
        <f>IFERROR(VLOOKUP(CANTIDAD[[#This Row],[Ubicación]],SAP[],10,FALSE),"")</f>
        <v>108</v>
      </c>
      <c r="L147" s="48">
        <f>IFERROR(VLOOKUP(CANTIDAD[[#This Row],[Producto]],MARA[],5,FALSE),"")</f>
        <v>9</v>
      </c>
      <c r="M147" s="48" t="str">
        <f>IFERROR(VLOOKUP(CANTIDAD[[#This Row],[Producto]],MARA[],4,FALSE),"")</f>
        <v>CJA</v>
      </c>
      <c r="N147" s="136" t="s">
        <v>4474</v>
      </c>
    </row>
    <row r="148" spans="1:14" hidden="1">
      <c r="A148" s="139" t="str">
        <f t="shared" si="2"/>
        <v>PASILLO 7</v>
      </c>
      <c r="B148" s="92" t="s">
        <v>3139</v>
      </c>
      <c r="C148" s="11">
        <f>IFERROR(VLOOKUP(CANTIDAD[[#This Row],[Ubicación]],SAP[],3,FALSE),"")</f>
        <v>8300041</v>
      </c>
      <c r="D148" s="29">
        <f>IFERROR(VLOOKUP(CANTIDAD[[#This Row],[Producto]],MARA[],3,FALSE),"")</f>
        <v>17750243060643</v>
      </c>
      <c r="E148" s="11" t="str">
        <f>IFERROR(VLOOKUP(CANTIDAD[[#This Row],[Ubicación]],SAP[],4,FALSE),"")</f>
        <v>LEJIA PROFESIONAL SAPOLIO 4.63% 5KG.4UND</v>
      </c>
      <c r="F148" s="11">
        <f>IFERROR(VLOOKUP(CANTIDAD[[#This Row],[Ubicación]],SAP[],8,FALSE),"")</f>
        <v>22</v>
      </c>
      <c r="G148" s="11" t="str">
        <f>IFERROR(VLOOKUP(CANTIDAD[[#This Row],[Ubicación]],SAP[],9,FALSE),"")</f>
        <v>CJA</v>
      </c>
      <c r="H148" s="11">
        <f>IFERROR(VLOOKUP(CANTIDAD[[#This Row],[Ubicación]],SAP[],5,FALSE),"")</f>
        <v>2607275060</v>
      </c>
      <c r="I148" s="42" t="str">
        <f>IFERROR(VLOOKUP(CANTIDAD[[#This Row],[Ubicación]],SAP[],6,FALSE),"")</f>
        <v>27/07/2027</v>
      </c>
      <c r="J148" s="11" t="str">
        <f>IFERROR(VLOOKUP(CANTIDAD[[#This Row],[Ubicación]],SAP[],7,FALSE),"")</f>
        <v>1F</v>
      </c>
      <c r="K148" s="11">
        <f>IFERROR(VLOOKUP(CANTIDAD[[#This Row],[Ubicación]],SAP[],10,FALSE),"")</f>
        <v>88</v>
      </c>
      <c r="L148" s="48">
        <f>IFERROR(VLOOKUP(CANTIDAD[[#This Row],[Producto]],MARA[],5,FALSE),"")</f>
        <v>9</v>
      </c>
      <c r="M148" s="48" t="str">
        <f>IFERROR(VLOOKUP(CANTIDAD[[#This Row],[Producto]],MARA[],4,FALSE),"")</f>
        <v>CJA</v>
      </c>
      <c r="N148" s="136" t="s">
        <v>4475</v>
      </c>
    </row>
    <row r="149" spans="1:14" hidden="1">
      <c r="A149" s="139" t="str">
        <f t="shared" si="2"/>
        <v>PASILLO 7</v>
      </c>
      <c r="B149" s="93" t="s">
        <v>3279</v>
      </c>
      <c r="C149" s="11">
        <f>IFERROR(VLOOKUP(CANTIDAD[[#This Row],[Ubicación]],SAP[],3,FALSE),"")</f>
        <v>8304035</v>
      </c>
      <c r="D149" s="30">
        <f>IFERROR(VLOOKUP(CANTIDAD[[#This Row],[Producto]],MARA[],3,FALSE),"")</f>
        <v>17751851020302</v>
      </c>
      <c r="E149" s="13" t="str">
        <f>IFERROR(VLOOKUP(CANTIDAD[[#This Row],[Ubicación]],SAP[],4,FALSE),"")</f>
        <v>AMOR LIBRE ENJUAGUE BEBE C/A 5L X4</v>
      </c>
      <c r="F149" s="13">
        <f>IFERROR(VLOOKUP(CANTIDAD[[#This Row],[Ubicación]],SAP[],8,FALSE),"")</f>
        <v>15</v>
      </c>
      <c r="G149" s="13" t="str">
        <f>IFERROR(VLOOKUP(CANTIDAD[[#This Row],[Ubicación]],SAP[],9,FALSE),"")</f>
        <v>CJA</v>
      </c>
      <c r="H149" s="13">
        <f>IFERROR(VLOOKUP(CANTIDAD[[#This Row],[Ubicación]],SAP[],5,FALSE),"")</f>
        <v>2607305060</v>
      </c>
      <c r="I149" s="43" t="str">
        <f>IFERROR(VLOOKUP(CANTIDAD[[#This Row],[Ubicación]],SAP[],6,FALSE),"")</f>
        <v>30/07/2028</v>
      </c>
      <c r="J149" s="13" t="str">
        <f>IFERROR(VLOOKUP(CANTIDAD[[#This Row],[Ubicación]],SAP[],7,FALSE),"")</f>
        <v>1F</v>
      </c>
      <c r="K149" s="14">
        <f>IFERROR(VLOOKUP(CANTIDAD[[#This Row],[Ubicación]],SAP[],10,FALSE),"")</f>
        <v>60</v>
      </c>
      <c r="L149" s="48">
        <f>IFERROR(VLOOKUP(CANTIDAD[[#This Row],[Producto]],MARA[],5,FALSE),"")</f>
        <v>9</v>
      </c>
      <c r="M149" s="48" t="str">
        <f>IFERROR(VLOOKUP(CANTIDAD[[#This Row],[Producto]],MARA[],4,FALSE),"")</f>
        <v>CJA</v>
      </c>
      <c r="N149" s="136" t="s">
        <v>4476</v>
      </c>
    </row>
    <row r="150" spans="1:14" hidden="1">
      <c r="A150" s="139" t="str">
        <f t="shared" si="2"/>
        <v>PASILLO 7</v>
      </c>
      <c r="B150" s="92" t="s">
        <v>3276</v>
      </c>
      <c r="C150" s="11">
        <f>IFERROR(VLOOKUP(CANTIDAD[[#This Row],[Ubicación]],SAP[],3,FALSE),"")</f>
        <v>8304034</v>
      </c>
      <c r="D150" s="29">
        <f>IFERROR(VLOOKUP(CANTIDAD[[#This Row],[Producto]],MARA[],3,FALSE),"")</f>
        <v>17751851020296</v>
      </c>
      <c r="E150" s="11" t="str">
        <f>IFERROR(VLOOKUP(CANTIDAD[[#This Row],[Ubicación]],SAP[],4,FALSE),"")</f>
        <v>AMOR LIBRE ENJUAGUE LAVANDA C/A 5L X4</v>
      </c>
      <c r="F150" s="11">
        <f>IFERROR(VLOOKUP(CANTIDAD[[#This Row],[Ubicación]],SAP[],8,FALSE),"")</f>
        <v>22</v>
      </c>
      <c r="G150" s="11" t="str">
        <f>IFERROR(VLOOKUP(CANTIDAD[[#This Row],[Ubicación]],SAP[],9,FALSE),"")</f>
        <v>CJA</v>
      </c>
      <c r="H150" s="11">
        <f>IFERROR(VLOOKUP(CANTIDAD[[#This Row],[Ubicación]],SAP[],5,FALSE),"")</f>
        <v>2607175060</v>
      </c>
      <c r="I150" s="42" t="str">
        <f>IFERROR(VLOOKUP(CANTIDAD[[#This Row],[Ubicación]],SAP[],6,FALSE),"")</f>
        <v>17/07/2028</v>
      </c>
      <c r="J150" s="11" t="str">
        <f>IFERROR(VLOOKUP(CANTIDAD[[#This Row],[Ubicación]],SAP[],7,FALSE),"")</f>
        <v>1F</v>
      </c>
      <c r="K150" s="11">
        <f>IFERROR(VLOOKUP(CANTIDAD[[#This Row],[Ubicación]],SAP[],10,FALSE),"")</f>
        <v>88</v>
      </c>
      <c r="L150" s="48">
        <f>IFERROR(VLOOKUP(CANTIDAD[[#This Row],[Producto]],MARA[],5,FALSE),"")</f>
        <v>9</v>
      </c>
      <c r="M150" s="48" t="str">
        <f>IFERROR(VLOOKUP(CANTIDAD[[#This Row],[Producto]],MARA[],4,FALSE),"")</f>
        <v>CJA</v>
      </c>
      <c r="N150" s="136" t="s">
        <v>4477</v>
      </c>
    </row>
    <row r="151" spans="1:14" hidden="1">
      <c r="A151" s="139" t="str">
        <f t="shared" si="2"/>
        <v>PASILLO 7</v>
      </c>
      <c r="B151" s="93" t="s">
        <v>3273</v>
      </c>
      <c r="C151" s="11">
        <f>IFERROR(VLOOKUP(CANTIDAD[[#This Row],[Ubicación]],SAP[],3,FALSE),"")</f>
        <v>8304033</v>
      </c>
      <c r="D151" s="30">
        <f>IFERROR(VLOOKUP(CANTIDAD[[#This Row],[Producto]],MARA[],3,FALSE),"")</f>
        <v>17751851020289</v>
      </c>
      <c r="E151" s="13" t="str">
        <f>IFERROR(VLOOKUP(CANTIDAD[[#This Row],[Ubicación]],SAP[],4,FALSE),"")</f>
        <v>AMOR LIBRE ENJUAGUE FLORES C/A/ 5L X 4</v>
      </c>
      <c r="F151" s="13">
        <f>IFERROR(VLOOKUP(CANTIDAD[[#This Row],[Ubicación]],SAP[],8,FALSE),"")</f>
        <v>22</v>
      </c>
      <c r="G151" s="13" t="str">
        <f>IFERROR(VLOOKUP(CANTIDAD[[#This Row],[Ubicación]],SAP[],9,FALSE),"")</f>
        <v>CJA</v>
      </c>
      <c r="H151" s="13">
        <f>IFERROR(VLOOKUP(CANTIDAD[[#This Row],[Ubicación]],SAP[],5,FALSE),"")</f>
        <v>2608205060</v>
      </c>
      <c r="I151" s="43" t="str">
        <f>IFERROR(VLOOKUP(CANTIDAD[[#This Row],[Ubicación]],SAP[],6,FALSE),"")</f>
        <v>20/08/2028</v>
      </c>
      <c r="J151" s="13" t="str">
        <f>IFERROR(VLOOKUP(CANTIDAD[[#This Row],[Ubicación]],SAP[],7,FALSE),"")</f>
        <v>1F</v>
      </c>
      <c r="K151" s="14">
        <f>IFERROR(VLOOKUP(CANTIDAD[[#This Row],[Ubicación]],SAP[],10,FALSE),"")</f>
        <v>88</v>
      </c>
      <c r="L151" s="48">
        <f>IFERROR(VLOOKUP(CANTIDAD[[#This Row],[Producto]],MARA[],5,FALSE),"")</f>
        <v>9</v>
      </c>
      <c r="M151" s="48" t="str">
        <f>IFERROR(VLOOKUP(CANTIDAD[[#This Row],[Producto]],MARA[],4,FALSE),"")</f>
        <v>CJA</v>
      </c>
      <c r="N151" s="136" t="s">
        <v>4478</v>
      </c>
    </row>
    <row r="152" spans="1:14" hidden="1">
      <c r="A152" s="139" t="str">
        <f t="shared" si="2"/>
        <v>PASILLO 7</v>
      </c>
      <c r="B152" s="92" t="s">
        <v>3602</v>
      </c>
      <c r="C152" s="11">
        <f>IFERROR(VLOOKUP(CANTIDAD[[#This Row],[Ubicación]],SAP[],3,FALSE),"")</f>
        <v>8316108</v>
      </c>
      <c r="D152" s="29">
        <f>IFERROR(VLOOKUP(CANTIDAD[[#This Row],[Producto]],MARA[],3,FALSE),"")</f>
        <v>17750243077221</v>
      </c>
      <c r="E152" s="11" t="str">
        <f>IFERROR(VLOOKUP(CANTIDAD[[#This Row],[Ubicación]],SAP[],4,FALSE),"")</f>
        <v>ESINF. SAPOLIO PROF LIMÓN 5L 4UND</v>
      </c>
      <c r="F152" s="11">
        <f>IFERROR(VLOOKUP(CANTIDAD[[#This Row],[Ubicación]],SAP[],8,FALSE),"")</f>
        <v>19</v>
      </c>
      <c r="G152" s="11" t="str">
        <f>IFERROR(VLOOKUP(CANTIDAD[[#This Row],[Ubicación]],SAP[],9,FALSE),"")</f>
        <v>CJA</v>
      </c>
      <c r="H152" s="11">
        <f>IFERROR(VLOOKUP(CANTIDAD[[#This Row],[Ubicación]],SAP[],5,FALSE),"")</f>
        <v>2507175010</v>
      </c>
      <c r="I152" s="42" t="str">
        <f>IFERROR(VLOOKUP(CANTIDAD[[#This Row],[Ubicación]],SAP[],6,FALSE),"")</f>
        <v>17/07/2027</v>
      </c>
      <c r="J152" s="11" t="str">
        <f>IFERROR(VLOOKUP(CANTIDAD[[#This Row],[Ubicación]],SAP[],7,FALSE),"")</f>
        <v>1F</v>
      </c>
      <c r="K152" s="11">
        <f>IFERROR(VLOOKUP(CANTIDAD[[#This Row],[Ubicación]],SAP[],10,FALSE),"")</f>
        <v>76</v>
      </c>
      <c r="L152" s="48">
        <f>IFERROR(VLOOKUP(CANTIDAD[[#This Row],[Producto]],MARA[],5,FALSE),"")</f>
        <v>9</v>
      </c>
      <c r="M152" s="48" t="str">
        <f>IFERROR(VLOOKUP(CANTIDAD[[#This Row],[Producto]],MARA[],4,FALSE),"")</f>
        <v>CJA</v>
      </c>
      <c r="N152" s="136" t="s">
        <v>4479</v>
      </c>
    </row>
    <row r="153" spans="1:14" hidden="1">
      <c r="A153" s="139" t="str">
        <f t="shared" si="2"/>
        <v>PASILLO 7</v>
      </c>
      <c r="B153" s="93" t="s">
        <v>3600</v>
      </c>
      <c r="C153" s="11">
        <f>IFERROR(VLOOKUP(CANTIDAD[[#This Row],[Ubicación]],SAP[],3,FALSE),"")</f>
        <v>8316107</v>
      </c>
      <c r="D153" s="30">
        <f>IFERROR(VLOOKUP(CANTIDAD[[#This Row],[Producto]],MARA[],3,FALSE),"")</f>
        <v>17750243076750</v>
      </c>
      <c r="E153" s="13" t="str">
        <f>IFERROR(VLOOKUP(CANTIDAD[[#This Row],[Ubicación]],SAP[],4,FALSE),"")</f>
        <v>DESINFECTANTE PINO SAPOLIO PROF 5L 4UND</v>
      </c>
      <c r="F153" s="13">
        <f>IFERROR(VLOOKUP(CANTIDAD[[#This Row],[Ubicación]],SAP[],8,FALSE),"")</f>
        <v>2</v>
      </c>
      <c r="G153" s="13" t="str">
        <f>IFERROR(VLOOKUP(CANTIDAD[[#This Row],[Ubicación]],SAP[],9,FALSE),"")</f>
        <v>CJA</v>
      </c>
      <c r="H153" s="13">
        <f>IFERROR(VLOOKUP(CANTIDAD[[#This Row],[Ubicación]],SAP[],5,FALSE),"")</f>
        <v>2604075060</v>
      </c>
      <c r="I153" s="43">
        <f>IFERROR(VLOOKUP(CANTIDAD[[#This Row],[Ubicación]],SAP[],6,FALSE),"")</f>
        <v>46938</v>
      </c>
      <c r="J153" s="13" t="str">
        <f>IFERROR(VLOOKUP(CANTIDAD[[#This Row],[Ubicación]],SAP[],7,FALSE),"")</f>
        <v>1F</v>
      </c>
      <c r="K153" s="14">
        <f>IFERROR(VLOOKUP(CANTIDAD[[#This Row],[Ubicación]],SAP[],10,FALSE),"")</f>
        <v>8</v>
      </c>
      <c r="L153" s="48">
        <f>IFERROR(VLOOKUP(CANTIDAD[[#This Row],[Producto]],MARA[],5,FALSE),"")</f>
        <v>9</v>
      </c>
      <c r="M153" s="48" t="str">
        <f>IFERROR(VLOOKUP(CANTIDAD[[#This Row],[Producto]],MARA[],4,FALSE),"")</f>
        <v>CJA</v>
      </c>
      <c r="N153" s="136" t="s">
        <v>4480</v>
      </c>
    </row>
    <row r="154" spans="1:14" hidden="1">
      <c r="A154" s="139" t="str">
        <f t="shared" si="2"/>
        <v>PASILLO 7</v>
      </c>
      <c r="B154" s="92" t="s">
        <v>3229</v>
      </c>
      <c r="C154" s="11">
        <f>IFERROR(VLOOKUP(CANTIDAD[[#This Row],[Ubicación]],SAP[],3,FALSE),"")</f>
        <v>8303008</v>
      </c>
      <c r="D154" s="29">
        <f>IFERROR(VLOOKUP(CANTIDAD[[#This Row],[Producto]],MARA[],3,FALSE),"")</f>
        <v>17751851022009</v>
      </c>
      <c r="E154" s="11" t="str">
        <f>IFERROR(VLOOKUP(CANTIDAD[[#This Row],[Ubicación]],SAP[],4,FALSE),"")</f>
        <v>DET.LIQUIDO FERIA DE FLORES SAP. 5L 4UND</v>
      </c>
      <c r="F154" s="11">
        <f>IFERROR(VLOOKUP(CANTIDAD[[#This Row],[Ubicación]],SAP[],8,FALSE),"")</f>
        <v>27</v>
      </c>
      <c r="G154" s="11" t="str">
        <f>IFERROR(VLOOKUP(CANTIDAD[[#This Row],[Ubicación]],SAP[],9,FALSE),"")</f>
        <v>CJA</v>
      </c>
      <c r="H154" s="11">
        <f>IFERROR(VLOOKUP(CANTIDAD[[#This Row],[Ubicación]],SAP[],5,FALSE),"")</f>
        <v>2608195060</v>
      </c>
      <c r="I154" s="42" t="str">
        <f>IFERROR(VLOOKUP(CANTIDAD[[#This Row],[Ubicación]],SAP[],6,FALSE),"")</f>
        <v>19/08/2028</v>
      </c>
      <c r="J154" s="11" t="str">
        <f>IFERROR(VLOOKUP(CANTIDAD[[#This Row],[Ubicación]],SAP[],7,FALSE),"")</f>
        <v>1F</v>
      </c>
      <c r="K154" s="11">
        <f>IFERROR(VLOOKUP(CANTIDAD[[#This Row],[Ubicación]],SAP[],10,FALSE),"")</f>
        <v>108</v>
      </c>
      <c r="L154" s="48">
        <f>IFERROR(VLOOKUP(CANTIDAD[[#This Row],[Producto]],MARA[],5,FALSE),"")</f>
        <v>9</v>
      </c>
      <c r="M154" s="48" t="str">
        <f>IFERROR(VLOOKUP(CANTIDAD[[#This Row],[Producto]],MARA[],4,FALSE),"")</f>
        <v>CJA</v>
      </c>
      <c r="N154" s="136" t="s">
        <v>4481</v>
      </c>
    </row>
    <row r="155" spans="1:14" hidden="1">
      <c r="A155" s="139" t="str">
        <f t="shared" si="2"/>
        <v>PASILLO 7</v>
      </c>
      <c r="B155" s="93" t="s">
        <v>3558</v>
      </c>
      <c r="C155" s="11">
        <f>IFERROR(VLOOKUP(CANTIDAD[[#This Row],[Ubicación]],SAP[],3,FALSE),"")</f>
        <v>8315135</v>
      </c>
      <c r="D155" s="30">
        <f>IFERROR(VLOOKUP(CANTIDAD[[#This Row],[Producto]],MARA[],3,FALSE),"")</f>
        <v>17750243060681</v>
      </c>
      <c r="E155" s="13" t="str">
        <f>IFERROR(VLOOKUP(CANTIDAD[[#This Row],[Ubicación]],SAP[],4,FALSE),"")</f>
        <v>SACAGRASA LIMON SAPOLIO PROF 5L 4UND</v>
      </c>
      <c r="F155" s="13">
        <f>IFERROR(VLOOKUP(CANTIDAD[[#This Row],[Ubicación]],SAP[],8,FALSE),"")</f>
        <v>7</v>
      </c>
      <c r="G155" s="13" t="str">
        <f>IFERROR(VLOOKUP(CANTIDAD[[#This Row],[Ubicación]],SAP[],9,FALSE),"")</f>
        <v>CJA</v>
      </c>
      <c r="H155" s="13">
        <f>IFERROR(VLOOKUP(CANTIDAD[[#This Row],[Ubicación]],SAP[],5,FALSE),"")</f>
        <v>2509045010</v>
      </c>
      <c r="I155" s="43">
        <f>IFERROR(VLOOKUP(CANTIDAD[[#This Row],[Ubicación]],SAP[],6,FALSE),"")</f>
        <v>46852</v>
      </c>
      <c r="J155" s="13" t="str">
        <f>IFERROR(VLOOKUP(CANTIDAD[[#This Row],[Ubicación]],SAP[],7,FALSE),"")</f>
        <v>1F</v>
      </c>
      <c r="K155" s="14">
        <f>IFERROR(VLOOKUP(CANTIDAD[[#This Row],[Ubicación]],SAP[],10,FALSE),"")</f>
        <v>28</v>
      </c>
      <c r="L155" s="48">
        <f>IFERROR(VLOOKUP(CANTIDAD[[#This Row],[Producto]],MARA[],5,FALSE),"")</f>
        <v>9</v>
      </c>
      <c r="M155" s="48" t="str">
        <f>IFERROR(VLOOKUP(CANTIDAD[[#This Row],[Producto]],MARA[],4,FALSE),"")</f>
        <v>CJA</v>
      </c>
      <c r="N155" s="136" t="s">
        <v>4482</v>
      </c>
    </row>
    <row r="156" spans="1:14" hidden="1">
      <c r="A156" s="139" t="str">
        <f t="shared" si="2"/>
        <v>PASILLO 7</v>
      </c>
      <c r="B156" s="92" t="s">
        <v>4483</v>
      </c>
      <c r="C156" s="11" t="str">
        <f>IFERROR(VLOOKUP(CANTIDAD[[#This Row],[Ubicación]],SAP[],3,FALSE),"")</f>
        <v/>
      </c>
      <c r="D156" s="29" t="str">
        <f>IFERROR(VLOOKUP(CANTIDAD[[#This Row],[Producto]],MARA[],3,FALSE),"")</f>
        <v/>
      </c>
      <c r="E156" s="11" t="str">
        <f>IFERROR(VLOOKUP(CANTIDAD[[#This Row],[Ubicación]],SAP[],4,FALSE),"")</f>
        <v/>
      </c>
      <c r="F156" s="11" t="str">
        <f>IFERROR(VLOOKUP(CANTIDAD[[#This Row],[Ubicación]],SAP[],8,FALSE),"")</f>
        <v/>
      </c>
      <c r="G156" s="11" t="str">
        <f>IFERROR(VLOOKUP(CANTIDAD[[#This Row],[Ubicación]],SAP[],9,FALSE),"")</f>
        <v/>
      </c>
      <c r="H156" s="11" t="str">
        <f>IFERROR(VLOOKUP(CANTIDAD[[#This Row],[Ubicación]],SAP[],5,FALSE),"")</f>
        <v/>
      </c>
      <c r="I156" s="42" t="str">
        <f>IFERROR(VLOOKUP(CANTIDAD[[#This Row],[Ubicación]],SAP[],6,FALSE),"")</f>
        <v/>
      </c>
      <c r="J156" s="11" t="str">
        <f>IFERROR(VLOOKUP(CANTIDAD[[#This Row],[Ubicación]],SAP[],7,FALSE),"")</f>
        <v/>
      </c>
      <c r="K156" s="11" t="str">
        <f>IFERROR(VLOOKUP(CANTIDAD[[#This Row],[Ubicación]],SAP[],10,FALSE),"")</f>
        <v/>
      </c>
      <c r="L156" s="48" t="str">
        <f>IFERROR(VLOOKUP(CANTIDAD[[#This Row],[Producto]],MARA[],5,FALSE),"")</f>
        <v/>
      </c>
      <c r="M156" s="48" t="str">
        <f>IFERROR(VLOOKUP(CANTIDAD[[#This Row],[Producto]],MARA[],4,FALSE),"")</f>
        <v/>
      </c>
      <c r="N156" s="136" t="s">
        <v>4484</v>
      </c>
    </row>
    <row r="157" spans="1:14" hidden="1">
      <c r="A157" s="139" t="str">
        <f t="shared" si="2"/>
        <v>PASILLO 7</v>
      </c>
      <c r="B157" s="93" t="s">
        <v>3652</v>
      </c>
      <c r="C157" s="11">
        <f>IFERROR(VLOOKUP(CANTIDAD[[#This Row],[Ubicación]],SAP[],3,FALSE),"")</f>
        <v>8317171</v>
      </c>
      <c r="D157" s="30">
        <f>IFERROR(VLOOKUP(CANTIDAD[[#This Row],[Producto]],MARA[],3,FALSE),"")</f>
        <v>17750243077337</v>
      </c>
      <c r="E157" s="13" t="str">
        <f>IFERROR(VLOOKUP(CANTIDAD[[#This Row],[Ubicación]],SAP[],4,FALSE),"")</f>
        <v>SAP. LIMPIA TODO AB FLORAL 4.9L FR 4UND</v>
      </c>
      <c r="F157" s="13">
        <f>IFERROR(VLOOKUP(CANTIDAD[[#This Row],[Ubicación]],SAP[],8,FALSE),"")</f>
        <v>20</v>
      </c>
      <c r="G157" s="13" t="str">
        <f>IFERROR(VLOOKUP(CANTIDAD[[#This Row],[Ubicación]],SAP[],9,FALSE),"")</f>
        <v>CJA</v>
      </c>
      <c r="H157" s="13">
        <f>IFERROR(VLOOKUP(CANTIDAD[[#This Row],[Ubicación]],SAP[],5,FALSE),"")</f>
        <v>2608145060</v>
      </c>
      <c r="I157" s="43" t="str">
        <f>IFERROR(VLOOKUP(CANTIDAD[[#This Row],[Ubicación]],SAP[],6,FALSE),"")</f>
        <v>14/08/2029</v>
      </c>
      <c r="J157" s="13" t="str">
        <f>IFERROR(VLOOKUP(CANTIDAD[[#This Row],[Ubicación]],SAP[],7,FALSE),"")</f>
        <v>1F</v>
      </c>
      <c r="K157" s="14">
        <f>IFERROR(VLOOKUP(CANTIDAD[[#This Row],[Ubicación]],SAP[],10,FALSE),"")</f>
        <v>80</v>
      </c>
      <c r="L157" s="48">
        <f>IFERROR(VLOOKUP(CANTIDAD[[#This Row],[Producto]],MARA[],5,FALSE),"")</f>
        <v>9</v>
      </c>
      <c r="M157" s="48" t="str">
        <f>IFERROR(VLOOKUP(CANTIDAD[[#This Row],[Producto]],MARA[],4,FALSE),"")</f>
        <v>CJA</v>
      </c>
      <c r="N157" s="136" t="s">
        <v>4485</v>
      </c>
    </row>
    <row r="158" spans="1:14" hidden="1">
      <c r="A158" s="139" t="str">
        <f t="shared" si="2"/>
        <v>PASILLO 7</v>
      </c>
      <c r="B158" s="92" t="s">
        <v>3659</v>
      </c>
      <c r="C158" s="11">
        <f>IFERROR(VLOOKUP(CANTIDAD[[#This Row],[Ubicación]],SAP[],3,FALSE),"")</f>
        <v>8317179</v>
      </c>
      <c r="D158" s="29">
        <f>IFERROR(VLOOKUP(CANTIDAD[[#This Row],[Producto]],MARA[],3,FALSE),"")</f>
        <v>17750243077412</v>
      </c>
      <c r="E158" s="11" t="str">
        <f>IFERROR(VLOOKUP(CANTIDAD[[#This Row],[Ubicación]],SAP[],4,FALSE),"")</f>
        <v>SAP. LIMPIA TODO AB COCO 4.9L FR 4UND</v>
      </c>
      <c r="F158" s="11">
        <f>IFERROR(VLOOKUP(CANTIDAD[[#This Row],[Ubicación]],SAP[],8,FALSE),"")</f>
        <v>15</v>
      </c>
      <c r="G158" s="11" t="str">
        <f>IFERROR(VLOOKUP(CANTIDAD[[#This Row],[Ubicación]],SAP[],9,FALSE),"")</f>
        <v>CJA</v>
      </c>
      <c r="H158" s="11">
        <f>IFERROR(VLOOKUP(CANTIDAD[[#This Row],[Ubicación]],SAP[],5,FALSE),"")</f>
        <v>2608265060</v>
      </c>
      <c r="I158" s="42" t="str">
        <f>IFERROR(VLOOKUP(CANTIDAD[[#This Row],[Ubicación]],SAP[],6,FALSE),"")</f>
        <v>26/08/2029</v>
      </c>
      <c r="J158" s="11" t="str">
        <f>IFERROR(VLOOKUP(CANTIDAD[[#This Row],[Ubicación]],SAP[],7,FALSE),"")</f>
        <v>1F</v>
      </c>
      <c r="K158" s="11">
        <f>IFERROR(VLOOKUP(CANTIDAD[[#This Row],[Ubicación]],SAP[],10,FALSE),"")</f>
        <v>60</v>
      </c>
      <c r="L158" s="48">
        <f>IFERROR(VLOOKUP(CANTIDAD[[#This Row],[Producto]],MARA[],5,FALSE),"")</f>
        <v>9</v>
      </c>
      <c r="M158" s="48" t="str">
        <f>IFERROR(VLOOKUP(CANTIDAD[[#This Row],[Producto]],MARA[],4,FALSE),"")</f>
        <v>CJA</v>
      </c>
      <c r="N158" s="136" t="s">
        <v>4486</v>
      </c>
    </row>
    <row r="159" spans="1:14" hidden="1">
      <c r="A159" s="139" t="str">
        <f t="shared" si="2"/>
        <v>PASILLO 7</v>
      </c>
      <c r="B159" s="93" t="s">
        <v>3650</v>
      </c>
      <c r="C159" s="11">
        <f>IFERROR(VLOOKUP(CANTIDAD[[#This Row],[Ubicación]],SAP[],3,FALSE),"")</f>
        <v>8317170</v>
      </c>
      <c r="D159" s="30">
        <f>IFERROR(VLOOKUP(CANTIDAD[[#This Row],[Producto]],MARA[],3,FALSE),"")</f>
        <v>17750243077320</v>
      </c>
      <c r="E159" s="13" t="str">
        <f>IFERROR(VLOOKUP(CANTIDAD[[#This Row],[Ubicación]],SAP[],4,FALSE),"")</f>
        <v>SAP. LIMPIA TODO AB LAVANDA 4.9L FR 4UND</v>
      </c>
      <c r="F159" s="13">
        <f>IFERROR(VLOOKUP(CANTIDAD[[#This Row],[Ubicación]],SAP[],8,FALSE),"")</f>
        <v>2</v>
      </c>
      <c r="G159" s="13" t="str">
        <f>IFERROR(VLOOKUP(CANTIDAD[[#This Row],[Ubicación]],SAP[],9,FALSE),"")</f>
        <v>CJA</v>
      </c>
      <c r="H159" s="13">
        <f>IFERROR(VLOOKUP(CANTIDAD[[#This Row],[Ubicación]],SAP[],5,FALSE),"")</f>
        <v>2608185060</v>
      </c>
      <c r="I159" s="43" t="str">
        <f>IFERROR(VLOOKUP(CANTIDAD[[#This Row],[Ubicación]],SAP[],6,FALSE),"")</f>
        <v>18/08/2029</v>
      </c>
      <c r="J159" s="13" t="str">
        <f>IFERROR(VLOOKUP(CANTIDAD[[#This Row],[Ubicación]],SAP[],7,FALSE),"")</f>
        <v>1F</v>
      </c>
      <c r="K159" s="14">
        <f>IFERROR(VLOOKUP(CANTIDAD[[#This Row],[Ubicación]],SAP[],10,FALSE),"")</f>
        <v>8</v>
      </c>
      <c r="L159" s="48">
        <f>IFERROR(VLOOKUP(CANTIDAD[[#This Row],[Producto]],MARA[],5,FALSE),"")</f>
        <v>9</v>
      </c>
      <c r="M159" s="48" t="str">
        <f>IFERROR(VLOOKUP(CANTIDAD[[#This Row],[Producto]],MARA[],4,FALSE),"")</f>
        <v>CJA</v>
      </c>
      <c r="N159" s="136" t="s">
        <v>4487</v>
      </c>
    </row>
    <row r="160" spans="1:14" hidden="1">
      <c r="A160" s="139" t="str">
        <f t="shared" si="2"/>
        <v>PASILLO 7</v>
      </c>
      <c r="B160" s="92" t="s">
        <v>3654</v>
      </c>
      <c r="C160" s="11">
        <f>IFERROR(VLOOKUP(CANTIDAD[[#This Row],[Ubicación]],SAP[],3,FALSE),"")</f>
        <v>8317172</v>
      </c>
      <c r="D160" s="29">
        <f>IFERROR(VLOOKUP(CANTIDAD[[#This Row],[Producto]],MARA[],3,FALSE),"")</f>
        <v>17750243077344</v>
      </c>
      <c r="E160" s="11" t="str">
        <f>IFERROR(VLOOKUP(CANTIDAD[[#This Row],[Ubicación]],SAP[],4,FALSE),"")</f>
        <v>SAP. LIMPIA TODO AB BEBÉ 4.9L FR 4UND</v>
      </c>
      <c r="F160" s="11">
        <f>IFERROR(VLOOKUP(CANTIDAD[[#This Row],[Ubicación]],SAP[],8,FALSE),"")</f>
        <v>16</v>
      </c>
      <c r="G160" s="11" t="str">
        <f>IFERROR(VLOOKUP(CANTIDAD[[#This Row],[Ubicación]],SAP[],9,FALSE),"")</f>
        <v>CJA</v>
      </c>
      <c r="H160" s="11">
        <f>IFERROR(VLOOKUP(CANTIDAD[[#This Row],[Ubicación]],SAP[],5,FALSE),"")</f>
        <v>2608185060</v>
      </c>
      <c r="I160" s="42" t="str">
        <f>IFERROR(VLOOKUP(CANTIDAD[[#This Row],[Ubicación]],SAP[],6,FALSE),"")</f>
        <v>18/08/2029</v>
      </c>
      <c r="J160" s="11" t="str">
        <f>IFERROR(VLOOKUP(CANTIDAD[[#This Row],[Ubicación]],SAP[],7,FALSE),"")</f>
        <v>1F</v>
      </c>
      <c r="K160" s="11">
        <f>IFERROR(VLOOKUP(CANTIDAD[[#This Row],[Ubicación]],SAP[],10,FALSE),"")</f>
        <v>64</v>
      </c>
      <c r="L160" s="48">
        <f>IFERROR(VLOOKUP(CANTIDAD[[#This Row],[Producto]],MARA[],5,FALSE),"")</f>
        <v>9</v>
      </c>
      <c r="M160" s="48" t="str">
        <f>IFERROR(VLOOKUP(CANTIDAD[[#This Row],[Producto]],MARA[],4,FALSE),"")</f>
        <v>CJA</v>
      </c>
      <c r="N160" s="136" t="s">
        <v>4488</v>
      </c>
    </row>
    <row r="161" spans="1:14" hidden="1">
      <c r="A161" s="139" t="str">
        <f t="shared" si="2"/>
        <v>PASILLO 7</v>
      </c>
      <c r="B161" s="93" t="s">
        <v>4489</v>
      </c>
      <c r="C161" s="11" t="str">
        <f>IFERROR(VLOOKUP(CANTIDAD[[#This Row],[Ubicación]],SAP[],3,FALSE),"")</f>
        <v/>
      </c>
      <c r="D161" s="30" t="str">
        <f>IFERROR(VLOOKUP(CANTIDAD[[#This Row],[Producto]],MARA[],3,FALSE),"")</f>
        <v/>
      </c>
      <c r="E161" s="13" t="str">
        <f>IFERROR(VLOOKUP(CANTIDAD[[#This Row],[Ubicación]],SAP[],4,FALSE),"")</f>
        <v/>
      </c>
      <c r="F161" s="13" t="str">
        <f>IFERROR(VLOOKUP(CANTIDAD[[#This Row],[Ubicación]],SAP[],8,FALSE),"")</f>
        <v/>
      </c>
      <c r="G161" s="13" t="str">
        <f>IFERROR(VLOOKUP(CANTIDAD[[#This Row],[Ubicación]],SAP[],9,FALSE),"")</f>
        <v/>
      </c>
      <c r="H161" s="13" t="str">
        <f>IFERROR(VLOOKUP(CANTIDAD[[#This Row],[Ubicación]],SAP[],5,FALSE),"")</f>
        <v/>
      </c>
      <c r="I161" s="43" t="str">
        <f>IFERROR(VLOOKUP(CANTIDAD[[#This Row],[Ubicación]],SAP[],6,FALSE),"")</f>
        <v/>
      </c>
      <c r="J161" s="13" t="str">
        <f>IFERROR(VLOOKUP(CANTIDAD[[#This Row],[Ubicación]],SAP[],7,FALSE),"")</f>
        <v/>
      </c>
      <c r="K161" s="14" t="str">
        <f>IFERROR(VLOOKUP(CANTIDAD[[#This Row],[Ubicación]],SAP[],10,FALSE),"")</f>
        <v/>
      </c>
      <c r="L161" s="48" t="str">
        <f>IFERROR(VLOOKUP(CANTIDAD[[#This Row],[Producto]],MARA[],5,FALSE),"")</f>
        <v/>
      </c>
      <c r="M161" s="48" t="str">
        <f>IFERROR(VLOOKUP(CANTIDAD[[#This Row],[Producto]],MARA[],4,FALSE),"")</f>
        <v/>
      </c>
      <c r="N161" s="136" t="s">
        <v>4490</v>
      </c>
    </row>
    <row r="162" spans="1:14" hidden="1">
      <c r="A162" s="139" t="str">
        <f t="shared" si="2"/>
        <v>PASILLO 7</v>
      </c>
      <c r="B162" s="92" t="s">
        <v>4491</v>
      </c>
      <c r="C162" s="11" t="str">
        <f>IFERROR(VLOOKUP(CANTIDAD[[#This Row],[Ubicación]],SAP[],3,FALSE),"")</f>
        <v/>
      </c>
      <c r="D162" s="29" t="str">
        <f>IFERROR(VLOOKUP(CANTIDAD[[#This Row],[Producto]],MARA[],3,FALSE),"")</f>
        <v/>
      </c>
      <c r="E162" s="11" t="str">
        <f>IFERROR(VLOOKUP(CANTIDAD[[#This Row],[Ubicación]],SAP[],4,FALSE),"")</f>
        <v/>
      </c>
      <c r="F162" s="11" t="str">
        <f>IFERROR(VLOOKUP(CANTIDAD[[#This Row],[Ubicación]],SAP[],8,FALSE),"")</f>
        <v/>
      </c>
      <c r="G162" s="11" t="str">
        <f>IFERROR(VLOOKUP(CANTIDAD[[#This Row],[Ubicación]],SAP[],9,FALSE),"")</f>
        <v/>
      </c>
      <c r="H162" s="11" t="str">
        <f>IFERROR(VLOOKUP(CANTIDAD[[#This Row],[Ubicación]],SAP[],5,FALSE),"")</f>
        <v/>
      </c>
      <c r="I162" s="42" t="str">
        <f>IFERROR(VLOOKUP(CANTIDAD[[#This Row],[Ubicación]],SAP[],6,FALSE),"")</f>
        <v/>
      </c>
      <c r="J162" s="11" t="str">
        <f>IFERROR(VLOOKUP(CANTIDAD[[#This Row],[Ubicación]],SAP[],7,FALSE),"")</f>
        <v/>
      </c>
      <c r="K162" s="11" t="str">
        <f>IFERROR(VLOOKUP(CANTIDAD[[#This Row],[Ubicación]],SAP[],10,FALSE),"")</f>
        <v/>
      </c>
      <c r="L162" s="48" t="str">
        <f>IFERROR(VLOOKUP(CANTIDAD[[#This Row],[Producto]],MARA[],5,FALSE),"")</f>
        <v/>
      </c>
      <c r="M162" s="48" t="str">
        <f>IFERROR(VLOOKUP(CANTIDAD[[#This Row],[Producto]],MARA[],4,FALSE),"")</f>
        <v/>
      </c>
      <c r="N162" s="136" t="s">
        <v>4492</v>
      </c>
    </row>
    <row r="163" spans="1:14" hidden="1">
      <c r="A163" s="139" t="str">
        <f t="shared" si="2"/>
        <v>PASILLO 7</v>
      </c>
      <c r="B163" s="93" t="s">
        <v>4493</v>
      </c>
      <c r="C163" s="11" t="str">
        <f>IFERROR(VLOOKUP(CANTIDAD[[#This Row],[Ubicación]],SAP[],3,FALSE),"")</f>
        <v/>
      </c>
      <c r="D163" s="30" t="str">
        <f>IFERROR(VLOOKUP(CANTIDAD[[#This Row],[Producto]],MARA[],3,FALSE),"")</f>
        <v/>
      </c>
      <c r="E163" s="13" t="str">
        <f>IFERROR(VLOOKUP(CANTIDAD[[#This Row],[Ubicación]],SAP[],4,FALSE),"")</f>
        <v/>
      </c>
      <c r="F163" s="13" t="str">
        <f>IFERROR(VLOOKUP(CANTIDAD[[#This Row],[Ubicación]],SAP[],8,FALSE),"")</f>
        <v/>
      </c>
      <c r="G163" s="13" t="str">
        <f>IFERROR(VLOOKUP(CANTIDAD[[#This Row],[Ubicación]],SAP[],9,FALSE),"")</f>
        <v/>
      </c>
      <c r="H163" s="13" t="str">
        <f>IFERROR(VLOOKUP(CANTIDAD[[#This Row],[Ubicación]],SAP[],5,FALSE),"")</f>
        <v/>
      </c>
      <c r="I163" s="43" t="str">
        <f>IFERROR(VLOOKUP(CANTIDAD[[#This Row],[Ubicación]],SAP[],6,FALSE),"")</f>
        <v/>
      </c>
      <c r="J163" s="13" t="str">
        <f>IFERROR(VLOOKUP(CANTIDAD[[#This Row],[Ubicación]],SAP[],7,FALSE),"")</f>
        <v/>
      </c>
      <c r="K163" s="14" t="str">
        <f>IFERROR(VLOOKUP(CANTIDAD[[#This Row],[Ubicación]],SAP[],10,FALSE),"")</f>
        <v/>
      </c>
      <c r="L163" s="48" t="str">
        <f>IFERROR(VLOOKUP(CANTIDAD[[#This Row],[Producto]],MARA[],5,FALSE),"")</f>
        <v/>
      </c>
      <c r="M163" s="48" t="str">
        <f>IFERROR(VLOOKUP(CANTIDAD[[#This Row],[Producto]],MARA[],4,FALSE),"")</f>
        <v/>
      </c>
      <c r="N163" s="136" t="s">
        <v>4494</v>
      </c>
    </row>
    <row r="164" spans="1:14" hidden="1">
      <c r="A164" s="139" t="str">
        <f t="shared" si="2"/>
        <v>PASILLO 7</v>
      </c>
      <c r="B164" s="92" t="s">
        <v>4495</v>
      </c>
      <c r="C164" s="11" t="str">
        <f>IFERROR(VLOOKUP(CANTIDAD[[#This Row],[Ubicación]],SAP[],3,FALSE),"")</f>
        <v/>
      </c>
      <c r="D164" s="29" t="str">
        <f>IFERROR(VLOOKUP(CANTIDAD[[#This Row],[Producto]],MARA[],3,FALSE),"")</f>
        <v/>
      </c>
      <c r="E164" s="11" t="str">
        <f>IFERROR(VLOOKUP(CANTIDAD[[#This Row],[Ubicación]],SAP[],4,FALSE),"")</f>
        <v/>
      </c>
      <c r="F164" s="11" t="str">
        <f>IFERROR(VLOOKUP(CANTIDAD[[#This Row],[Ubicación]],SAP[],8,FALSE),"")</f>
        <v/>
      </c>
      <c r="G164" s="11" t="str">
        <f>IFERROR(VLOOKUP(CANTIDAD[[#This Row],[Ubicación]],SAP[],9,FALSE),"")</f>
        <v/>
      </c>
      <c r="H164" s="11" t="str">
        <f>IFERROR(VLOOKUP(CANTIDAD[[#This Row],[Ubicación]],SAP[],5,FALSE),"")</f>
        <v/>
      </c>
      <c r="I164" s="42" t="str">
        <f>IFERROR(VLOOKUP(CANTIDAD[[#This Row],[Ubicación]],SAP[],6,FALSE),"")</f>
        <v/>
      </c>
      <c r="J164" s="11" t="str">
        <f>IFERROR(VLOOKUP(CANTIDAD[[#This Row],[Ubicación]],SAP[],7,FALSE),"")</f>
        <v/>
      </c>
      <c r="K164" s="11" t="str">
        <f>IFERROR(VLOOKUP(CANTIDAD[[#This Row],[Ubicación]],SAP[],10,FALSE),"")</f>
        <v/>
      </c>
      <c r="L164" s="48" t="str">
        <f>IFERROR(VLOOKUP(CANTIDAD[[#This Row],[Producto]],MARA[],5,FALSE),"")</f>
        <v/>
      </c>
      <c r="M164" s="48" t="str">
        <f>IFERROR(VLOOKUP(CANTIDAD[[#This Row],[Producto]],MARA[],4,FALSE),"")</f>
        <v/>
      </c>
      <c r="N164" s="136" t="s">
        <v>4496</v>
      </c>
    </row>
    <row r="165" spans="1:14" hidden="1">
      <c r="A165" s="139" t="str">
        <f t="shared" si="2"/>
        <v>PASILLO 7</v>
      </c>
      <c r="B165" s="93" t="s">
        <v>4497</v>
      </c>
      <c r="C165" s="11" t="str">
        <f>IFERROR(VLOOKUP(CANTIDAD[[#This Row],[Ubicación]],SAP[],3,FALSE),"")</f>
        <v/>
      </c>
      <c r="D165" s="30" t="str">
        <f>IFERROR(VLOOKUP(CANTIDAD[[#This Row],[Producto]],MARA[],3,FALSE),"")</f>
        <v/>
      </c>
      <c r="E165" s="13" t="str">
        <f>IFERROR(VLOOKUP(CANTIDAD[[#This Row],[Ubicación]],SAP[],4,FALSE),"")</f>
        <v/>
      </c>
      <c r="F165" s="13" t="str">
        <f>IFERROR(VLOOKUP(CANTIDAD[[#This Row],[Ubicación]],SAP[],8,FALSE),"")</f>
        <v/>
      </c>
      <c r="G165" s="13" t="str">
        <f>IFERROR(VLOOKUP(CANTIDAD[[#This Row],[Ubicación]],SAP[],9,FALSE),"")</f>
        <v/>
      </c>
      <c r="H165" s="13" t="str">
        <f>IFERROR(VLOOKUP(CANTIDAD[[#This Row],[Ubicación]],SAP[],5,FALSE),"")</f>
        <v/>
      </c>
      <c r="I165" s="43" t="str">
        <f>IFERROR(VLOOKUP(CANTIDAD[[#This Row],[Ubicación]],SAP[],6,FALSE),"")</f>
        <v/>
      </c>
      <c r="J165" s="13" t="str">
        <f>IFERROR(VLOOKUP(CANTIDAD[[#This Row],[Ubicación]],SAP[],7,FALSE),"")</f>
        <v/>
      </c>
      <c r="K165" s="14" t="str">
        <f>IFERROR(VLOOKUP(CANTIDAD[[#This Row],[Ubicación]],SAP[],10,FALSE),"")</f>
        <v/>
      </c>
      <c r="L165" s="48" t="str">
        <f>IFERROR(VLOOKUP(CANTIDAD[[#This Row],[Producto]],MARA[],5,FALSE),"")</f>
        <v/>
      </c>
      <c r="M165" s="48" t="str">
        <f>IFERROR(VLOOKUP(CANTIDAD[[#This Row],[Producto]],MARA[],4,FALSE),"")</f>
        <v/>
      </c>
      <c r="N165" s="136" t="s">
        <v>4498</v>
      </c>
    </row>
    <row r="166" spans="1:14" hidden="1">
      <c r="A166" s="139" t="str">
        <f t="shared" si="2"/>
        <v>PASILLO 7</v>
      </c>
      <c r="B166" s="92" t="s">
        <v>3164</v>
      </c>
      <c r="C166" s="11">
        <f>IFERROR(VLOOKUP(CANTIDAD[[#This Row],[Ubicación]],SAP[],3,FALSE),"")</f>
        <v>8300117</v>
      </c>
      <c r="D166" s="29">
        <f>IFERROR(VLOOKUP(CANTIDAD[[#This Row],[Producto]],MARA[],3,FALSE),"")</f>
        <v>17750243082287</v>
      </c>
      <c r="E166" s="11" t="str">
        <f>IFERROR(VLOOKUP(CANTIDAD[[#This Row],[Ubicación]],SAP[],4,FALSE),"")</f>
        <v>LEJIA SAPOLIO CLORO B 4.8 KG 4UND</v>
      </c>
      <c r="F166" s="11">
        <f>IFERROR(VLOOKUP(CANTIDAD[[#This Row],[Ubicación]],SAP[],8,FALSE),"")</f>
        <v>9</v>
      </c>
      <c r="G166" s="11" t="str">
        <f>IFERROR(VLOOKUP(CANTIDAD[[#This Row],[Ubicación]],SAP[],9,FALSE),"")</f>
        <v>CJA</v>
      </c>
      <c r="H166" s="11">
        <f>IFERROR(VLOOKUP(CANTIDAD[[#This Row],[Ubicación]],SAP[],5,FALSE),"")</f>
        <v>2608215060</v>
      </c>
      <c r="I166" s="42" t="str">
        <f>IFERROR(VLOOKUP(CANTIDAD[[#This Row],[Ubicación]],SAP[],6,FALSE),"")</f>
        <v>21/08/2027</v>
      </c>
      <c r="J166" s="11" t="str">
        <f>IFERROR(VLOOKUP(CANTIDAD[[#This Row],[Ubicación]],SAP[],7,FALSE),"")</f>
        <v>1F</v>
      </c>
      <c r="K166" s="11">
        <f>IFERROR(VLOOKUP(CANTIDAD[[#This Row],[Ubicación]],SAP[],10,FALSE),"")</f>
        <v>36</v>
      </c>
      <c r="L166" s="48">
        <f>IFERROR(VLOOKUP(CANTIDAD[[#This Row],[Producto]],MARA[],5,FALSE),"")</f>
        <v>9</v>
      </c>
      <c r="M166" s="48" t="str">
        <f>IFERROR(VLOOKUP(CANTIDAD[[#This Row],[Producto]],MARA[],4,FALSE),"")</f>
        <v>CJA</v>
      </c>
      <c r="N166" s="136" t="s">
        <v>4499</v>
      </c>
    </row>
    <row r="167" spans="1:14" hidden="1">
      <c r="A167" s="139" t="str">
        <f t="shared" si="2"/>
        <v>PASILLO 7</v>
      </c>
      <c r="B167" s="93" t="s">
        <v>3168</v>
      </c>
      <c r="C167" s="11">
        <f>IFERROR(VLOOKUP(CANTIDAD[[#This Row],[Ubicación]],SAP[],3,FALSE),"")</f>
        <v>8300117</v>
      </c>
      <c r="D167" s="30">
        <f>IFERROR(VLOOKUP(CANTIDAD[[#This Row],[Producto]],MARA[],3,FALSE),"")</f>
        <v>17750243082287</v>
      </c>
      <c r="E167" s="13" t="str">
        <f>IFERROR(VLOOKUP(CANTIDAD[[#This Row],[Ubicación]],SAP[],4,FALSE),"")</f>
        <v>LEJIA SAPOLIO CLORO B 4.8 KG 4UND</v>
      </c>
      <c r="F167" s="13">
        <f>IFERROR(VLOOKUP(CANTIDAD[[#This Row],[Ubicación]],SAP[],8,FALSE),"")</f>
        <v>27</v>
      </c>
      <c r="G167" s="13" t="str">
        <f>IFERROR(VLOOKUP(CANTIDAD[[#This Row],[Ubicación]],SAP[],9,FALSE),"")</f>
        <v>CJA</v>
      </c>
      <c r="H167" s="13">
        <f>IFERROR(VLOOKUP(CANTIDAD[[#This Row],[Ubicación]],SAP[],5,FALSE),"")</f>
        <v>2608225060</v>
      </c>
      <c r="I167" s="43" t="str">
        <f>IFERROR(VLOOKUP(CANTIDAD[[#This Row],[Ubicación]],SAP[],6,FALSE),"")</f>
        <v>22/08/2027</v>
      </c>
      <c r="J167" s="13" t="str">
        <f>IFERROR(VLOOKUP(CANTIDAD[[#This Row],[Ubicación]],SAP[],7,FALSE),"")</f>
        <v>1F</v>
      </c>
      <c r="K167" s="14">
        <f>IFERROR(VLOOKUP(CANTIDAD[[#This Row],[Ubicación]],SAP[],10,FALSE),"")</f>
        <v>108</v>
      </c>
      <c r="L167" s="48">
        <f>IFERROR(VLOOKUP(CANTIDAD[[#This Row],[Producto]],MARA[],5,FALSE),"")</f>
        <v>9</v>
      </c>
      <c r="M167" s="48" t="str">
        <f>IFERROR(VLOOKUP(CANTIDAD[[#This Row],[Producto]],MARA[],4,FALSE),"")</f>
        <v>CJA</v>
      </c>
      <c r="N167" s="136" t="s">
        <v>4500</v>
      </c>
    </row>
    <row r="168" spans="1:14" hidden="1">
      <c r="A168" s="139" t="str">
        <f t="shared" si="2"/>
        <v>PASILLO 7</v>
      </c>
      <c r="B168" s="92" t="s">
        <v>4179</v>
      </c>
      <c r="C168" s="11">
        <f>IFERROR(VLOOKUP(CANTIDAD[[#This Row],[Ubicación]],SAP[],3,FALSE),"")</f>
        <v>9350416</v>
      </c>
      <c r="D168" s="29">
        <f>IFERROR(VLOOKUP(CANTIDAD[[#This Row],[Producto]],MARA[],3,FALSE),"")</f>
        <v>17750243083543</v>
      </c>
      <c r="E168" s="11" t="str">
        <f>IFERROR(VLOOKUP(CANTIDAD[[#This Row],[Ubicación]],SAP[],4,FALSE),"")</f>
        <v>SUAV. BOLIVAR BEBESYNINOS 2800ML 6FCO NV</v>
      </c>
      <c r="F168" s="11">
        <f>IFERROR(VLOOKUP(CANTIDAD[[#This Row],[Ubicación]],SAP[],8,FALSE),"")</f>
        <v>3</v>
      </c>
      <c r="G168" s="11" t="str">
        <f>IFERROR(VLOOKUP(CANTIDAD[[#This Row],[Ubicación]],SAP[],9,FALSE),"")</f>
        <v>CJA</v>
      </c>
      <c r="H168" s="11" t="str">
        <f>IFERROR(VLOOKUP(CANTIDAD[[#This Row],[Ubicación]],SAP[],5,FALSE),"")</f>
        <v>20825406M</v>
      </c>
      <c r="I168" s="42">
        <f>IFERROR(VLOOKUP(CANTIDAD[[#This Row],[Ubicación]],SAP[],6,FALSE),"")</f>
        <v>46668</v>
      </c>
      <c r="J168" s="11" t="str">
        <f>IFERROR(VLOOKUP(CANTIDAD[[#This Row],[Ubicación]],SAP[],7,FALSE),"")</f>
        <v>1F</v>
      </c>
      <c r="K168" s="11">
        <f>IFERROR(VLOOKUP(CANTIDAD[[#This Row],[Ubicación]],SAP[],10,FALSE),"")</f>
        <v>18</v>
      </c>
      <c r="L168" s="48">
        <f>IFERROR(VLOOKUP(CANTIDAD[[#This Row],[Producto]],MARA[],5,FALSE),"")</f>
        <v>8</v>
      </c>
      <c r="M168" s="48" t="str">
        <f>IFERROR(VLOOKUP(CANTIDAD[[#This Row],[Producto]],MARA[],4,FALSE),"")</f>
        <v>CJA</v>
      </c>
      <c r="N168" s="136" t="s">
        <v>4501</v>
      </c>
    </row>
    <row r="169" spans="1:14" hidden="1">
      <c r="A169" s="139" t="str">
        <f t="shared" si="2"/>
        <v>PASILLO 7</v>
      </c>
      <c r="B169" s="93" t="s">
        <v>4140</v>
      </c>
      <c r="C169" s="11">
        <f>IFERROR(VLOOKUP(CANTIDAD[[#This Row],[Ubicación]],SAP[],3,FALSE),"")</f>
        <v>9350382</v>
      </c>
      <c r="D169" s="30">
        <f>IFERROR(VLOOKUP(CANTIDAD[[#This Row],[Producto]],MARA[],3,FALSE),"")</f>
        <v>17750243059883</v>
      </c>
      <c r="E169" s="13" t="str">
        <f>IFERROR(VLOOKUP(CANTIDAD[[#This Row],[Ubicación]],SAP[],4,FALSE),"")</f>
        <v>SUAV. BOLIVAR BEBE 2800ML 6FCO</v>
      </c>
      <c r="F169" s="13">
        <f>IFERROR(VLOOKUP(CANTIDAD[[#This Row],[Ubicación]],SAP[],8,FALSE),"")</f>
        <v>7</v>
      </c>
      <c r="G169" s="13" t="str">
        <f>IFERROR(VLOOKUP(CANTIDAD[[#This Row],[Ubicación]],SAP[],9,FALSE),"")</f>
        <v>CJA</v>
      </c>
      <c r="H169" s="13" t="str">
        <f>IFERROR(VLOOKUP(CANTIDAD[[#This Row],[Ubicación]],SAP[],5,FALSE),"")</f>
        <v>20925205M</v>
      </c>
      <c r="I169" s="43" t="str">
        <f>IFERROR(VLOOKUP(CANTIDAD[[#This Row],[Ubicación]],SAP[],6,FALSE),"")</f>
        <v>27/09/2026</v>
      </c>
      <c r="J169" s="13" t="str">
        <f>IFERROR(VLOOKUP(CANTIDAD[[#This Row],[Ubicación]],SAP[],7,FALSE),"")</f>
        <v>2F</v>
      </c>
      <c r="K169" s="14">
        <f>IFERROR(VLOOKUP(CANTIDAD[[#This Row],[Ubicación]],SAP[],10,FALSE),"")</f>
        <v>42</v>
      </c>
      <c r="L169" s="48">
        <f>IFERROR(VLOOKUP(CANTIDAD[[#This Row],[Producto]],MARA[],5,FALSE),"")</f>
        <v>8</v>
      </c>
      <c r="M169" s="48" t="str">
        <f>IFERROR(VLOOKUP(CANTIDAD[[#This Row],[Producto]],MARA[],4,FALSE),"")</f>
        <v>CJA</v>
      </c>
      <c r="N169" s="136" t="s">
        <v>4502</v>
      </c>
    </row>
    <row r="170" spans="1:14" hidden="1">
      <c r="A170" s="139" t="str">
        <f t="shared" si="2"/>
        <v>PASILLO 7</v>
      </c>
      <c r="B170" s="92" t="s">
        <v>4165</v>
      </c>
      <c r="C170" s="11">
        <f>IFERROR(VLOOKUP(CANTIDAD[[#This Row],[Ubicación]],SAP[],3,FALSE),"")</f>
        <v>9350411</v>
      </c>
      <c r="D170" s="29">
        <f>IFERROR(VLOOKUP(CANTIDAD[[#This Row],[Producto]],MARA[],3,FALSE),"")</f>
        <v>17750243083475</v>
      </c>
      <c r="E170" s="11" t="str">
        <f>IFERROR(VLOOKUP(CANTIDAD[[#This Row],[Ubicación]],SAP[],4,FALSE),"")</f>
        <v>SUA.BOL. FLORAL 2.8L.6FCO</v>
      </c>
      <c r="F170" s="11">
        <f>IFERROR(VLOOKUP(CANTIDAD[[#This Row],[Ubicación]],SAP[],8,FALSE),"")</f>
        <v>7</v>
      </c>
      <c r="G170" s="11" t="str">
        <f>IFERROR(VLOOKUP(CANTIDAD[[#This Row],[Ubicación]],SAP[],9,FALSE),"")</f>
        <v>CJA</v>
      </c>
      <c r="H170" s="11" t="str">
        <f>IFERROR(VLOOKUP(CANTIDAD[[#This Row],[Ubicación]],SAP[],5,FALSE),"")</f>
        <v>20744306S</v>
      </c>
      <c r="I170" s="42" t="str">
        <f>IFERROR(VLOOKUP(CANTIDAD[[#This Row],[Ubicación]],SAP[],6,FALSE),"")</f>
        <v>21/10/2027</v>
      </c>
      <c r="J170" s="11" t="str">
        <f>IFERROR(VLOOKUP(CANTIDAD[[#This Row],[Ubicación]],SAP[],7,FALSE),"")</f>
        <v>1F</v>
      </c>
      <c r="K170" s="11">
        <f>IFERROR(VLOOKUP(CANTIDAD[[#This Row],[Ubicación]],SAP[],10,FALSE),"")</f>
        <v>42</v>
      </c>
      <c r="L170" s="48">
        <f>IFERROR(VLOOKUP(CANTIDAD[[#This Row],[Producto]],MARA[],5,FALSE),"")</f>
        <v>8</v>
      </c>
      <c r="M170" s="48" t="str">
        <f>IFERROR(VLOOKUP(CANTIDAD[[#This Row],[Producto]],MARA[],4,FALSE),"")</f>
        <v>CJA</v>
      </c>
      <c r="N170" s="136" t="s">
        <v>4503</v>
      </c>
    </row>
    <row r="171" spans="1:14" hidden="1">
      <c r="A171" s="139" t="str">
        <f t="shared" si="2"/>
        <v>PASILLO 7</v>
      </c>
      <c r="B171" s="93" t="s">
        <v>4173</v>
      </c>
      <c r="C171" s="11">
        <f>IFERROR(VLOOKUP(CANTIDAD[[#This Row],[Ubicación]],SAP[],3,FALSE),"")</f>
        <v>9350414</v>
      </c>
      <c r="D171" s="30">
        <f>IFERROR(VLOOKUP(CANTIDAD[[#This Row],[Producto]],MARA[],3,FALSE),"")</f>
        <v>17750243083529</v>
      </c>
      <c r="E171" s="13" t="str">
        <f>IFERROR(VLOOKUP(CANTIDAD[[#This Row],[Ubicación]],SAP[],4,FALSE),"")</f>
        <v>SUAVI. BOLIV PLUS.LAV 2.8L 6FCO NV</v>
      </c>
      <c r="F171" s="13">
        <f>IFERROR(VLOOKUP(CANTIDAD[[#This Row],[Ubicación]],SAP[],8,FALSE),"")</f>
        <v>22</v>
      </c>
      <c r="G171" s="13" t="str">
        <f>IFERROR(VLOOKUP(CANTIDAD[[#This Row],[Ubicación]],SAP[],9,FALSE),"")</f>
        <v>CJA</v>
      </c>
      <c r="H171" s="13" t="str">
        <f>IFERROR(VLOOKUP(CANTIDAD[[#This Row],[Ubicación]],SAP[],5,FALSE),"")</f>
        <v>20744276S</v>
      </c>
      <c r="I171" s="43" t="str">
        <f>IFERROR(VLOOKUP(CANTIDAD[[#This Row],[Ubicación]],SAP[],6,FALSE),"")</f>
        <v>21/10/2027</v>
      </c>
      <c r="J171" s="13" t="str">
        <f>IFERROR(VLOOKUP(CANTIDAD[[#This Row],[Ubicación]],SAP[],7,FALSE),"")</f>
        <v>1F</v>
      </c>
      <c r="K171" s="14">
        <f>IFERROR(VLOOKUP(CANTIDAD[[#This Row],[Ubicación]],SAP[],10,FALSE),"")</f>
        <v>132</v>
      </c>
      <c r="L171" s="48">
        <f>IFERROR(VLOOKUP(CANTIDAD[[#This Row],[Producto]],MARA[],5,FALSE),"")</f>
        <v>8</v>
      </c>
      <c r="M171" s="48" t="str">
        <f>IFERROR(VLOOKUP(CANTIDAD[[#This Row],[Producto]],MARA[],4,FALSE),"")</f>
        <v>CJA</v>
      </c>
      <c r="N171" s="136" t="s">
        <v>4504</v>
      </c>
    </row>
    <row r="172" spans="1:14" hidden="1">
      <c r="A172" s="139" t="str">
        <f t="shared" si="2"/>
        <v>PASILLO 7</v>
      </c>
      <c r="B172" s="92" t="s">
        <v>4176</v>
      </c>
      <c r="C172" s="11">
        <f>IFERROR(VLOOKUP(CANTIDAD[[#This Row],[Ubicación]],SAP[],3,FALSE),"")</f>
        <v>9350415</v>
      </c>
      <c r="D172" s="29">
        <f>IFERROR(VLOOKUP(CANTIDAD[[#This Row],[Producto]],MARA[],3,FALSE),"")</f>
        <v>17750243083536</v>
      </c>
      <c r="E172" s="11" t="str">
        <f>IFERROR(VLOOKUP(CANTIDAD[[#This Row],[Ubicación]],SAP[],4,FALSE),"")</f>
        <v>SUAVI. BOLIV PLUS.ORQ 2.8L 6FCO NV</v>
      </c>
      <c r="F172" s="11">
        <f>IFERROR(VLOOKUP(CANTIDAD[[#This Row],[Ubicación]],SAP[],8,FALSE),"")</f>
        <v>21</v>
      </c>
      <c r="G172" s="11" t="str">
        <f>IFERROR(VLOOKUP(CANTIDAD[[#This Row],[Ubicación]],SAP[],9,FALSE),"")</f>
        <v>CJA</v>
      </c>
      <c r="H172" s="11" t="str">
        <f>IFERROR(VLOOKUP(CANTIDAD[[#This Row],[Ubicación]],SAP[],5,FALSE),"")</f>
        <v>20723916M</v>
      </c>
      <c r="I172" s="42" t="str">
        <f>IFERROR(VLOOKUP(CANTIDAD[[#This Row],[Ubicación]],SAP[],6,FALSE),"")</f>
        <v>25/10/2027</v>
      </c>
      <c r="J172" s="11" t="str">
        <f>IFERROR(VLOOKUP(CANTIDAD[[#This Row],[Ubicación]],SAP[],7,FALSE),"")</f>
        <v>1F</v>
      </c>
      <c r="K172" s="11">
        <f>IFERROR(VLOOKUP(CANTIDAD[[#This Row],[Ubicación]],SAP[],10,FALSE),"")</f>
        <v>126</v>
      </c>
      <c r="L172" s="48">
        <f>IFERROR(VLOOKUP(CANTIDAD[[#This Row],[Producto]],MARA[],5,FALSE),"")</f>
        <v>8</v>
      </c>
      <c r="M172" s="48" t="str">
        <f>IFERROR(VLOOKUP(CANTIDAD[[#This Row],[Producto]],MARA[],4,FALSE),"")</f>
        <v>CJA</v>
      </c>
      <c r="N172" s="136" t="s">
        <v>4505</v>
      </c>
    </row>
    <row r="173" spans="1:14" hidden="1">
      <c r="A173" s="139" t="str">
        <f t="shared" si="2"/>
        <v>PASILLO 7</v>
      </c>
      <c r="B173" s="93" t="s">
        <v>4145</v>
      </c>
      <c r="C173" s="11">
        <f>IFERROR(VLOOKUP(CANTIDAD[[#This Row],[Ubicación]],SAP[],3,FALSE),"")</f>
        <v>9350397</v>
      </c>
      <c r="D173" s="30">
        <f>IFERROR(VLOOKUP(CANTIDAD[[#This Row],[Producto]],MARA[],3,FALSE),"")</f>
        <v>17750243072042</v>
      </c>
      <c r="E173" s="13" t="str">
        <f>IFERROR(VLOOKUP(CANTIDAD[[#This Row],[Ubicación]],SAP[],4,FALSE),"")</f>
        <v>SUA.BOLIV. AROMA ACTIVO REVIVE 2.8L.6FCO</v>
      </c>
      <c r="F173" s="13">
        <f>IFERROR(VLOOKUP(CANTIDAD[[#This Row],[Ubicación]],SAP[],8,FALSE),"")</f>
        <v>8</v>
      </c>
      <c r="G173" s="13" t="str">
        <f>IFERROR(VLOOKUP(CANTIDAD[[#This Row],[Ubicación]],SAP[],9,FALSE),"")</f>
        <v>CJA</v>
      </c>
      <c r="H173" s="13">
        <f>IFERROR(VLOOKUP(CANTIDAD[[#This Row],[Ubicación]],SAP[],5,FALSE),"")</f>
        <v>21125055</v>
      </c>
      <c r="I173" s="43">
        <f>IFERROR(VLOOKUP(CANTIDAD[[#This Row],[Ubicación]],SAP[],6,FALSE),"")</f>
        <v>46540</v>
      </c>
      <c r="J173" s="13" t="str">
        <f>IFERROR(VLOOKUP(CANTIDAD[[#This Row],[Ubicación]],SAP[],7,FALSE),"")</f>
        <v>1F</v>
      </c>
      <c r="K173" s="14">
        <f>IFERROR(VLOOKUP(CANTIDAD[[#This Row],[Ubicación]],SAP[],10,FALSE),"")</f>
        <v>48</v>
      </c>
      <c r="L173" s="48">
        <f>IFERROR(VLOOKUP(CANTIDAD[[#This Row],[Producto]],MARA[],5,FALSE),"")</f>
        <v>8</v>
      </c>
      <c r="M173" s="48" t="str">
        <f>IFERROR(VLOOKUP(CANTIDAD[[#This Row],[Producto]],MARA[],4,FALSE),"")</f>
        <v>CJA</v>
      </c>
      <c r="N173" s="136" t="s">
        <v>4506</v>
      </c>
    </row>
    <row r="174" spans="1:14" hidden="1">
      <c r="A174" s="139" t="str">
        <f t="shared" si="2"/>
        <v>PASILLO 7</v>
      </c>
      <c r="B174" s="92" t="s">
        <v>3671</v>
      </c>
      <c r="C174" s="11">
        <f>IFERROR(VLOOKUP(CANTIDAD[[#This Row],[Ubicación]],SAP[],3,FALSE),"")</f>
        <v>8317216</v>
      </c>
      <c r="D174" s="29">
        <f>IFERROR(VLOOKUP(CANTIDAD[[#This Row],[Producto]],MARA[],3,FALSE),"")</f>
        <v>17750243084533</v>
      </c>
      <c r="E174" s="11" t="str">
        <f>IFERROR(VLOOKUP(CANTIDAD[[#This Row],[Ubicación]],SAP[],4,FALSE),"")</f>
        <v>LIMP. SAPOLIO PROF LAVANDA 4.2L 4UND</v>
      </c>
      <c r="F174" s="11">
        <f>IFERROR(VLOOKUP(CANTIDAD[[#This Row],[Ubicación]],SAP[],8,FALSE),"")</f>
        <v>23</v>
      </c>
      <c r="G174" s="11" t="str">
        <f>IFERROR(VLOOKUP(CANTIDAD[[#This Row],[Ubicación]],SAP[],9,FALSE),"")</f>
        <v>CJA</v>
      </c>
      <c r="H174" s="11">
        <f>IFERROR(VLOOKUP(CANTIDAD[[#This Row],[Ubicación]],SAP[],5,FALSE),"")</f>
        <v>2608125060</v>
      </c>
      <c r="I174" s="42">
        <f>IFERROR(VLOOKUP(CANTIDAD[[#This Row],[Ubicación]],SAP[],6,FALSE),"")</f>
        <v>47460</v>
      </c>
      <c r="J174" s="11" t="str">
        <f>IFERROR(VLOOKUP(CANTIDAD[[#This Row],[Ubicación]],SAP[],7,FALSE),"")</f>
        <v>1F</v>
      </c>
      <c r="K174" s="11">
        <f>IFERROR(VLOOKUP(CANTIDAD[[#This Row],[Ubicación]],SAP[],10,FALSE),"")</f>
        <v>92</v>
      </c>
      <c r="L174" s="48">
        <f>IFERROR(VLOOKUP(CANTIDAD[[#This Row],[Producto]],MARA[],5,FALSE),"")</f>
        <v>9</v>
      </c>
      <c r="M174" s="48" t="str">
        <f>IFERROR(VLOOKUP(CANTIDAD[[#This Row],[Producto]],MARA[],4,FALSE),"")</f>
        <v>CJA</v>
      </c>
      <c r="N174" s="136" t="s">
        <v>4507</v>
      </c>
    </row>
    <row r="175" spans="1:14" hidden="1">
      <c r="A175" s="139" t="str">
        <f t="shared" si="2"/>
        <v>PASILLO 7</v>
      </c>
      <c r="B175" s="93" t="s">
        <v>3673</v>
      </c>
      <c r="C175" s="11">
        <f>IFERROR(VLOOKUP(CANTIDAD[[#This Row],[Ubicación]],SAP[],3,FALSE),"")</f>
        <v>8317216</v>
      </c>
      <c r="D175" s="30">
        <f>IFERROR(VLOOKUP(CANTIDAD[[#This Row],[Producto]],MARA[],3,FALSE),"")</f>
        <v>17750243084533</v>
      </c>
      <c r="E175" s="13" t="str">
        <f>IFERROR(VLOOKUP(CANTIDAD[[#This Row],[Ubicación]],SAP[],4,FALSE),"")</f>
        <v>LIMP. SAPOLIO PROF LAVANDA 4.2L 4UND</v>
      </c>
      <c r="F175" s="13">
        <f>IFERROR(VLOOKUP(CANTIDAD[[#This Row],[Ubicación]],SAP[],8,FALSE),"")</f>
        <v>27</v>
      </c>
      <c r="G175" s="13" t="str">
        <f>IFERROR(VLOOKUP(CANTIDAD[[#This Row],[Ubicación]],SAP[],9,FALSE),"")</f>
        <v>CJA</v>
      </c>
      <c r="H175" s="13">
        <f>IFERROR(VLOOKUP(CANTIDAD[[#This Row],[Ubicación]],SAP[],5,FALSE),"")</f>
        <v>2608125060</v>
      </c>
      <c r="I175" s="43">
        <f>IFERROR(VLOOKUP(CANTIDAD[[#This Row],[Ubicación]],SAP[],6,FALSE),"")</f>
        <v>47460</v>
      </c>
      <c r="J175" s="13" t="str">
        <f>IFERROR(VLOOKUP(CANTIDAD[[#This Row],[Ubicación]],SAP[],7,FALSE),"")</f>
        <v>1F</v>
      </c>
      <c r="K175" s="14">
        <f>IFERROR(VLOOKUP(CANTIDAD[[#This Row],[Ubicación]],SAP[],10,FALSE),"")</f>
        <v>108</v>
      </c>
      <c r="L175" s="48">
        <f>IFERROR(VLOOKUP(CANTIDAD[[#This Row],[Producto]],MARA[],5,FALSE),"")</f>
        <v>9</v>
      </c>
      <c r="M175" s="48" t="str">
        <f>IFERROR(VLOOKUP(CANTIDAD[[#This Row],[Producto]],MARA[],4,FALSE),"")</f>
        <v>CJA</v>
      </c>
      <c r="N175" s="136" t="s">
        <v>4508</v>
      </c>
    </row>
    <row r="176" spans="1:14" hidden="1">
      <c r="A176" s="139" t="str">
        <f t="shared" si="2"/>
        <v>PASILLO 7</v>
      </c>
      <c r="B176" s="92" t="s">
        <v>3669</v>
      </c>
      <c r="C176" s="11">
        <f>IFERROR(VLOOKUP(CANTIDAD[[#This Row],[Ubicación]],SAP[],3,FALSE),"")</f>
        <v>8317215</v>
      </c>
      <c r="D176" s="29">
        <f>IFERROR(VLOOKUP(CANTIDAD[[#This Row],[Producto]],MARA[],3,FALSE),"")</f>
        <v>17750243084526</v>
      </c>
      <c r="E176" s="11" t="str">
        <f>IFERROR(VLOOKUP(CANTIDAD[[#This Row],[Ubicación]],SAP[],4,FALSE),"")</f>
        <v>LIMP. SAPOLIO PROF COCO 4.2L 4UND</v>
      </c>
      <c r="F176" s="11">
        <f>IFERROR(VLOOKUP(CANTIDAD[[#This Row],[Ubicación]],SAP[],8,FALSE),"")</f>
        <v>10</v>
      </c>
      <c r="G176" s="11" t="str">
        <f>IFERROR(VLOOKUP(CANTIDAD[[#This Row],[Ubicación]],SAP[],9,FALSE),"")</f>
        <v>CJA</v>
      </c>
      <c r="H176" s="11">
        <f>IFERROR(VLOOKUP(CANTIDAD[[#This Row],[Ubicación]],SAP[],5,FALSE),"")</f>
        <v>2608065060</v>
      </c>
      <c r="I176" s="42">
        <f>IFERROR(VLOOKUP(CANTIDAD[[#This Row],[Ubicación]],SAP[],6,FALSE),"")</f>
        <v>47277</v>
      </c>
      <c r="J176" s="11" t="str">
        <f>IFERROR(VLOOKUP(CANTIDAD[[#This Row],[Ubicación]],SAP[],7,FALSE),"")</f>
        <v>1F</v>
      </c>
      <c r="K176" s="11">
        <f>IFERROR(VLOOKUP(CANTIDAD[[#This Row],[Ubicación]],SAP[],10,FALSE),"")</f>
        <v>40</v>
      </c>
      <c r="L176" s="48">
        <f>IFERROR(VLOOKUP(CANTIDAD[[#This Row],[Producto]],MARA[],5,FALSE),"")</f>
        <v>9</v>
      </c>
      <c r="M176" s="48" t="str">
        <f>IFERROR(VLOOKUP(CANTIDAD[[#This Row],[Producto]],MARA[],4,FALSE),"")</f>
        <v>CJA</v>
      </c>
      <c r="N176" s="136" t="s">
        <v>4509</v>
      </c>
    </row>
    <row r="177" spans="1:14" hidden="1">
      <c r="A177" s="139" t="str">
        <f t="shared" si="2"/>
        <v>PASILLO 7</v>
      </c>
      <c r="B177" s="93" t="s">
        <v>3664</v>
      </c>
      <c r="C177" s="11">
        <f>IFERROR(VLOOKUP(CANTIDAD[[#This Row],[Ubicación]],SAP[],3,FALSE),"")</f>
        <v>8317213</v>
      </c>
      <c r="D177" s="30">
        <f>IFERROR(VLOOKUP(CANTIDAD[[#This Row],[Producto]],MARA[],3,FALSE),"")</f>
        <v>17750243084502</v>
      </c>
      <c r="E177" s="13" t="str">
        <f>IFERROR(VLOOKUP(CANTIDAD[[#This Row],[Ubicación]],SAP[],4,FALSE),"")</f>
        <v>LIMP. SAPOLIO PROF FLORAL 4.2L 4UND</v>
      </c>
      <c r="F177" s="13">
        <f>IFERROR(VLOOKUP(CANTIDAD[[#This Row],[Ubicación]],SAP[],8,FALSE),"")</f>
        <v>5</v>
      </c>
      <c r="G177" s="13" t="str">
        <f>IFERROR(VLOOKUP(CANTIDAD[[#This Row],[Ubicación]],SAP[],9,FALSE),"")</f>
        <v>CJA</v>
      </c>
      <c r="H177" s="13">
        <f>IFERROR(VLOOKUP(CANTIDAD[[#This Row],[Ubicación]],SAP[],5,FALSE),"")</f>
        <v>2607185060</v>
      </c>
      <c r="I177" s="43" t="str">
        <f>IFERROR(VLOOKUP(CANTIDAD[[#This Row],[Ubicación]],SAP[],6,FALSE),"")</f>
        <v>18/07/2029</v>
      </c>
      <c r="J177" s="13" t="str">
        <f>IFERROR(VLOOKUP(CANTIDAD[[#This Row],[Ubicación]],SAP[],7,FALSE),"")</f>
        <v>1F</v>
      </c>
      <c r="K177" s="14">
        <f>IFERROR(VLOOKUP(CANTIDAD[[#This Row],[Ubicación]],SAP[],10,FALSE),"")</f>
        <v>20</v>
      </c>
      <c r="L177" s="48">
        <f>IFERROR(VLOOKUP(CANTIDAD[[#This Row],[Producto]],MARA[],5,FALSE),"")</f>
        <v>9</v>
      </c>
      <c r="M177" s="48" t="str">
        <f>IFERROR(VLOOKUP(CANTIDAD[[#This Row],[Producto]],MARA[],4,FALSE),"")</f>
        <v>CJA</v>
      </c>
      <c r="N177" s="136" t="s">
        <v>4510</v>
      </c>
    </row>
    <row r="178" spans="1:14" hidden="1">
      <c r="A178" s="139" t="str">
        <f t="shared" si="2"/>
        <v>PASILLO 7</v>
      </c>
      <c r="B178" s="92" t="s">
        <v>3662</v>
      </c>
      <c r="C178" s="11">
        <f>IFERROR(VLOOKUP(CANTIDAD[[#This Row],[Ubicación]],SAP[],3,FALSE),"")</f>
        <v>8317212</v>
      </c>
      <c r="D178" s="29">
        <f>IFERROR(VLOOKUP(CANTIDAD[[#This Row],[Producto]],MARA[],3,FALSE),"")</f>
        <v>17750243084496</v>
      </c>
      <c r="E178" s="11" t="str">
        <f>IFERROR(VLOOKUP(CANTIDAD[[#This Row],[Ubicación]],SAP[],4,FALSE),"")</f>
        <v>LIMP. SAPOLIO PROF BEBE 4.2L 4UND</v>
      </c>
      <c r="F178" s="11">
        <f>IFERROR(VLOOKUP(CANTIDAD[[#This Row],[Ubicación]],SAP[],8,FALSE),"")</f>
        <v>18</v>
      </c>
      <c r="G178" s="11" t="str">
        <f>IFERROR(VLOOKUP(CANTIDAD[[#This Row],[Ubicación]],SAP[],9,FALSE),"")</f>
        <v>CJA</v>
      </c>
      <c r="H178" s="11">
        <f>IFERROR(VLOOKUP(CANTIDAD[[#This Row],[Ubicación]],SAP[],5,FALSE),"")</f>
        <v>2608045060</v>
      </c>
      <c r="I178" s="42">
        <f>IFERROR(VLOOKUP(CANTIDAD[[#This Row],[Ubicación]],SAP[],6,FALSE),"")</f>
        <v>46851</v>
      </c>
      <c r="J178" s="11" t="str">
        <f>IFERROR(VLOOKUP(CANTIDAD[[#This Row],[Ubicación]],SAP[],7,FALSE),"")</f>
        <v>1F</v>
      </c>
      <c r="K178" s="11">
        <f>IFERROR(VLOOKUP(CANTIDAD[[#This Row],[Ubicación]],SAP[],10,FALSE),"")</f>
        <v>72</v>
      </c>
      <c r="L178" s="48">
        <f>IFERROR(VLOOKUP(CANTIDAD[[#This Row],[Producto]],MARA[],5,FALSE),"")</f>
        <v>9</v>
      </c>
      <c r="M178" s="48" t="str">
        <f>IFERROR(VLOOKUP(CANTIDAD[[#This Row],[Producto]],MARA[],4,FALSE),"")</f>
        <v>CJA</v>
      </c>
      <c r="N178" s="136" t="s">
        <v>4511</v>
      </c>
    </row>
    <row r="179" spans="1:14" hidden="1">
      <c r="A179" s="139" t="str">
        <f t="shared" si="2"/>
        <v>PASILLO 7</v>
      </c>
      <c r="B179" s="93" t="s">
        <v>3667</v>
      </c>
      <c r="C179" s="11">
        <f>IFERROR(VLOOKUP(CANTIDAD[[#This Row],[Ubicación]],SAP[],3,FALSE),"")</f>
        <v>8317214</v>
      </c>
      <c r="D179" s="30">
        <f>IFERROR(VLOOKUP(CANTIDAD[[#This Row],[Producto]],MARA[],3,FALSE),"")</f>
        <v>17750243084519</v>
      </c>
      <c r="E179" s="13" t="str">
        <f>IFERROR(VLOOKUP(CANTIDAD[[#This Row],[Ubicación]],SAP[],4,FALSE),"")</f>
        <v>LIMP. SAPOLIO PROF LIMÓN 4.2L 4UND</v>
      </c>
      <c r="F179" s="13">
        <f>IFERROR(VLOOKUP(CANTIDAD[[#This Row],[Ubicación]],SAP[],8,FALSE),"")</f>
        <v>22</v>
      </c>
      <c r="G179" s="13" t="str">
        <f>IFERROR(VLOOKUP(CANTIDAD[[#This Row],[Ubicación]],SAP[],9,FALSE),"")</f>
        <v>CJA</v>
      </c>
      <c r="H179" s="13">
        <f>IFERROR(VLOOKUP(CANTIDAD[[#This Row],[Ubicación]],SAP[],5,FALSE),"")</f>
        <v>2607115060</v>
      </c>
      <c r="I179" s="43">
        <f>IFERROR(VLOOKUP(CANTIDAD[[#This Row],[Ubicación]],SAP[],6,FALSE),"")</f>
        <v>47064</v>
      </c>
      <c r="J179" s="13" t="str">
        <f>IFERROR(VLOOKUP(CANTIDAD[[#This Row],[Ubicación]],SAP[],7,FALSE),"")</f>
        <v>1F</v>
      </c>
      <c r="K179" s="14">
        <f>IFERROR(VLOOKUP(CANTIDAD[[#This Row],[Ubicación]],SAP[],10,FALSE),"")</f>
        <v>88</v>
      </c>
      <c r="L179" s="48">
        <f>IFERROR(VLOOKUP(CANTIDAD[[#This Row],[Producto]],MARA[],5,FALSE),"")</f>
        <v>9</v>
      </c>
      <c r="M179" s="48" t="str">
        <f>IFERROR(VLOOKUP(CANTIDAD[[#This Row],[Producto]],MARA[],4,FALSE),"")</f>
        <v>CJA</v>
      </c>
      <c r="N179" s="136" t="s">
        <v>4512</v>
      </c>
    </row>
    <row r="180" spans="1:14" hidden="1">
      <c r="A180" s="139" t="str">
        <f t="shared" si="2"/>
        <v>PASILLO 7</v>
      </c>
      <c r="B180" s="92" t="s">
        <v>3675</v>
      </c>
      <c r="C180" s="11">
        <f>IFERROR(VLOOKUP(CANTIDAD[[#This Row],[Ubicación]],SAP[],3,FALSE),"")</f>
        <v>8317217</v>
      </c>
      <c r="D180" s="29">
        <f>IFERROR(VLOOKUP(CANTIDAD[[#This Row],[Producto]],MARA[],3,FALSE),"")</f>
        <v>17750243087688</v>
      </c>
      <c r="E180" s="11" t="str">
        <f>IFERROR(VLOOKUP(CANTIDAD[[#This Row],[Ubicación]],SAP[],4,FALSE),"")</f>
        <v>LIMP. SAPOLIO PROF MANZANA 4.2L 4UND</v>
      </c>
      <c r="F180" s="11">
        <f>IFERROR(VLOOKUP(CANTIDAD[[#This Row],[Ubicación]],SAP[],8,FALSE),"")</f>
        <v>26</v>
      </c>
      <c r="G180" s="11" t="str">
        <f>IFERROR(VLOOKUP(CANTIDAD[[#This Row],[Ubicación]],SAP[],9,FALSE),"")</f>
        <v>CJA</v>
      </c>
      <c r="H180" s="11">
        <f>IFERROR(VLOOKUP(CANTIDAD[[#This Row],[Ubicación]],SAP[],5,FALSE),"")</f>
        <v>2605145060</v>
      </c>
      <c r="I180" s="42" t="str">
        <f>IFERROR(VLOOKUP(CANTIDAD[[#This Row],[Ubicación]],SAP[],6,FALSE),"")</f>
        <v>14/05/2029</v>
      </c>
      <c r="J180" s="11" t="str">
        <f>IFERROR(VLOOKUP(CANTIDAD[[#This Row],[Ubicación]],SAP[],7,FALSE),"")</f>
        <v>1F</v>
      </c>
      <c r="K180" s="11">
        <f>IFERROR(VLOOKUP(CANTIDAD[[#This Row],[Ubicación]],SAP[],10,FALSE),"")</f>
        <v>104</v>
      </c>
      <c r="L180" s="48">
        <f>IFERROR(VLOOKUP(CANTIDAD[[#This Row],[Producto]],MARA[],5,FALSE),"")</f>
        <v>9</v>
      </c>
      <c r="M180" s="48" t="str">
        <f>IFERROR(VLOOKUP(CANTIDAD[[#This Row],[Producto]],MARA[],4,FALSE),"")</f>
        <v>CJA</v>
      </c>
      <c r="N180" s="136" t="s">
        <v>4513</v>
      </c>
    </row>
    <row r="181" spans="1:14" hidden="1">
      <c r="A181" s="139" t="str">
        <f t="shared" si="2"/>
        <v>PASILLO 7</v>
      </c>
      <c r="B181" s="93" t="s">
        <v>3350</v>
      </c>
      <c r="C181" s="11">
        <f>IFERROR(VLOOKUP(CANTIDAD[[#This Row],[Ubicación]],SAP[],3,FALSE),"")</f>
        <v>8305332</v>
      </c>
      <c r="D181" s="30">
        <f>IFERROR(VLOOKUP(CANTIDAD[[#This Row],[Producto]],MARA[],3,FALSE),"")</f>
        <v>17750243084441</v>
      </c>
      <c r="E181" s="13" t="str">
        <f>IFERROR(VLOOKUP(CANTIDAD[[#This Row],[Ubicación]],SAP[],4,FALSE),"")</f>
        <v>SAP.PROF.LAVAV. LIQ. LIMÓN 4L 4FCO</v>
      </c>
      <c r="F181" s="13">
        <f>IFERROR(VLOOKUP(CANTIDAD[[#This Row],[Ubicación]],SAP[],8,FALSE),"")</f>
        <v>20</v>
      </c>
      <c r="G181" s="13" t="str">
        <f>IFERROR(VLOOKUP(CANTIDAD[[#This Row],[Ubicación]],SAP[],9,FALSE),"")</f>
        <v>CJA</v>
      </c>
      <c r="H181" s="13">
        <f>IFERROR(VLOOKUP(CANTIDAD[[#This Row],[Ubicación]],SAP[],5,FALSE),"")</f>
        <v>2608125060</v>
      </c>
      <c r="I181" s="43">
        <f>IFERROR(VLOOKUP(CANTIDAD[[#This Row],[Ubicación]],SAP[],6,FALSE),"")</f>
        <v>47460</v>
      </c>
      <c r="J181" s="13" t="str">
        <f>IFERROR(VLOOKUP(CANTIDAD[[#This Row],[Ubicación]],SAP[],7,FALSE),"")</f>
        <v>1F</v>
      </c>
      <c r="K181" s="14">
        <f>IFERROR(VLOOKUP(CANTIDAD[[#This Row],[Ubicación]],SAP[],10,FALSE),"")</f>
        <v>80</v>
      </c>
      <c r="L181" s="48">
        <f>IFERROR(VLOOKUP(CANTIDAD[[#This Row],[Producto]],MARA[],5,FALSE),"")</f>
        <v>9</v>
      </c>
      <c r="M181" s="48" t="str">
        <f>IFERROR(VLOOKUP(CANTIDAD[[#This Row],[Producto]],MARA[],4,FALSE),"")</f>
        <v>CJA</v>
      </c>
      <c r="N181" s="136" t="s">
        <v>4514</v>
      </c>
    </row>
    <row r="182" spans="1:14" hidden="1">
      <c r="A182" s="139" t="str">
        <f t="shared" si="2"/>
        <v>PASILLO 7</v>
      </c>
      <c r="B182" s="92" t="s">
        <v>4515</v>
      </c>
      <c r="C182" s="11" t="str">
        <f>IFERROR(VLOOKUP(CANTIDAD[[#This Row],[Ubicación]],SAP[],3,FALSE),"")</f>
        <v/>
      </c>
      <c r="D182" s="29" t="str">
        <f>IFERROR(VLOOKUP(CANTIDAD[[#This Row],[Producto]],MARA[],3,FALSE),"")</f>
        <v/>
      </c>
      <c r="E182" s="11" t="str">
        <f>IFERROR(VLOOKUP(CANTIDAD[[#This Row],[Ubicación]],SAP[],4,FALSE),"")</f>
        <v/>
      </c>
      <c r="F182" s="11" t="str">
        <f>IFERROR(VLOOKUP(CANTIDAD[[#This Row],[Ubicación]],SAP[],8,FALSE),"")</f>
        <v/>
      </c>
      <c r="G182" s="11" t="str">
        <f>IFERROR(VLOOKUP(CANTIDAD[[#This Row],[Ubicación]],SAP[],9,FALSE),"")</f>
        <v/>
      </c>
      <c r="H182" s="11" t="str">
        <f>IFERROR(VLOOKUP(CANTIDAD[[#This Row],[Ubicación]],SAP[],5,FALSE),"")</f>
        <v/>
      </c>
      <c r="I182" s="42" t="str">
        <f>IFERROR(VLOOKUP(CANTIDAD[[#This Row],[Ubicación]],SAP[],6,FALSE),"")</f>
        <v/>
      </c>
      <c r="J182" s="11" t="str">
        <f>IFERROR(VLOOKUP(CANTIDAD[[#This Row],[Ubicación]],SAP[],7,FALSE),"")</f>
        <v/>
      </c>
      <c r="K182" s="11" t="str">
        <f>IFERROR(VLOOKUP(CANTIDAD[[#This Row],[Ubicación]],SAP[],10,FALSE),"")</f>
        <v/>
      </c>
      <c r="L182" s="48" t="str">
        <f>IFERROR(VLOOKUP(CANTIDAD[[#This Row],[Producto]],MARA[],5,FALSE),"")</f>
        <v/>
      </c>
      <c r="M182" s="48" t="str">
        <f>IFERROR(VLOOKUP(CANTIDAD[[#This Row],[Producto]],MARA[],4,FALSE),"")</f>
        <v/>
      </c>
      <c r="N182" s="136" t="s">
        <v>4516</v>
      </c>
    </row>
    <row r="183" spans="1:14" hidden="1">
      <c r="A183" s="139" t="str">
        <f t="shared" si="2"/>
        <v>PASILLO 7</v>
      </c>
      <c r="B183" s="93" t="s">
        <v>4517</v>
      </c>
      <c r="C183" s="11" t="str">
        <f>IFERROR(VLOOKUP(CANTIDAD[[#This Row],[Ubicación]],SAP[],3,FALSE),"")</f>
        <v/>
      </c>
      <c r="D183" s="30" t="str">
        <f>IFERROR(VLOOKUP(CANTIDAD[[#This Row],[Producto]],MARA[],3,FALSE),"")</f>
        <v/>
      </c>
      <c r="E183" s="13" t="str">
        <f>IFERROR(VLOOKUP(CANTIDAD[[#This Row],[Ubicación]],SAP[],4,FALSE),"")</f>
        <v/>
      </c>
      <c r="F183" s="13" t="str">
        <f>IFERROR(VLOOKUP(CANTIDAD[[#This Row],[Ubicación]],SAP[],8,FALSE),"")</f>
        <v/>
      </c>
      <c r="G183" s="13" t="str">
        <f>IFERROR(VLOOKUP(CANTIDAD[[#This Row],[Ubicación]],SAP[],9,FALSE),"")</f>
        <v/>
      </c>
      <c r="H183" s="13" t="str">
        <f>IFERROR(VLOOKUP(CANTIDAD[[#This Row],[Ubicación]],SAP[],5,FALSE),"")</f>
        <v/>
      </c>
      <c r="I183" s="43" t="str">
        <f>IFERROR(VLOOKUP(CANTIDAD[[#This Row],[Ubicación]],SAP[],6,FALSE),"")</f>
        <v/>
      </c>
      <c r="J183" s="13" t="str">
        <f>IFERROR(VLOOKUP(CANTIDAD[[#This Row],[Ubicación]],SAP[],7,FALSE),"")</f>
        <v/>
      </c>
      <c r="K183" s="14" t="str">
        <f>IFERROR(VLOOKUP(CANTIDAD[[#This Row],[Ubicación]],SAP[],10,FALSE),"")</f>
        <v/>
      </c>
      <c r="L183" s="48" t="str">
        <f>IFERROR(VLOOKUP(CANTIDAD[[#This Row],[Producto]],MARA[],5,FALSE),"")</f>
        <v/>
      </c>
      <c r="M183" s="48" t="str">
        <f>IFERROR(VLOOKUP(CANTIDAD[[#This Row],[Producto]],MARA[],4,FALSE),"")</f>
        <v/>
      </c>
      <c r="N183" s="136" t="s">
        <v>4518</v>
      </c>
    </row>
    <row r="184" spans="1:14" hidden="1">
      <c r="A184" s="139" t="str">
        <f t="shared" si="2"/>
        <v>PASILLO 7</v>
      </c>
      <c r="B184" s="92" t="s">
        <v>3605</v>
      </c>
      <c r="C184" s="11">
        <f>IFERROR(VLOOKUP(CANTIDAD[[#This Row],[Ubicación]],SAP[],3,FALSE),"")</f>
        <v>8316111</v>
      </c>
      <c r="D184" s="29">
        <f>IFERROR(VLOOKUP(CANTIDAD[[#This Row],[Producto]],MARA[],3,FALSE),"")</f>
        <v>17750243084489</v>
      </c>
      <c r="E184" s="11" t="str">
        <f>IFERROR(VLOOKUP(CANTIDAD[[#This Row],[Ubicación]],SAP[],4,FALSE),"")</f>
        <v>DESINFECTANTE PINO SAPOL. PROF 4L 4UND</v>
      </c>
      <c r="F184" s="11">
        <f>IFERROR(VLOOKUP(CANTIDAD[[#This Row],[Ubicación]],SAP[],8,FALSE),"")</f>
        <v>1</v>
      </c>
      <c r="G184" s="11" t="str">
        <f>IFERROR(VLOOKUP(CANTIDAD[[#This Row],[Ubicación]],SAP[],9,FALSE),"")</f>
        <v>CJA</v>
      </c>
      <c r="H184" s="11">
        <f>IFERROR(VLOOKUP(CANTIDAD[[#This Row],[Ubicación]],SAP[],5,FALSE),"")</f>
        <v>2605125060</v>
      </c>
      <c r="I184" s="42">
        <f>IFERROR(VLOOKUP(CANTIDAD[[#This Row],[Ubicación]],SAP[],6,FALSE),"")</f>
        <v>47092</v>
      </c>
      <c r="J184" s="11" t="str">
        <f>IFERROR(VLOOKUP(CANTIDAD[[#This Row],[Ubicación]],SAP[],7,FALSE),"")</f>
        <v>1F</v>
      </c>
      <c r="K184" s="11">
        <f>IFERROR(VLOOKUP(CANTIDAD[[#This Row],[Ubicación]],SAP[],10,FALSE),"")</f>
        <v>4</v>
      </c>
      <c r="L184" s="48">
        <f>IFERROR(VLOOKUP(CANTIDAD[[#This Row],[Producto]],MARA[],5,FALSE),"")</f>
        <v>9</v>
      </c>
      <c r="M184" s="48" t="str">
        <f>IFERROR(VLOOKUP(CANTIDAD[[#This Row],[Producto]],MARA[],4,FALSE),"")</f>
        <v>CJA</v>
      </c>
      <c r="N184" s="136" t="s">
        <v>4519</v>
      </c>
    </row>
    <row r="185" spans="1:14" hidden="1">
      <c r="A185" s="139" t="str">
        <f t="shared" si="2"/>
        <v>PASILLO 7</v>
      </c>
      <c r="B185" s="93" t="s">
        <v>3564</v>
      </c>
      <c r="C185" s="11">
        <f>IFERROR(VLOOKUP(CANTIDAD[[#This Row],[Ubicación]],SAP[],3,FALSE),"")</f>
        <v>8315147</v>
      </c>
      <c r="D185" s="30">
        <f>IFERROR(VLOOKUP(CANTIDAD[[#This Row],[Producto]],MARA[],3,FALSE),"")</f>
        <v>17750243084465</v>
      </c>
      <c r="E185" s="13" t="str">
        <f>IFERROR(VLOOKUP(CANTIDAD[[#This Row],[Ubicación]],SAP[],4,FALSE),"")</f>
        <v>SACAGRASA LIMON SAPOLIO PROF 4L 4UND</v>
      </c>
      <c r="F185" s="13">
        <f>IFERROR(VLOOKUP(CANTIDAD[[#This Row],[Ubicación]],SAP[],8,FALSE),"")</f>
        <v>6</v>
      </c>
      <c r="G185" s="13" t="str">
        <f>IFERROR(VLOOKUP(CANTIDAD[[#This Row],[Ubicación]],SAP[],9,FALSE),"")</f>
        <v>CJA</v>
      </c>
      <c r="H185" s="13">
        <f>IFERROR(VLOOKUP(CANTIDAD[[#This Row],[Ubicación]],SAP[],5,FALSE),"")</f>
        <v>2607275060</v>
      </c>
      <c r="I185" s="43" t="str">
        <f>IFERROR(VLOOKUP(CANTIDAD[[#This Row],[Ubicación]],SAP[],6,FALSE),"")</f>
        <v>27/07/2029</v>
      </c>
      <c r="J185" s="13" t="str">
        <f>IFERROR(VLOOKUP(CANTIDAD[[#This Row],[Ubicación]],SAP[],7,FALSE),"")</f>
        <v>1F</v>
      </c>
      <c r="K185" s="14">
        <f>IFERROR(VLOOKUP(CANTIDAD[[#This Row],[Ubicación]],SAP[],10,FALSE),"")</f>
        <v>24</v>
      </c>
      <c r="L185" s="48">
        <f>IFERROR(VLOOKUP(CANTIDAD[[#This Row],[Producto]],MARA[],5,FALSE),"")</f>
        <v>9</v>
      </c>
      <c r="M185" s="48" t="str">
        <f>IFERROR(VLOOKUP(CANTIDAD[[#This Row],[Producto]],MARA[],4,FALSE),"")</f>
        <v>CJA</v>
      </c>
      <c r="N185" s="136" t="s">
        <v>4520</v>
      </c>
    </row>
    <row r="186" spans="1:14" hidden="1">
      <c r="A186" s="139" t="str">
        <f t="shared" si="2"/>
        <v>PASILLO 7</v>
      </c>
      <c r="B186" s="92" t="s">
        <v>3566</v>
      </c>
      <c r="C186" s="11">
        <f>IFERROR(VLOOKUP(CANTIDAD[[#This Row],[Ubicación]],SAP[],3,FALSE),"")</f>
        <v>8315148</v>
      </c>
      <c r="D186" s="29">
        <f>IFERROR(VLOOKUP(CANTIDAD[[#This Row],[Producto]],MARA[],3,FALSE),"")</f>
        <v>17750243084472</v>
      </c>
      <c r="E186" s="11" t="str">
        <f>IFERROR(VLOOKUP(CANTIDAD[[#This Row],[Ubicación]],SAP[],4,FALSE),"")</f>
        <v>LIMPIAVIDRIOS SAPOLIO PROF. 4L 4UN</v>
      </c>
      <c r="F186" s="11">
        <f>IFERROR(VLOOKUP(CANTIDAD[[#This Row],[Ubicación]],SAP[],8,FALSE),"")</f>
        <v>18</v>
      </c>
      <c r="G186" s="11" t="str">
        <f>IFERROR(VLOOKUP(CANTIDAD[[#This Row],[Ubicación]],SAP[],9,FALSE),"")</f>
        <v>CJA</v>
      </c>
      <c r="H186" s="11">
        <f>IFERROR(VLOOKUP(CANTIDAD[[#This Row],[Ubicación]],SAP[],5,FALSE),"")</f>
        <v>2608055060</v>
      </c>
      <c r="I186" s="42">
        <f>IFERROR(VLOOKUP(CANTIDAD[[#This Row],[Ubicación]],SAP[],6,FALSE),"")</f>
        <v>47246</v>
      </c>
      <c r="J186" s="11" t="str">
        <f>IFERROR(VLOOKUP(CANTIDAD[[#This Row],[Ubicación]],SAP[],7,FALSE),"")</f>
        <v>1F</v>
      </c>
      <c r="K186" s="11">
        <f>IFERROR(VLOOKUP(CANTIDAD[[#This Row],[Ubicación]],SAP[],10,FALSE),"")</f>
        <v>72</v>
      </c>
      <c r="L186" s="48">
        <f>IFERROR(VLOOKUP(CANTIDAD[[#This Row],[Producto]],MARA[],5,FALSE),"")</f>
        <v>9</v>
      </c>
      <c r="M186" s="48" t="str">
        <f>IFERROR(VLOOKUP(CANTIDAD[[#This Row],[Producto]],MARA[],4,FALSE),"")</f>
        <v>CJA</v>
      </c>
      <c r="N186" s="136" t="s">
        <v>4521</v>
      </c>
    </row>
    <row r="187" spans="1:14" hidden="1">
      <c r="A187" s="139" t="str">
        <f t="shared" si="2"/>
        <v>PASILLO 7</v>
      </c>
      <c r="B187" s="93" t="s">
        <v>3415</v>
      </c>
      <c r="C187" s="11">
        <f>IFERROR(VLOOKUP(CANTIDAD[[#This Row],[Ubicación]],SAP[],3,FALSE),"")</f>
        <v>8306007</v>
      </c>
      <c r="D187" s="30">
        <f>IFERROR(VLOOKUP(CANTIDAD[[#This Row],[Producto]],MARA[],3,FALSE),"")</f>
        <v>17751851016572</v>
      </c>
      <c r="E187" s="13" t="str">
        <f>IFERROR(VLOOKUP(CANTIDAD[[#This Row],[Ubicación]],SAP[],4,FALSE),"")</f>
        <v>QUITAM.ROPA COLOR SAPOLIO 3785ML 4UND</v>
      </c>
      <c r="F187" s="13">
        <f>IFERROR(VLOOKUP(CANTIDAD[[#This Row],[Ubicación]],SAP[],8,FALSE),"")</f>
        <v>31</v>
      </c>
      <c r="G187" s="13" t="str">
        <f>IFERROR(VLOOKUP(CANTIDAD[[#This Row],[Ubicación]],SAP[],9,FALSE),"")</f>
        <v>CJA</v>
      </c>
      <c r="H187" s="13">
        <f>IFERROR(VLOOKUP(CANTIDAD[[#This Row],[Ubicación]],SAP[],5,FALSE),"")</f>
        <v>2607255060</v>
      </c>
      <c r="I187" s="43" t="str">
        <f>IFERROR(VLOOKUP(CANTIDAD[[#This Row],[Ubicación]],SAP[],6,FALSE),"")</f>
        <v>25/07/2028</v>
      </c>
      <c r="J187" s="13" t="str">
        <f>IFERROR(VLOOKUP(CANTIDAD[[#This Row],[Ubicación]],SAP[],7,FALSE),"")</f>
        <v>1F</v>
      </c>
      <c r="K187" s="14">
        <f>IFERROR(VLOOKUP(CANTIDAD[[#This Row],[Ubicación]],SAP[],10,FALSE),"")</f>
        <v>124</v>
      </c>
      <c r="L187" s="48">
        <f>IFERROR(VLOOKUP(CANTIDAD[[#This Row],[Producto]],MARA[],5,FALSE),"")</f>
        <v>9</v>
      </c>
      <c r="M187" s="48" t="str">
        <f>IFERROR(VLOOKUP(CANTIDAD[[#This Row],[Producto]],MARA[],4,FALSE),"")</f>
        <v>CJA</v>
      </c>
      <c r="N187" s="136" t="s">
        <v>4522</v>
      </c>
    </row>
    <row r="188" spans="1:14" hidden="1">
      <c r="A188" s="139" t="str">
        <f t="shared" si="2"/>
        <v>PASILLO 7</v>
      </c>
      <c r="B188" s="92" t="s">
        <v>4523</v>
      </c>
      <c r="C188" s="11" t="str">
        <f>IFERROR(VLOOKUP(CANTIDAD[[#This Row],[Ubicación]],SAP[],3,FALSE),"")</f>
        <v/>
      </c>
      <c r="D188" s="29" t="str">
        <f>IFERROR(VLOOKUP(CANTIDAD[[#This Row],[Producto]],MARA[],3,FALSE),"")</f>
        <v/>
      </c>
      <c r="E188" s="11" t="str">
        <f>IFERROR(VLOOKUP(CANTIDAD[[#This Row],[Ubicación]],SAP[],4,FALSE),"")</f>
        <v/>
      </c>
      <c r="F188" s="11" t="str">
        <f>IFERROR(VLOOKUP(CANTIDAD[[#This Row],[Ubicación]],SAP[],8,FALSE),"")</f>
        <v/>
      </c>
      <c r="G188" s="11" t="str">
        <f>IFERROR(VLOOKUP(CANTIDAD[[#This Row],[Ubicación]],SAP[],9,FALSE),"")</f>
        <v/>
      </c>
      <c r="H188" s="11" t="str">
        <f>IFERROR(VLOOKUP(CANTIDAD[[#This Row],[Ubicación]],SAP[],5,FALSE),"")</f>
        <v/>
      </c>
      <c r="I188" s="42" t="str">
        <f>IFERROR(VLOOKUP(CANTIDAD[[#This Row],[Ubicación]],SAP[],6,FALSE),"")</f>
        <v/>
      </c>
      <c r="J188" s="11" t="str">
        <f>IFERROR(VLOOKUP(CANTIDAD[[#This Row],[Ubicación]],SAP[],7,FALSE),"")</f>
        <v/>
      </c>
      <c r="K188" s="11" t="str">
        <f>IFERROR(VLOOKUP(CANTIDAD[[#This Row],[Ubicación]],SAP[],10,FALSE),"")</f>
        <v/>
      </c>
      <c r="L188" s="48" t="str">
        <f>IFERROR(VLOOKUP(CANTIDAD[[#This Row],[Producto]],MARA[],5,FALSE),"")</f>
        <v/>
      </c>
      <c r="M188" s="48" t="str">
        <f>IFERROR(VLOOKUP(CANTIDAD[[#This Row],[Producto]],MARA[],4,FALSE),"")</f>
        <v/>
      </c>
      <c r="N188" s="136" t="s">
        <v>4524</v>
      </c>
    </row>
    <row r="189" spans="1:14" hidden="1">
      <c r="A189" s="139" t="str">
        <f t="shared" si="2"/>
        <v>PASILLO 7</v>
      </c>
      <c r="B189" s="93" t="s">
        <v>3418</v>
      </c>
      <c r="C189" s="11">
        <f>IFERROR(VLOOKUP(CANTIDAD[[#This Row],[Ubicación]],SAP[],3,FALSE),"")</f>
        <v>8306030</v>
      </c>
      <c r="D189" s="30">
        <f>IFERROR(VLOOKUP(CANTIDAD[[#This Row],[Producto]],MARA[],3,FALSE),"")</f>
        <v>17750243070727</v>
      </c>
      <c r="E189" s="13" t="str">
        <f>IFERROR(VLOOKUP(CANTIDAD[[#This Row],[Ubicación]],SAP[],4,FALSE),"")</f>
        <v>QUITAM. KLINTEX 3785ML 4UND</v>
      </c>
      <c r="F189" s="13">
        <f>IFERROR(VLOOKUP(CANTIDAD[[#This Row],[Ubicación]],SAP[],8,FALSE),"")</f>
        <v>27</v>
      </c>
      <c r="G189" s="13" t="str">
        <f>IFERROR(VLOOKUP(CANTIDAD[[#This Row],[Ubicación]],SAP[],9,FALSE),"")</f>
        <v>CJA</v>
      </c>
      <c r="H189" s="13">
        <f>IFERROR(VLOOKUP(CANTIDAD[[#This Row],[Ubicación]],SAP[],5,FALSE),"")</f>
        <v>2607245060</v>
      </c>
      <c r="I189" s="43" t="str">
        <f>IFERROR(VLOOKUP(CANTIDAD[[#This Row],[Ubicación]],SAP[],6,FALSE),"")</f>
        <v>24/07/2029</v>
      </c>
      <c r="J189" s="13" t="str">
        <f>IFERROR(VLOOKUP(CANTIDAD[[#This Row],[Ubicación]],SAP[],7,FALSE),"")</f>
        <v>1F</v>
      </c>
      <c r="K189" s="14">
        <f>IFERROR(VLOOKUP(CANTIDAD[[#This Row],[Ubicación]],SAP[],10,FALSE),"")</f>
        <v>108</v>
      </c>
      <c r="L189" s="48">
        <f>IFERROR(VLOOKUP(CANTIDAD[[#This Row],[Producto]],MARA[],5,FALSE),"")</f>
        <v>9</v>
      </c>
      <c r="M189" s="48" t="str">
        <f>IFERROR(VLOOKUP(CANTIDAD[[#This Row],[Producto]],MARA[],4,FALSE),"")</f>
        <v>CJA</v>
      </c>
      <c r="N189" s="136" t="s">
        <v>4525</v>
      </c>
    </row>
    <row r="190" spans="1:14" hidden="1">
      <c r="A190" s="139" t="str">
        <f t="shared" si="2"/>
        <v>PASILLO 7</v>
      </c>
      <c r="B190" s="92" t="s">
        <v>3853</v>
      </c>
      <c r="C190" s="11">
        <f>IFERROR(VLOOKUP(CANTIDAD[[#This Row],[Ubicación]],SAP[],3,FALSE),"")</f>
        <v>8400702</v>
      </c>
      <c r="D190" s="29">
        <f>IFERROR(VLOOKUP(CANTIDAD[[#This Row],[Producto]],MARA[],3,FALSE),"")</f>
        <v>27750243085025</v>
      </c>
      <c r="E190" s="11" t="str">
        <f>IFERROR(VLOOKUP(CANTIDAD[[#This Row],[Ubicación]],SAP[],4,FALSE),"")</f>
        <v>DET. LIQ.BOLIVAR FLORAL FLUYE 5L 3FCO</v>
      </c>
      <c r="F190" s="11">
        <f>IFERROR(VLOOKUP(CANTIDAD[[#This Row],[Ubicación]],SAP[],8,FALSE),"")</f>
        <v>24</v>
      </c>
      <c r="G190" s="11" t="str">
        <f>IFERROR(VLOOKUP(CANTIDAD[[#This Row],[Ubicación]],SAP[],9,FALSE),"")</f>
        <v>CJA</v>
      </c>
      <c r="H190" s="11" t="str">
        <f>IFERROR(VLOOKUP(CANTIDAD[[#This Row],[Ubicación]],SAP[],5,FALSE),"")</f>
        <v>20824716M</v>
      </c>
      <c r="I190" s="42">
        <f>IFERROR(VLOOKUP(CANTIDAD[[#This Row],[Ubicación]],SAP[],6,FALSE),"")</f>
        <v>46760</v>
      </c>
      <c r="J190" s="11" t="str">
        <f>IFERROR(VLOOKUP(CANTIDAD[[#This Row],[Ubicación]],SAP[],7,FALSE),"")</f>
        <v>1F</v>
      </c>
      <c r="K190" s="11">
        <f>IFERROR(VLOOKUP(CANTIDAD[[#This Row],[Ubicación]],SAP[],10,FALSE),"")</f>
        <v>72</v>
      </c>
      <c r="L190" s="48">
        <f>IFERROR(VLOOKUP(CANTIDAD[[#This Row],[Producto]],MARA[],5,FALSE),"")</f>
        <v>9</v>
      </c>
      <c r="M190" s="48" t="str">
        <f>IFERROR(VLOOKUP(CANTIDAD[[#This Row],[Producto]],MARA[],4,FALSE),"")</f>
        <v>CJA</v>
      </c>
      <c r="N190" s="136" t="s">
        <v>4526</v>
      </c>
    </row>
    <row r="191" spans="1:14" hidden="1">
      <c r="A191" s="139" t="str">
        <f t="shared" si="2"/>
        <v>PASILLO 7</v>
      </c>
      <c r="B191" s="93" t="s">
        <v>3581</v>
      </c>
      <c r="C191" s="11">
        <f>IFERROR(VLOOKUP(CANTIDAD[[#This Row],[Ubicación]],SAP[],3,FALSE),"")</f>
        <v>8316019</v>
      </c>
      <c r="D191" s="30">
        <f>IFERROR(VLOOKUP(CANTIDAD[[#This Row],[Producto]],MARA[],3,FALSE),"")</f>
        <v>17751851008164</v>
      </c>
      <c r="E191" s="13" t="str">
        <f>IFERROR(VLOOKUP(CANTIDAD[[#This Row],[Ubicación]],SAP[],4,FALSE),"")</f>
        <v>DESINF.PINO NATURAL SAPOLIO 3785ML 4UND</v>
      </c>
      <c r="F191" s="13">
        <f>IFERROR(VLOOKUP(CANTIDAD[[#This Row],[Ubicación]],SAP[],8,FALSE),"")</f>
        <v>16</v>
      </c>
      <c r="G191" s="13" t="str">
        <f>IFERROR(VLOOKUP(CANTIDAD[[#This Row],[Ubicación]],SAP[],9,FALSE),"")</f>
        <v>CJA</v>
      </c>
      <c r="H191" s="13">
        <f>IFERROR(VLOOKUP(CANTIDAD[[#This Row],[Ubicación]],SAP[],5,FALSE),"")</f>
        <v>2510105010</v>
      </c>
      <c r="I191" s="43">
        <f>IFERROR(VLOOKUP(CANTIDAD[[#This Row],[Ubicación]],SAP[],6,FALSE),"")</f>
        <v>47036</v>
      </c>
      <c r="J191" s="13" t="str">
        <f>IFERROR(VLOOKUP(CANTIDAD[[#This Row],[Ubicación]],SAP[],7,FALSE),"")</f>
        <v>1F</v>
      </c>
      <c r="K191" s="14">
        <f>IFERROR(VLOOKUP(CANTIDAD[[#This Row],[Ubicación]],SAP[],10,FALSE),"")</f>
        <v>64</v>
      </c>
      <c r="L191" s="48">
        <f>IFERROR(VLOOKUP(CANTIDAD[[#This Row],[Producto]],MARA[],5,FALSE),"")</f>
        <v>9</v>
      </c>
      <c r="M191" s="48" t="str">
        <f>IFERROR(VLOOKUP(CANTIDAD[[#This Row],[Producto]],MARA[],4,FALSE),"")</f>
        <v>CJA</v>
      </c>
      <c r="N191" s="136" t="s">
        <v>4527</v>
      </c>
    </row>
    <row r="192" spans="1:14" hidden="1">
      <c r="A192" s="139" t="str">
        <f t="shared" si="2"/>
        <v>PASILLO 8</v>
      </c>
      <c r="B192" s="92" t="s">
        <v>4528</v>
      </c>
      <c r="C192" s="11" t="str">
        <f>IFERROR(VLOOKUP(CANTIDAD[[#This Row],[Ubicación]],SAP[],3,FALSE),"")</f>
        <v/>
      </c>
      <c r="D192" s="29" t="str">
        <f>IFERROR(VLOOKUP(CANTIDAD[[#This Row],[Producto]],MARA[],3,FALSE),"")</f>
        <v/>
      </c>
      <c r="E192" s="11" t="str">
        <f>IFERROR(VLOOKUP(CANTIDAD[[#This Row],[Ubicación]],SAP[],4,FALSE),"")</f>
        <v/>
      </c>
      <c r="F192" s="11" t="str">
        <f>IFERROR(VLOOKUP(CANTIDAD[[#This Row],[Ubicación]],SAP[],8,FALSE),"")</f>
        <v/>
      </c>
      <c r="G192" s="11" t="str">
        <f>IFERROR(VLOOKUP(CANTIDAD[[#This Row],[Ubicación]],SAP[],9,FALSE),"")</f>
        <v/>
      </c>
      <c r="H192" s="11" t="str">
        <f>IFERROR(VLOOKUP(CANTIDAD[[#This Row],[Ubicación]],SAP[],5,FALSE),"")</f>
        <v/>
      </c>
      <c r="I192" s="42" t="str">
        <f>IFERROR(VLOOKUP(CANTIDAD[[#This Row],[Ubicación]],SAP[],6,FALSE),"")</f>
        <v/>
      </c>
      <c r="J192" s="11" t="str">
        <f>IFERROR(VLOOKUP(CANTIDAD[[#This Row],[Ubicación]],SAP[],7,FALSE),"")</f>
        <v/>
      </c>
      <c r="K192" s="11" t="str">
        <f>IFERROR(VLOOKUP(CANTIDAD[[#This Row],[Ubicación]],SAP[],10,FALSE),"")</f>
        <v/>
      </c>
      <c r="L192" s="48" t="str">
        <f>IFERROR(VLOOKUP(CANTIDAD[[#This Row],[Producto]],MARA[],5,FALSE),"")</f>
        <v/>
      </c>
      <c r="M192" s="48" t="str">
        <f>IFERROR(VLOOKUP(CANTIDAD[[#This Row],[Producto]],MARA[],4,FALSE),"")</f>
        <v/>
      </c>
      <c r="N192" s="136" t="s">
        <v>4529</v>
      </c>
    </row>
    <row r="193" spans="1:14" hidden="1">
      <c r="A193" s="139" t="str">
        <f t="shared" si="2"/>
        <v>PASILLO 8</v>
      </c>
      <c r="B193" s="93" t="s">
        <v>4530</v>
      </c>
      <c r="C193" s="11" t="str">
        <f>IFERROR(VLOOKUP(CANTIDAD[[#This Row],[Ubicación]],SAP[],3,FALSE),"")</f>
        <v/>
      </c>
      <c r="D193" s="30" t="str">
        <f>IFERROR(VLOOKUP(CANTIDAD[[#This Row],[Producto]],MARA[],3,FALSE),"")</f>
        <v/>
      </c>
      <c r="E193" s="13" t="str">
        <f>IFERROR(VLOOKUP(CANTIDAD[[#This Row],[Ubicación]],SAP[],4,FALSE),"")</f>
        <v/>
      </c>
      <c r="F193" s="13" t="str">
        <f>IFERROR(VLOOKUP(CANTIDAD[[#This Row],[Ubicación]],SAP[],8,FALSE),"")</f>
        <v/>
      </c>
      <c r="G193" s="13" t="str">
        <f>IFERROR(VLOOKUP(CANTIDAD[[#This Row],[Ubicación]],SAP[],9,FALSE),"")</f>
        <v/>
      </c>
      <c r="H193" s="13" t="str">
        <f>IFERROR(VLOOKUP(CANTIDAD[[#This Row],[Ubicación]],SAP[],5,FALSE),"")</f>
        <v/>
      </c>
      <c r="I193" s="43" t="str">
        <f>IFERROR(VLOOKUP(CANTIDAD[[#This Row],[Ubicación]],SAP[],6,FALSE),"")</f>
        <v/>
      </c>
      <c r="J193" s="13" t="str">
        <f>IFERROR(VLOOKUP(CANTIDAD[[#This Row],[Ubicación]],SAP[],7,FALSE),"")</f>
        <v/>
      </c>
      <c r="K193" s="14" t="str">
        <f>IFERROR(VLOOKUP(CANTIDAD[[#This Row],[Ubicación]],SAP[],10,FALSE),"")</f>
        <v/>
      </c>
      <c r="L193" s="48" t="str">
        <f>IFERROR(VLOOKUP(CANTIDAD[[#This Row],[Producto]],MARA[],5,FALSE),"")</f>
        <v/>
      </c>
      <c r="M193" s="48" t="str">
        <f>IFERROR(VLOOKUP(CANTIDAD[[#This Row],[Producto]],MARA[],4,FALSE),"")</f>
        <v/>
      </c>
      <c r="N193" s="137" t="s">
        <v>4531</v>
      </c>
    </row>
    <row r="194" spans="1:14" hidden="1">
      <c r="A194" s="139" t="str">
        <f t="shared" ref="A194:A257" si="3">"PASILLO " &amp; VALUE(MID(B194, 4, 2))</f>
        <v>PASILLO 8</v>
      </c>
      <c r="B194" s="92" t="s">
        <v>3688</v>
      </c>
      <c r="C194" s="11">
        <f>IFERROR(VLOOKUP(CANTIDAD[[#This Row],[Ubicación]],SAP[],3,FALSE),"")</f>
        <v>8321111</v>
      </c>
      <c r="D194" s="29">
        <f>IFERROR(VLOOKUP(CANTIDAD[[#This Row],[Producto]],MARA[],3,FALSE),"")</f>
        <v>17750243073988</v>
      </c>
      <c r="E194" s="11" t="str">
        <f>IFERROR(VLOOKUP(CANTIDAD[[#This Row],[Ubicación]],SAP[],4,FALSE),"")</f>
        <v>OLEO REPARA PUNTAS AMARAS 12FCO 60ML</v>
      </c>
      <c r="F194" s="11">
        <f>IFERROR(VLOOKUP(CANTIDAD[[#This Row],[Ubicación]],SAP[],8,FALSE),"")</f>
        <v>89</v>
      </c>
      <c r="G194" s="11" t="str">
        <f>IFERROR(VLOOKUP(CANTIDAD[[#This Row],[Ubicación]],SAP[],9,FALSE),"")</f>
        <v>CJA</v>
      </c>
      <c r="H194" s="11">
        <f>IFERROR(VLOOKUP(CANTIDAD[[#This Row],[Ubicación]],SAP[],5,FALSE),"")</f>
        <v>20600046</v>
      </c>
      <c r="I194" s="42">
        <f>IFERROR(VLOOKUP(CANTIDAD[[#This Row],[Ubicación]],SAP[],6,FALSE),"")</f>
        <v>46971</v>
      </c>
      <c r="J194" s="11" t="str">
        <f>IFERROR(VLOOKUP(CANTIDAD[[#This Row],[Ubicación]],SAP[],7,FALSE),"")</f>
        <v>1F</v>
      </c>
      <c r="K194" s="17">
        <f>IFERROR(VLOOKUP(CANTIDAD[[#This Row],[Ubicación]],SAP[],10,FALSE),"")</f>
        <v>1068</v>
      </c>
      <c r="L194" s="48">
        <f>IFERROR(VLOOKUP(CANTIDAD[[#This Row],[Producto]],MARA[],5,FALSE),"")</f>
        <v>68</v>
      </c>
      <c r="M194" s="48" t="str">
        <f>IFERROR(VLOOKUP(CANTIDAD[[#This Row],[Producto]],MARA[],4,FALSE),"")</f>
        <v>CJA</v>
      </c>
      <c r="N194" s="136" t="s">
        <v>4532</v>
      </c>
    </row>
    <row r="195" spans="1:14" hidden="1">
      <c r="A195" s="139" t="str">
        <f t="shared" si="3"/>
        <v>PASILLO 8</v>
      </c>
      <c r="B195" s="93" t="s">
        <v>3187</v>
      </c>
      <c r="C195" s="11">
        <f>IFERROR(VLOOKUP(CANTIDAD[[#This Row],[Ubicación]],SAP[],3,FALSE),"")</f>
        <v>8301104</v>
      </c>
      <c r="D195" s="30">
        <f>IFERROR(VLOOKUP(CANTIDAD[[#This Row],[Producto]],MARA[],3,FALSE),"")</f>
        <v>17751851014967</v>
      </c>
      <c r="E195" s="13" t="str">
        <f>IFERROR(VLOOKUP(CANTIDAD[[#This Row],[Ubicación]],SAP[],4,FALSE),"")</f>
        <v>CEP DENTO GALAXY NIÑOS 14UND 6DSP</v>
      </c>
      <c r="F195" s="13">
        <f>IFERROR(VLOOKUP(CANTIDAD[[#This Row],[Ubicación]],SAP[],8,FALSE),"")</f>
        <v>53</v>
      </c>
      <c r="G195" s="13" t="str">
        <f>IFERROR(VLOOKUP(CANTIDAD[[#This Row],[Ubicación]],SAP[],9,FALSE),"")</f>
        <v>CJA</v>
      </c>
      <c r="H195" s="13">
        <f>IFERROR(VLOOKUP(CANTIDAD[[#This Row],[Ubicación]],SAP[],5,FALSE),"")</f>
        <v>2608175060</v>
      </c>
      <c r="I195" s="43" t="str">
        <f>IFERROR(VLOOKUP(CANTIDAD[[#This Row],[Ubicación]],SAP[],6,FALSE),"")</f>
        <v>17/08/2029</v>
      </c>
      <c r="J195" s="13" t="str">
        <f>IFERROR(VLOOKUP(CANTIDAD[[#This Row],[Ubicación]],SAP[],7,FALSE),"")</f>
        <v>1F</v>
      </c>
      <c r="K195" s="18">
        <f>IFERROR(VLOOKUP(CANTIDAD[[#This Row],[Ubicación]],SAP[],10,FALSE),"")</f>
        <v>4452</v>
      </c>
      <c r="L195" s="48">
        <f>IFERROR(VLOOKUP(CANTIDAD[[#This Row],[Producto]],MARA[],5,FALSE),"")</f>
        <v>17</v>
      </c>
      <c r="M195" s="48" t="str">
        <f>IFERROR(VLOOKUP(CANTIDAD[[#This Row],[Producto]],MARA[],4,FALSE),"")</f>
        <v>CJA</v>
      </c>
      <c r="N195" s="136" t="s">
        <v>4533</v>
      </c>
    </row>
    <row r="196" spans="1:14" hidden="1">
      <c r="A196" s="139" t="str">
        <f t="shared" si="3"/>
        <v>PASILLO 8</v>
      </c>
      <c r="B196" s="92" t="s">
        <v>3207</v>
      </c>
      <c r="C196" s="11">
        <f>IFERROR(VLOOKUP(CANTIDAD[[#This Row],[Ubicación]],SAP[],3,FALSE),"")</f>
        <v>8301260</v>
      </c>
      <c r="D196" s="29">
        <f>IFERROR(VLOOKUP(CANTIDAD[[#This Row],[Producto]],MARA[],3,FALSE),"")</f>
        <v>17751851020470</v>
      </c>
      <c r="E196" s="11" t="str">
        <f>IFERROR(VLOOKUP(CANTIDAD[[#This Row],[Ubicación]],SAP[],4,FALSE),"")</f>
        <v>CEP DENTO LIMPIALEN RT MEDIO 14UND 6DSP</v>
      </c>
      <c r="F196" s="11">
        <f>IFERROR(VLOOKUP(CANTIDAD[[#This Row],[Ubicación]],SAP[],8,FALSE),"")</f>
        <v>49</v>
      </c>
      <c r="G196" s="11" t="str">
        <f>IFERROR(VLOOKUP(CANTIDAD[[#This Row],[Ubicación]],SAP[],9,FALSE),"")</f>
        <v>CJA</v>
      </c>
      <c r="H196" s="11">
        <f>IFERROR(VLOOKUP(CANTIDAD[[#This Row],[Ubicación]],SAP[],5,FALSE),"")</f>
        <v>2608045060</v>
      </c>
      <c r="I196" s="42">
        <f>IFERROR(VLOOKUP(CANTIDAD[[#This Row],[Ubicación]],SAP[],6,FALSE),"")</f>
        <v>47216</v>
      </c>
      <c r="J196" s="11" t="str">
        <f>IFERROR(VLOOKUP(CANTIDAD[[#This Row],[Ubicación]],SAP[],7,FALSE),"")</f>
        <v>1F</v>
      </c>
      <c r="K196" s="17">
        <f>IFERROR(VLOOKUP(CANTIDAD[[#This Row],[Ubicación]],SAP[],10,FALSE),"")</f>
        <v>4116</v>
      </c>
      <c r="L196" s="48">
        <f>IFERROR(VLOOKUP(CANTIDAD[[#This Row],[Producto]],MARA[],5,FALSE),"")</f>
        <v>17</v>
      </c>
      <c r="M196" s="48" t="str">
        <f>IFERROR(VLOOKUP(CANTIDAD[[#This Row],[Producto]],MARA[],4,FALSE),"")</f>
        <v>CJA</v>
      </c>
      <c r="N196" s="136" t="s">
        <v>4534</v>
      </c>
    </row>
    <row r="197" spans="1:14" hidden="1">
      <c r="A197" s="139" t="str">
        <f t="shared" si="3"/>
        <v>PASILLO 8</v>
      </c>
      <c r="B197" s="93" t="s">
        <v>3179</v>
      </c>
      <c r="C197" s="11">
        <f>IFERROR(VLOOKUP(CANTIDAD[[#This Row],[Ubicación]],SAP[],3,FALSE),"")</f>
        <v>8301100</v>
      </c>
      <c r="D197" s="30">
        <f>IFERROR(VLOOKUP(CANTIDAD[[#This Row],[Producto]],MARA[],3,FALSE),"")</f>
        <v>17751851020463</v>
      </c>
      <c r="E197" s="13" t="str">
        <f>IFERROR(VLOOKUP(CANTIDAD[[#This Row],[Ubicación]],SAP[],4,FALSE),"")</f>
        <v>CEP DENTO LIMPIALEN RT SUAVE 14UND 6DSP</v>
      </c>
      <c r="F197" s="13">
        <f>IFERROR(VLOOKUP(CANTIDAD[[#This Row],[Ubicación]],SAP[],8,FALSE),"")</f>
        <v>45</v>
      </c>
      <c r="G197" s="13" t="str">
        <f>IFERROR(VLOOKUP(CANTIDAD[[#This Row],[Ubicación]],SAP[],9,FALSE),"")</f>
        <v>CJA</v>
      </c>
      <c r="H197" s="13">
        <f>IFERROR(VLOOKUP(CANTIDAD[[#This Row],[Ubicación]],SAP[],5,FALSE),"")</f>
        <v>2605125060</v>
      </c>
      <c r="I197" s="43">
        <f>IFERROR(VLOOKUP(CANTIDAD[[#This Row],[Ubicación]],SAP[],6,FALSE),"")</f>
        <v>47457</v>
      </c>
      <c r="J197" s="13" t="str">
        <f>IFERROR(VLOOKUP(CANTIDAD[[#This Row],[Ubicación]],SAP[],7,FALSE),"")</f>
        <v>1F</v>
      </c>
      <c r="K197" s="18">
        <f>IFERROR(VLOOKUP(CANTIDAD[[#This Row],[Ubicación]],SAP[],10,FALSE),"")</f>
        <v>3780</v>
      </c>
      <c r="L197" s="48">
        <f>IFERROR(VLOOKUP(CANTIDAD[[#This Row],[Producto]],MARA[],5,FALSE),"")</f>
        <v>17</v>
      </c>
      <c r="M197" s="48" t="str">
        <f>IFERROR(VLOOKUP(CANTIDAD[[#This Row],[Producto]],MARA[],4,FALSE),"")</f>
        <v>CJA</v>
      </c>
      <c r="N197" s="136" t="s">
        <v>4535</v>
      </c>
    </row>
    <row r="198" spans="1:14" hidden="1">
      <c r="A198" s="139" t="str">
        <f t="shared" si="3"/>
        <v>PASILLO 8</v>
      </c>
      <c r="B198" s="92" t="s">
        <v>3690</v>
      </c>
      <c r="C198" s="11">
        <f>IFERROR(VLOOKUP(CANTIDAD[[#This Row],[Ubicación]],SAP[],3,FALSE),"")</f>
        <v>8321113</v>
      </c>
      <c r="D198" s="29">
        <f>IFERROR(VLOOKUP(CANTIDAD[[#This Row],[Producto]],MARA[],3,FALSE),"")</f>
        <v>17750243074015</v>
      </c>
      <c r="E198" s="11" t="str">
        <f>IFERROR(VLOOKUP(CANTIDAD[[#This Row],[Ubicación]],SAP[],4,FALSE),"")</f>
        <v>SERUM ANTIFRIZZ AMARAS 12FCO 120ML</v>
      </c>
      <c r="F198" s="11">
        <f>IFERROR(VLOOKUP(CANTIDAD[[#This Row],[Ubicación]],SAP[],8,FALSE),"")</f>
        <v>41</v>
      </c>
      <c r="G198" s="11" t="str">
        <f>IFERROR(VLOOKUP(CANTIDAD[[#This Row],[Ubicación]],SAP[],9,FALSE),"")</f>
        <v>CJA</v>
      </c>
      <c r="H198" s="11">
        <f>IFERROR(VLOOKUP(CANTIDAD[[#This Row],[Ubicación]],SAP[],5,FALSE),"")</f>
        <v>20300016</v>
      </c>
      <c r="I198" s="42" t="str">
        <f>IFERROR(VLOOKUP(CANTIDAD[[#This Row],[Ubicación]],SAP[],6,FALSE),"")</f>
        <v>19/03/2028</v>
      </c>
      <c r="J198" s="11" t="str">
        <f>IFERROR(VLOOKUP(CANTIDAD[[#This Row],[Ubicación]],SAP[],7,FALSE),"")</f>
        <v>1F</v>
      </c>
      <c r="K198" s="11">
        <f>IFERROR(VLOOKUP(CANTIDAD[[#This Row],[Ubicación]],SAP[],10,FALSE),"")</f>
        <v>492</v>
      </c>
      <c r="L198" s="48">
        <f>IFERROR(VLOOKUP(CANTIDAD[[#This Row],[Producto]],MARA[],5,FALSE),"")</f>
        <v>45</v>
      </c>
      <c r="M198" s="48" t="str">
        <f>IFERROR(VLOOKUP(CANTIDAD[[#This Row],[Producto]],MARA[],4,FALSE),"")</f>
        <v>CJA</v>
      </c>
      <c r="N198" s="136" t="s">
        <v>4536</v>
      </c>
    </row>
    <row r="199" spans="1:14" hidden="1">
      <c r="A199" s="139" t="str">
        <f t="shared" si="3"/>
        <v>PASILLO 8</v>
      </c>
      <c r="B199" s="93" t="s">
        <v>3203</v>
      </c>
      <c r="C199" s="11">
        <f>IFERROR(VLOOKUP(CANTIDAD[[#This Row],[Ubicación]],SAP[],3,FALSE),"")</f>
        <v>8301256</v>
      </c>
      <c r="D199" s="30">
        <f>IFERROR(VLOOKUP(CANTIDAD[[#This Row],[Producto]],MARA[],3,FALSE),"")</f>
        <v>17751851014905</v>
      </c>
      <c r="E199" s="13" t="str">
        <f>IFERROR(VLOOKUP(CANTIDAD[[#This Row],[Ubicación]],SAP[],4,FALSE),"")</f>
        <v>CEP DENTO PREMIUM GRAB RT SUA14UND 6DSP</v>
      </c>
      <c r="F199" s="13">
        <f>IFERROR(VLOOKUP(CANTIDAD[[#This Row],[Ubicación]],SAP[],8,FALSE),"")</f>
        <v>40</v>
      </c>
      <c r="G199" s="13" t="str">
        <f>IFERROR(VLOOKUP(CANTIDAD[[#This Row],[Ubicación]],SAP[],9,FALSE),"")</f>
        <v>CJA</v>
      </c>
      <c r="H199" s="13">
        <f>IFERROR(VLOOKUP(CANTIDAD[[#This Row],[Ubicación]],SAP[],5,FALSE),"")</f>
        <v>2607275060</v>
      </c>
      <c r="I199" s="43" t="str">
        <f>IFERROR(VLOOKUP(CANTIDAD[[#This Row],[Ubicación]],SAP[],6,FALSE),"")</f>
        <v>27/07/2029</v>
      </c>
      <c r="J199" s="13" t="str">
        <f>IFERROR(VLOOKUP(CANTIDAD[[#This Row],[Ubicación]],SAP[],7,FALSE),"")</f>
        <v>1F</v>
      </c>
      <c r="K199" s="18">
        <f>IFERROR(VLOOKUP(CANTIDAD[[#This Row],[Ubicación]],SAP[],10,FALSE),"")</f>
        <v>3360</v>
      </c>
      <c r="L199" s="48">
        <f>IFERROR(VLOOKUP(CANTIDAD[[#This Row],[Producto]],MARA[],5,FALSE),"")</f>
        <v>17</v>
      </c>
      <c r="M199" s="48" t="str">
        <f>IFERROR(VLOOKUP(CANTIDAD[[#This Row],[Producto]],MARA[],4,FALSE),"")</f>
        <v>CJA</v>
      </c>
      <c r="N199" s="136" t="s">
        <v>4537</v>
      </c>
    </row>
    <row r="200" spans="1:14" hidden="1">
      <c r="A200" s="139" t="str">
        <f t="shared" si="3"/>
        <v>PASILLO 8</v>
      </c>
      <c r="B200" s="92" t="s">
        <v>3183</v>
      </c>
      <c r="C200" s="11">
        <f>IFERROR(VLOOKUP(CANTIDAD[[#This Row],[Ubicación]],SAP[],3,FALSE),"")</f>
        <v>8301102</v>
      </c>
      <c r="D200" s="29">
        <f>IFERROR(VLOOKUP(CANTIDAD[[#This Row],[Producto]],MARA[],3,FALSE),"")</f>
        <v>17751851014929</v>
      </c>
      <c r="E200" s="11" t="str">
        <f>IFERROR(VLOOKUP(CANTIDAD[[#This Row],[Ubicación]],SAP[],4,FALSE),"")</f>
        <v>CEP DENTO PREMIUM GRAB RT DUR.14UND 6DSP</v>
      </c>
      <c r="F200" s="11">
        <f>IFERROR(VLOOKUP(CANTIDAD[[#This Row],[Ubicación]],SAP[],8,FALSE),"")</f>
        <v>48</v>
      </c>
      <c r="G200" s="11" t="str">
        <f>IFERROR(VLOOKUP(CANTIDAD[[#This Row],[Ubicación]],SAP[],9,FALSE),"")</f>
        <v>CJA</v>
      </c>
      <c r="H200" s="11">
        <f>IFERROR(VLOOKUP(CANTIDAD[[#This Row],[Ubicación]],SAP[],5,FALSE),"")</f>
        <v>2608145060</v>
      </c>
      <c r="I200" s="42" t="str">
        <f>IFERROR(VLOOKUP(CANTIDAD[[#This Row],[Ubicación]],SAP[],6,FALSE),"")</f>
        <v>14/08/2029</v>
      </c>
      <c r="J200" s="11" t="str">
        <f>IFERROR(VLOOKUP(CANTIDAD[[#This Row],[Ubicación]],SAP[],7,FALSE),"")</f>
        <v>1F</v>
      </c>
      <c r="K200" s="17">
        <f>IFERROR(VLOOKUP(CANTIDAD[[#This Row],[Ubicación]],SAP[],10,FALSE),"")</f>
        <v>4032</v>
      </c>
      <c r="L200" s="48">
        <f>IFERROR(VLOOKUP(CANTIDAD[[#This Row],[Producto]],MARA[],5,FALSE),"")</f>
        <v>17</v>
      </c>
      <c r="M200" s="48" t="str">
        <f>IFERROR(VLOOKUP(CANTIDAD[[#This Row],[Producto]],MARA[],4,FALSE),"")</f>
        <v>CJA</v>
      </c>
      <c r="N200" s="136" t="s">
        <v>4538</v>
      </c>
    </row>
    <row r="201" spans="1:14" hidden="1">
      <c r="A201" s="139" t="str">
        <f t="shared" si="3"/>
        <v>PASILLO 8</v>
      </c>
      <c r="B201" s="93" t="s">
        <v>3181</v>
      </c>
      <c r="C201" s="11">
        <f>IFERROR(VLOOKUP(CANTIDAD[[#This Row],[Ubicación]],SAP[],3,FALSE),"")</f>
        <v>8301101</v>
      </c>
      <c r="D201" s="30">
        <f>IFERROR(VLOOKUP(CANTIDAD[[#This Row],[Producto]],MARA[],3,FALSE),"")</f>
        <v>17751851014912</v>
      </c>
      <c r="E201" s="13" t="str">
        <f>IFERROR(VLOOKUP(CANTIDAD[[#This Row],[Ubicación]],SAP[],4,FALSE),"")</f>
        <v>CEP DENTO PREMIUM GRAB RT MED.14UND 6DSP</v>
      </c>
      <c r="F201" s="13">
        <f>IFERROR(VLOOKUP(CANTIDAD[[#This Row],[Ubicación]],SAP[],8,FALSE),"")</f>
        <v>68</v>
      </c>
      <c r="G201" s="13" t="str">
        <f>IFERROR(VLOOKUP(CANTIDAD[[#This Row],[Ubicación]],SAP[],9,FALSE),"")</f>
        <v>CJA</v>
      </c>
      <c r="H201" s="13">
        <f>IFERROR(VLOOKUP(CANTIDAD[[#This Row],[Ubicación]],SAP[],5,FALSE),"")</f>
        <v>2608125060</v>
      </c>
      <c r="I201" s="43">
        <f>IFERROR(VLOOKUP(CANTIDAD[[#This Row],[Ubicación]],SAP[],6,FALSE),"")</f>
        <v>47460</v>
      </c>
      <c r="J201" s="13" t="str">
        <f>IFERROR(VLOOKUP(CANTIDAD[[#This Row],[Ubicación]],SAP[],7,FALSE),"")</f>
        <v>1F</v>
      </c>
      <c r="K201" s="18">
        <f>IFERROR(VLOOKUP(CANTIDAD[[#This Row],[Ubicación]],SAP[],10,FALSE),"")</f>
        <v>5712</v>
      </c>
      <c r="L201" s="48">
        <f>IFERROR(VLOOKUP(CANTIDAD[[#This Row],[Producto]],MARA[],5,FALSE),"")</f>
        <v>17</v>
      </c>
      <c r="M201" s="48" t="str">
        <f>IFERROR(VLOOKUP(CANTIDAD[[#This Row],[Producto]],MARA[],4,FALSE),"")</f>
        <v>CJA</v>
      </c>
      <c r="N201" s="136" t="s">
        <v>4539</v>
      </c>
    </row>
    <row r="202" spans="1:14" hidden="1">
      <c r="A202" s="139" t="str">
        <f t="shared" si="3"/>
        <v>PASILLO 8</v>
      </c>
      <c r="B202" s="92" t="s">
        <v>3682</v>
      </c>
      <c r="C202" s="11">
        <f>IFERROR(VLOOKUP(CANTIDAD[[#This Row],[Ubicación]],SAP[],3,FALSE),"")</f>
        <v>8321105</v>
      </c>
      <c r="D202" s="29">
        <f>IFERROR(VLOOKUP(CANTIDAD[[#This Row],[Producto]],MARA[],3,FALSE),"")</f>
        <v>17750243073940</v>
      </c>
      <c r="E202" s="11" t="str">
        <f>IFERROR(VLOOKUP(CANTIDAD[[#This Row],[Ubicación]],SAP[],4,FALSE),"")</f>
        <v>CREMA PEINAR AMARAS RIZOS 12FCO 120 ML</v>
      </c>
      <c r="F202" s="11">
        <f>IFERROR(VLOOKUP(CANTIDAD[[#This Row],[Ubicación]],SAP[],8,FALSE),"")</f>
        <v>262</v>
      </c>
      <c r="G202" s="11" t="str">
        <f>IFERROR(VLOOKUP(CANTIDAD[[#This Row],[Ubicación]],SAP[],9,FALSE),"")</f>
        <v>CJA</v>
      </c>
      <c r="H202" s="11">
        <f>IFERROR(VLOOKUP(CANTIDAD[[#This Row],[Ubicación]],SAP[],5,FALSE),"")</f>
        <v>20400026</v>
      </c>
      <c r="I202" s="42" t="str">
        <f>IFERROR(VLOOKUP(CANTIDAD[[#This Row],[Ubicación]],SAP[],6,FALSE),"")</f>
        <v>22/04/2028</v>
      </c>
      <c r="J202" s="11" t="str">
        <f>IFERROR(VLOOKUP(CANTIDAD[[#This Row],[Ubicación]],SAP[],7,FALSE),"")</f>
        <v>1F</v>
      </c>
      <c r="K202" s="17">
        <f>IFERROR(VLOOKUP(CANTIDAD[[#This Row],[Ubicación]],SAP[],10,FALSE),"")</f>
        <v>3144</v>
      </c>
      <c r="L202" s="48">
        <f>IFERROR(VLOOKUP(CANTIDAD[[#This Row],[Producto]],MARA[],5,FALSE),"")</f>
        <v>45</v>
      </c>
      <c r="M202" s="48" t="str">
        <f>IFERROR(VLOOKUP(CANTIDAD[[#This Row],[Producto]],MARA[],4,FALSE),"")</f>
        <v>CJA</v>
      </c>
      <c r="N202" s="136" t="s">
        <v>4540</v>
      </c>
    </row>
    <row r="203" spans="1:14" hidden="1">
      <c r="A203" s="139" t="str">
        <f t="shared" si="3"/>
        <v>PASILLO 8</v>
      </c>
      <c r="B203" s="93" t="s">
        <v>4541</v>
      </c>
      <c r="C203" s="11" t="str">
        <f>IFERROR(VLOOKUP(CANTIDAD[[#This Row],[Ubicación]],SAP[],3,FALSE),"")</f>
        <v/>
      </c>
      <c r="D203" s="30" t="str">
        <f>IFERROR(VLOOKUP(CANTIDAD[[#This Row],[Producto]],MARA[],3,FALSE),"")</f>
        <v/>
      </c>
      <c r="E203" s="13" t="str">
        <f>IFERROR(VLOOKUP(CANTIDAD[[#This Row],[Ubicación]],SAP[],4,FALSE),"")</f>
        <v/>
      </c>
      <c r="F203" s="13" t="str">
        <f>IFERROR(VLOOKUP(CANTIDAD[[#This Row],[Ubicación]],SAP[],8,FALSE),"")</f>
        <v/>
      </c>
      <c r="G203" s="13" t="str">
        <f>IFERROR(VLOOKUP(CANTIDAD[[#This Row],[Ubicación]],SAP[],9,FALSE),"")</f>
        <v/>
      </c>
      <c r="H203" s="13" t="str">
        <f>IFERROR(VLOOKUP(CANTIDAD[[#This Row],[Ubicación]],SAP[],5,FALSE),"")</f>
        <v/>
      </c>
      <c r="I203" s="43" t="str">
        <f>IFERROR(VLOOKUP(CANTIDAD[[#This Row],[Ubicación]],SAP[],6,FALSE),"")</f>
        <v/>
      </c>
      <c r="J203" s="13" t="str">
        <f>IFERROR(VLOOKUP(CANTIDAD[[#This Row],[Ubicación]],SAP[],7,FALSE),"")</f>
        <v/>
      </c>
      <c r="K203" s="14" t="str">
        <f>IFERROR(VLOOKUP(CANTIDAD[[#This Row],[Ubicación]],SAP[],10,FALSE),"")</f>
        <v/>
      </c>
      <c r="L203" s="48" t="str">
        <f>IFERROR(VLOOKUP(CANTIDAD[[#This Row],[Producto]],MARA[],5,FALSE),"")</f>
        <v/>
      </c>
      <c r="M203" s="48" t="str">
        <f>IFERROR(VLOOKUP(CANTIDAD[[#This Row],[Producto]],MARA[],4,FALSE),"")</f>
        <v/>
      </c>
      <c r="N203" s="136" t="s">
        <v>4542</v>
      </c>
    </row>
    <row r="204" spans="1:14" hidden="1">
      <c r="A204" s="139" t="str">
        <f t="shared" si="3"/>
        <v>PASILLO 8</v>
      </c>
      <c r="B204" s="92" t="s">
        <v>3755</v>
      </c>
      <c r="C204" s="11">
        <f>IFERROR(VLOOKUP(CANTIDAD[[#This Row],[Ubicación]],SAP[],3,FALSE),"")</f>
        <v>8326124</v>
      </c>
      <c r="D204" s="29">
        <f>IFERROR(VLOOKUP(CANTIDAD[[#This Row],[Producto]],MARA[],3,FALSE),"")</f>
        <v>27750243067243</v>
      </c>
      <c r="E204" s="11" t="str">
        <f>IFERROR(VLOOKUP(CANTIDAD[[#This Row],[Ubicación]],SAP[],4,FALSE),"")</f>
        <v>CR.DENTO MAXI.BLANCURA BIPACK 75ML 12PCK</v>
      </c>
      <c r="F204" s="11">
        <f>IFERROR(VLOOKUP(CANTIDAD[[#This Row],[Ubicación]],SAP[],8,FALSE),"")</f>
        <v>5</v>
      </c>
      <c r="G204" s="11" t="str">
        <f>IFERROR(VLOOKUP(CANTIDAD[[#This Row],[Ubicación]],SAP[],9,FALSE),"")</f>
        <v>CJA</v>
      </c>
      <c r="H204" s="11">
        <f>IFERROR(VLOOKUP(CANTIDAD[[#This Row],[Ubicación]],SAP[],5,FALSE),"")</f>
        <v>2608045070</v>
      </c>
      <c r="I204" s="42">
        <f>IFERROR(VLOOKUP(CANTIDAD[[#This Row],[Ubicación]],SAP[],6,FALSE),"")</f>
        <v>47216</v>
      </c>
      <c r="J204" s="11" t="str">
        <f>IFERROR(VLOOKUP(CANTIDAD[[#This Row],[Ubicación]],SAP[],7,FALSE),"")</f>
        <v>1F</v>
      </c>
      <c r="K204" s="11">
        <f>IFERROR(VLOOKUP(CANTIDAD[[#This Row],[Ubicación]],SAP[],10,FALSE),"")</f>
        <v>60</v>
      </c>
      <c r="L204" s="48">
        <f>IFERROR(VLOOKUP(CANTIDAD[[#This Row],[Producto]],MARA[],5,FALSE),"")</f>
        <v>18</v>
      </c>
      <c r="M204" s="48" t="str">
        <f>IFERROR(VLOOKUP(CANTIDAD[[#This Row],[Producto]],MARA[],4,FALSE),"")</f>
        <v>CJA</v>
      </c>
      <c r="N204" s="136" t="s">
        <v>4543</v>
      </c>
    </row>
    <row r="205" spans="1:14" hidden="1">
      <c r="A205" s="139" t="str">
        <f t="shared" si="3"/>
        <v>PASILLO 8</v>
      </c>
      <c r="B205" s="93" t="s">
        <v>3214</v>
      </c>
      <c r="C205" s="11">
        <f>IFERROR(VLOOKUP(CANTIDAD[[#This Row],[Ubicación]],SAP[],3,FALSE),"")</f>
        <v>8301272</v>
      </c>
      <c r="D205" s="30">
        <f>IFERROR(VLOOKUP(CANTIDAD[[#This Row],[Producto]],MARA[],3,FALSE),"")</f>
        <v>17751851029626</v>
      </c>
      <c r="E205" s="13" t="str">
        <f>IFERROR(VLOOKUP(CANTIDAD[[#This Row],[Ubicación]],SAP[],4,FALSE),"")</f>
        <v>CEP DENTO LIMPIALEN ZZ DURO X3 8BLS 6DSP</v>
      </c>
      <c r="F205" s="13">
        <f>IFERROR(VLOOKUP(CANTIDAD[[#This Row],[Ubicación]],SAP[],8,FALSE),"")</f>
        <v>12</v>
      </c>
      <c r="G205" s="13" t="str">
        <f>IFERROR(VLOOKUP(CANTIDAD[[#This Row],[Ubicación]],SAP[],9,FALSE),"")</f>
        <v>CJA</v>
      </c>
      <c r="H205" s="13">
        <f>IFERROR(VLOOKUP(CANTIDAD[[#This Row],[Ubicación]],SAP[],5,FALSE),"")</f>
        <v>2506235060</v>
      </c>
      <c r="I205" s="43" t="str">
        <f>IFERROR(VLOOKUP(CANTIDAD[[#This Row],[Ubicación]],SAP[],6,FALSE),"")</f>
        <v>23/06/2028</v>
      </c>
      <c r="J205" s="13" t="str">
        <f>IFERROR(VLOOKUP(CANTIDAD[[#This Row],[Ubicación]],SAP[],7,FALSE),"")</f>
        <v>1F</v>
      </c>
      <c r="K205" s="14">
        <f>IFERROR(VLOOKUP(CANTIDAD[[#This Row],[Ubicación]],SAP[],10,FALSE),"")</f>
        <v>576</v>
      </c>
      <c r="L205" s="48">
        <f>IFERROR(VLOOKUP(CANTIDAD[[#This Row],[Producto]],MARA[],5,FALSE),"")</f>
        <v>9</v>
      </c>
      <c r="M205" s="48" t="str">
        <f>IFERROR(VLOOKUP(CANTIDAD[[#This Row],[Producto]],MARA[],4,FALSE),"")</f>
        <v>CJA</v>
      </c>
      <c r="N205" s="136" t="s">
        <v>4544</v>
      </c>
    </row>
    <row r="206" spans="1:14" hidden="1">
      <c r="A206" s="139" t="str">
        <f t="shared" si="3"/>
        <v>PASILLO 8</v>
      </c>
      <c r="B206" s="92" t="s">
        <v>3217</v>
      </c>
      <c r="C206" s="11">
        <f>IFERROR(VLOOKUP(CANTIDAD[[#This Row],[Ubicación]],SAP[],3,FALSE),"")</f>
        <v>8301274</v>
      </c>
      <c r="D206" s="29">
        <f>IFERROR(VLOOKUP(CANTIDAD[[#This Row],[Producto]],MARA[],3,FALSE),"")</f>
        <v>17751851029602</v>
      </c>
      <c r="E206" s="11" t="str">
        <f>IFERROR(VLOOKUP(CANTIDAD[[#This Row],[Ubicación]],SAP[],4,FALSE),"")</f>
        <v>CEP DENTO LIMPIALEN ZZ SUAV.X3 8BLS 6DSP</v>
      </c>
      <c r="F206" s="11">
        <f>IFERROR(VLOOKUP(CANTIDAD[[#This Row],[Ubicación]],SAP[],8,FALSE),"")</f>
        <v>8</v>
      </c>
      <c r="G206" s="11" t="str">
        <f>IFERROR(VLOOKUP(CANTIDAD[[#This Row],[Ubicación]],SAP[],9,FALSE),"")</f>
        <v>CJA</v>
      </c>
      <c r="H206" s="11">
        <f>IFERROR(VLOOKUP(CANTIDAD[[#This Row],[Ubicación]],SAP[],5,FALSE),"")</f>
        <v>2603045060</v>
      </c>
      <c r="I206" s="42">
        <f>IFERROR(VLOOKUP(CANTIDAD[[#This Row],[Ubicación]],SAP[],6,FALSE),"")</f>
        <v>47211</v>
      </c>
      <c r="J206" s="11" t="str">
        <f>IFERROR(VLOOKUP(CANTIDAD[[#This Row],[Ubicación]],SAP[],7,FALSE),"")</f>
        <v>1F</v>
      </c>
      <c r="K206" s="11">
        <f>IFERROR(VLOOKUP(CANTIDAD[[#This Row],[Ubicación]],SAP[],10,FALSE),"")</f>
        <v>384</v>
      </c>
      <c r="L206" s="48">
        <f>IFERROR(VLOOKUP(CANTIDAD[[#This Row],[Producto]],MARA[],5,FALSE),"")</f>
        <v>9</v>
      </c>
      <c r="M206" s="48" t="str">
        <f>IFERROR(VLOOKUP(CANTIDAD[[#This Row],[Producto]],MARA[],4,FALSE),"")</f>
        <v>CJA</v>
      </c>
      <c r="N206" s="136" t="s">
        <v>4545</v>
      </c>
    </row>
    <row r="207" spans="1:14" hidden="1">
      <c r="A207" s="139" t="str">
        <f t="shared" si="3"/>
        <v>PASILLO 8</v>
      </c>
      <c r="B207" s="93" t="s">
        <v>3210</v>
      </c>
      <c r="C207" s="11">
        <f>IFERROR(VLOOKUP(CANTIDAD[[#This Row],[Ubicación]],SAP[],3,FALSE),"")</f>
        <v>8301271</v>
      </c>
      <c r="D207" s="30">
        <f>IFERROR(VLOOKUP(CANTIDAD[[#This Row],[Producto]],MARA[],3,FALSE),"")</f>
        <v>17751851029619</v>
      </c>
      <c r="E207" s="13" t="str">
        <f>IFERROR(VLOOKUP(CANTIDAD[[#This Row],[Ubicación]],SAP[],4,FALSE),"")</f>
        <v>CEP DENTO LIMPIALEN ZZ MED.X3 8BLS 6DSP</v>
      </c>
      <c r="F207" s="13">
        <f>IFERROR(VLOOKUP(CANTIDAD[[#This Row],[Ubicación]],SAP[],8,FALSE),"")</f>
        <v>11</v>
      </c>
      <c r="G207" s="13" t="str">
        <f>IFERROR(VLOOKUP(CANTIDAD[[#This Row],[Ubicación]],SAP[],9,FALSE),"")</f>
        <v>CJA</v>
      </c>
      <c r="H207" s="13">
        <f>IFERROR(VLOOKUP(CANTIDAD[[#This Row],[Ubicación]],SAP[],5,FALSE),"")</f>
        <v>2606225060</v>
      </c>
      <c r="I207" s="43" t="str">
        <f>IFERROR(VLOOKUP(CANTIDAD[[#This Row],[Ubicación]],SAP[],6,FALSE),"")</f>
        <v>22/06/2029</v>
      </c>
      <c r="J207" s="13" t="str">
        <f>IFERROR(VLOOKUP(CANTIDAD[[#This Row],[Ubicación]],SAP[],7,FALSE),"")</f>
        <v>1F</v>
      </c>
      <c r="K207" s="14">
        <f>IFERROR(VLOOKUP(CANTIDAD[[#This Row],[Ubicación]],SAP[],10,FALSE),"")</f>
        <v>528</v>
      </c>
      <c r="L207" s="48">
        <f>IFERROR(VLOOKUP(CANTIDAD[[#This Row],[Producto]],MARA[],5,FALSE),"")</f>
        <v>9</v>
      </c>
      <c r="M207" s="48" t="str">
        <f>IFERROR(VLOOKUP(CANTIDAD[[#This Row],[Producto]],MARA[],4,FALSE),"")</f>
        <v>CJA</v>
      </c>
      <c r="N207" s="136" t="s">
        <v>4546</v>
      </c>
    </row>
    <row r="208" spans="1:14" hidden="1">
      <c r="A208" s="139" t="str">
        <f t="shared" si="3"/>
        <v>PASILLO 8</v>
      </c>
      <c r="B208" s="92" t="s">
        <v>3199</v>
      </c>
      <c r="C208" s="11">
        <f>IFERROR(VLOOKUP(CANTIDAD[[#This Row],[Ubicación]],SAP[],3,FALSE),"")</f>
        <v>8301109</v>
      </c>
      <c r="D208" s="29">
        <f>IFERROR(VLOOKUP(CANTIDAD[[#This Row],[Producto]],MARA[],3,FALSE),"")</f>
        <v>17751851015339</v>
      </c>
      <c r="E208" s="11" t="str">
        <f>IFERROR(VLOOKUP(CANTIDAD[[#This Row],[Ubicación]],SAP[],4,FALSE),"")</f>
        <v>ENJ.DENTITO CHICHA MORADA 250ML 12UND</v>
      </c>
      <c r="F208" s="11">
        <f>IFERROR(VLOOKUP(CANTIDAD[[#This Row],[Ubicación]],SAP[],8,FALSE),"")</f>
        <v>40</v>
      </c>
      <c r="G208" s="11" t="str">
        <f>IFERROR(VLOOKUP(CANTIDAD[[#This Row],[Ubicación]],SAP[],9,FALSE),"")</f>
        <v>CJA</v>
      </c>
      <c r="H208" s="11">
        <f>IFERROR(VLOOKUP(CANTIDAD[[#This Row],[Ubicación]],SAP[],5,FALSE),"")</f>
        <v>2605215070</v>
      </c>
      <c r="I208" s="42" t="str">
        <f>IFERROR(VLOOKUP(CANTIDAD[[#This Row],[Ubicación]],SAP[],6,FALSE),"")</f>
        <v>21/05/2029</v>
      </c>
      <c r="J208" s="11" t="str">
        <f>IFERROR(VLOOKUP(CANTIDAD[[#This Row],[Ubicación]],SAP[],7,FALSE),"")</f>
        <v>1F</v>
      </c>
      <c r="K208" s="11">
        <f>IFERROR(VLOOKUP(CANTIDAD[[#This Row],[Ubicación]],SAP[],10,FALSE),"")</f>
        <v>480</v>
      </c>
      <c r="L208" s="48">
        <f>IFERROR(VLOOKUP(CANTIDAD[[#This Row],[Producto]],MARA[],5,FALSE),"")</f>
        <v>29</v>
      </c>
      <c r="M208" s="48" t="str">
        <f>IFERROR(VLOOKUP(CANTIDAD[[#This Row],[Producto]],MARA[],4,FALSE),"")</f>
        <v>CJA</v>
      </c>
      <c r="N208" s="136" t="s">
        <v>4547</v>
      </c>
    </row>
    <row r="209" spans="1:14" hidden="1">
      <c r="A209" s="139" t="str">
        <f t="shared" si="3"/>
        <v>PASILLO 8</v>
      </c>
      <c r="B209" s="93" t="s">
        <v>3191</v>
      </c>
      <c r="C209" s="11">
        <f>IFERROR(VLOOKUP(CANTIDAD[[#This Row],[Ubicación]],SAP[],3,FALSE),"")</f>
        <v>8301105</v>
      </c>
      <c r="D209" s="30">
        <f>IFERROR(VLOOKUP(CANTIDAD[[#This Row],[Producto]],MARA[],3,FALSE),"")</f>
        <v>17751851001011</v>
      </c>
      <c r="E209" s="13" t="str">
        <f>IFERROR(VLOOKUP(CANTIDAD[[#This Row],[Ubicación]],SAP[],4,FALSE),"")</f>
        <v>ENJ.BUCAL DENTO MENTA NATURAL 250ML 12UN</v>
      </c>
      <c r="F209" s="13">
        <f>IFERROR(VLOOKUP(CANTIDAD[[#This Row],[Ubicación]],SAP[],8,FALSE),"")</f>
        <v>13</v>
      </c>
      <c r="G209" s="13" t="str">
        <f>IFERROR(VLOOKUP(CANTIDAD[[#This Row],[Ubicación]],SAP[],9,FALSE),"")</f>
        <v>CJA</v>
      </c>
      <c r="H209" s="13">
        <f>IFERROR(VLOOKUP(CANTIDAD[[#This Row],[Ubicación]],SAP[],5,FALSE),"")</f>
        <v>2608205070</v>
      </c>
      <c r="I209" s="43" t="str">
        <f>IFERROR(VLOOKUP(CANTIDAD[[#This Row],[Ubicación]],SAP[],6,FALSE),"")</f>
        <v>20/08/2029</v>
      </c>
      <c r="J209" s="13" t="str">
        <f>IFERROR(VLOOKUP(CANTIDAD[[#This Row],[Ubicación]],SAP[],7,FALSE),"")</f>
        <v>1F</v>
      </c>
      <c r="K209" s="14">
        <f>IFERROR(VLOOKUP(CANTIDAD[[#This Row],[Ubicación]],SAP[],10,FALSE),"")</f>
        <v>156</v>
      </c>
      <c r="L209" s="48">
        <f>IFERROR(VLOOKUP(CANTIDAD[[#This Row],[Producto]],MARA[],5,FALSE),"")</f>
        <v>29</v>
      </c>
      <c r="M209" s="48" t="str">
        <f>IFERROR(VLOOKUP(CANTIDAD[[#This Row],[Producto]],MARA[],4,FALSE),"")</f>
        <v>CJA</v>
      </c>
      <c r="N209" s="136" t="s">
        <v>4548</v>
      </c>
    </row>
    <row r="210" spans="1:14" hidden="1">
      <c r="A210" s="139" t="str">
        <f t="shared" si="3"/>
        <v>PASILLO 8</v>
      </c>
      <c r="B210" s="92" t="s">
        <v>3194</v>
      </c>
      <c r="C210" s="11">
        <f>IFERROR(VLOOKUP(CANTIDAD[[#This Row],[Ubicación]],SAP[],3,FALSE),"")</f>
        <v>8301106</v>
      </c>
      <c r="D210" s="29">
        <f>IFERROR(VLOOKUP(CANTIDAD[[#This Row],[Producto]],MARA[],3,FALSE),"")</f>
        <v>17751851001028</v>
      </c>
      <c r="E210" s="11" t="str">
        <f>IFERROR(VLOOKUP(CANTIDAD[[#This Row],[Ubicación]],SAP[],4,FALSE),"")</f>
        <v>ENJ.BUCAL DENTO GLACIAL 250ML 12UND</v>
      </c>
      <c r="F210" s="11">
        <f>IFERROR(VLOOKUP(CANTIDAD[[#This Row],[Ubicación]],SAP[],8,FALSE),"")</f>
        <v>139</v>
      </c>
      <c r="G210" s="11" t="str">
        <f>IFERROR(VLOOKUP(CANTIDAD[[#This Row],[Ubicación]],SAP[],9,FALSE),"")</f>
        <v>CJA</v>
      </c>
      <c r="H210" s="11">
        <f>IFERROR(VLOOKUP(CANTIDAD[[#This Row],[Ubicación]],SAP[],5,FALSE),"")</f>
        <v>2608085070</v>
      </c>
      <c r="I210" s="42">
        <f>IFERROR(VLOOKUP(CANTIDAD[[#This Row],[Ubicación]],SAP[],6,FALSE),"")</f>
        <v>47338</v>
      </c>
      <c r="J210" s="11" t="str">
        <f>IFERROR(VLOOKUP(CANTIDAD[[#This Row],[Ubicación]],SAP[],7,FALSE),"")</f>
        <v>1F</v>
      </c>
      <c r="K210" s="17">
        <f>IFERROR(VLOOKUP(CANTIDAD[[#This Row],[Ubicación]],SAP[],10,FALSE),"")</f>
        <v>1668</v>
      </c>
      <c r="L210" s="48">
        <f>IFERROR(VLOOKUP(CANTIDAD[[#This Row],[Producto]],MARA[],5,FALSE),"")</f>
        <v>29</v>
      </c>
      <c r="M210" s="48" t="str">
        <f>IFERROR(VLOOKUP(CANTIDAD[[#This Row],[Producto]],MARA[],4,FALSE),"")</f>
        <v>CJA</v>
      </c>
      <c r="N210" s="136" t="s">
        <v>4549</v>
      </c>
    </row>
    <row r="211" spans="1:14" hidden="1">
      <c r="A211" s="139" t="str">
        <f t="shared" si="3"/>
        <v>PASILLO 8</v>
      </c>
      <c r="B211" s="93" t="s">
        <v>3196</v>
      </c>
      <c r="C211" s="11">
        <f>IFERROR(VLOOKUP(CANTIDAD[[#This Row],[Ubicación]],SAP[],3,FALSE),"")</f>
        <v>8301108</v>
      </c>
      <c r="D211" s="30">
        <f>IFERROR(VLOOKUP(CANTIDAD[[#This Row],[Producto]],MARA[],3,FALSE),"")</f>
        <v>17751851015322</v>
      </c>
      <c r="E211" s="13" t="str">
        <f>IFERROR(VLOOKUP(CANTIDAD[[#This Row],[Ubicación]],SAP[],4,FALSE),"")</f>
        <v>ENJ.BUCAL DENTITO TUTI FRUTI 250ML 12UND</v>
      </c>
      <c r="F211" s="13">
        <f>IFERROR(VLOOKUP(CANTIDAD[[#This Row],[Ubicación]],SAP[],8,FALSE),"")</f>
        <v>25</v>
      </c>
      <c r="G211" s="13" t="str">
        <f>IFERROR(VLOOKUP(CANTIDAD[[#This Row],[Ubicación]],SAP[],9,FALSE),"")</f>
        <v>CJA</v>
      </c>
      <c r="H211" s="13">
        <f>IFERROR(VLOOKUP(CANTIDAD[[#This Row],[Ubicación]],SAP[],5,FALSE),"")</f>
        <v>2608015070</v>
      </c>
      <c r="I211" s="43">
        <f>IFERROR(VLOOKUP(CANTIDAD[[#This Row],[Ubicación]],SAP[],6,FALSE),"")</f>
        <v>47126</v>
      </c>
      <c r="J211" s="13" t="str">
        <f>IFERROR(VLOOKUP(CANTIDAD[[#This Row],[Ubicación]],SAP[],7,FALSE),"")</f>
        <v>1F</v>
      </c>
      <c r="K211" s="14">
        <f>IFERROR(VLOOKUP(CANTIDAD[[#This Row],[Ubicación]],SAP[],10,FALSE),"")</f>
        <v>300</v>
      </c>
      <c r="L211" s="48">
        <f>IFERROR(VLOOKUP(CANTIDAD[[#This Row],[Producto]],MARA[],5,FALSE),"")</f>
        <v>29</v>
      </c>
      <c r="M211" s="48" t="str">
        <f>IFERROR(VLOOKUP(CANTIDAD[[#This Row],[Producto]],MARA[],4,FALSE),"")</f>
        <v>CJA</v>
      </c>
      <c r="N211" s="136" t="s">
        <v>4550</v>
      </c>
    </row>
    <row r="212" spans="1:14" hidden="1">
      <c r="A212" s="139" t="str">
        <f t="shared" si="3"/>
        <v>PASILLO 8</v>
      </c>
      <c r="B212" s="92" t="s">
        <v>4551</v>
      </c>
      <c r="C212" s="11" t="str">
        <f>IFERROR(VLOOKUP(CANTIDAD[[#This Row],[Ubicación]],SAP[],3,FALSE),"")</f>
        <v/>
      </c>
      <c r="D212" s="29" t="str">
        <f>IFERROR(VLOOKUP(CANTIDAD[[#This Row],[Producto]],MARA[],3,FALSE),"")</f>
        <v/>
      </c>
      <c r="E212" s="11" t="str">
        <f>IFERROR(VLOOKUP(CANTIDAD[[#This Row],[Ubicación]],SAP[],4,FALSE),"")</f>
        <v/>
      </c>
      <c r="F212" s="11" t="str">
        <f>IFERROR(VLOOKUP(CANTIDAD[[#This Row],[Ubicación]],SAP[],8,FALSE),"")</f>
        <v/>
      </c>
      <c r="G212" s="11" t="str">
        <f>IFERROR(VLOOKUP(CANTIDAD[[#This Row],[Ubicación]],SAP[],9,FALSE),"")</f>
        <v/>
      </c>
      <c r="H212" s="11" t="str">
        <f>IFERROR(VLOOKUP(CANTIDAD[[#This Row],[Ubicación]],SAP[],5,FALSE),"")</f>
        <v/>
      </c>
      <c r="I212" s="42" t="str">
        <f>IFERROR(VLOOKUP(CANTIDAD[[#This Row],[Ubicación]],SAP[],6,FALSE),"")</f>
        <v/>
      </c>
      <c r="J212" s="11" t="str">
        <f>IFERROR(VLOOKUP(CANTIDAD[[#This Row],[Ubicación]],SAP[],7,FALSE),"")</f>
        <v/>
      </c>
      <c r="K212" s="11" t="str">
        <f>IFERROR(VLOOKUP(CANTIDAD[[#This Row],[Ubicación]],SAP[],10,FALSE),"")</f>
        <v/>
      </c>
      <c r="L212" s="48" t="str">
        <f>IFERROR(VLOOKUP(CANTIDAD[[#This Row],[Producto]],MARA[],5,FALSE),"")</f>
        <v/>
      </c>
      <c r="M212" s="48" t="str">
        <f>IFERROR(VLOOKUP(CANTIDAD[[#This Row],[Producto]],MARA[],4,FALSE),"")</f>
        <v/>
      </c>
      <c r="N212" s="136" t="s">
        <v>4552</v>
      </c>
    </row>
    <row r="213" spans="1:14" hidden="1">
      <c r="A213" s="139" t="str">
        <f t="shared" si="3"/>
        <v>PASILLO 8</v>
      </c>
      <c r="B213" s="93" t="s">
        <v>3696</v>
      </c>
      <c r="C213" s="11">
        <f>IFERROR(VLOOKUP(CANTIDAD[[#This Row],[Ubicación]],SAP[],3,FALSE),"")</f>
        <v>8321123</v>
      </c>
      <c r="D213" s="30">
        <f>IFERROR(VLOOKUP(CANTIDAD[[#This Row],[Producto]],MARA[],3,FALSE),"")</f>
        <v>17750243073018</v>
      </c>
      <c r="E213" s="13" t="str">
        <f>IFERROR(VLOOKUP(CANTIDAD[[#This Row],[Ubicación]],SAP[],4,FALSE),"")</f>
        <v>ACOND CTRL HUMEDAD AMARAS 12TUB 260ML</v>
      </c>
      <c r="F213" s="13">
        <f>IFERROR(VLOOKUP(CANTIDAD[[#This Row],[Ubicación]],SAP[],8,FALSE),"")</f>
        <v>102</v>
      </c>
      <c r="G213" s="13" t="str">
        <f>IFERROR(VLOOKUP(CANTIDAD[[#This Row],[Ubicación]],SAP[],9,FALSE),"")</f>
        <v>CJA</v>
      </c>
      <c r="H213" s="13">
        <f>IFERROR(VLOOKUP(CANTIDAD[[#This Row],[Ubicación]],SAP[],5,FALSE),"")</f>
        <v>20400026</v>
      </c>
      <c r="I213" s="43" t="str">
        <f>IFERROR(VLOOKUP(CANTIDAD[[#This Row],[Ubicación]],SAP[],6,FALSE),"")</f>
        <v>29/04/2028</v>
      </c>
      <c r="J213" s="13" t="str">
        <f>IFERROR(VLOOKUP(CANTIDAD[[#This Row],[Ubicación]],SAP[],7,FALSE),"")</f>
        <v>1F</v>
      </c>
      <c r="K213" s="18">
        <f>IFERROR(VLOOKUP(CANTIDAD[[#This Row],[Ubicación]],SAP[],10,FALSE),"")</f>
        <v>1224</v>
      </c>
      <c r="L213" s="48">
        <f>IFERROR(VLOOKUP(CANTIDAD[[#This Row],[Producto]],MARA[],5,FALSE),"")</f>
        <v>32</v>
      </c>
      <c r="M213" s="48" t="str">
        <f>IFERROR(VLOOKUP(CANTIDAD[[#This Row],[Producto]],MARA[],4,FALSE),"")</f>
        <v>CJA</v>
      </c>
      <c r="N213" s="136" t="s">
        <v>4553</v>
      </c>
    </row>
    <row r="214" spans="1:14" hidden="1">
      <c r="A214" s="139" t="str">
        <f t="shared" si="3"/>
        <v>PASILLO 8</v>
      </c>
      <c r="B214" s="92" t="s">
        <v>3704</v>
      </c>
      <c r="C214" s="11">
        <f>IFERROR(VLOOKUP(CANTIDAD[[#This Row],[Ubicación]],SAP[],3,FALSE),"")</f>
        <v>8321177</v>
      </c>
      <c r="D214" s="29">
        <f>IFERROR(VLOOKUP(CANTIDAD[[#This Row],[Producto]],MARA[],3,FALSE),"")</f>
        <v>17750243078617</v>
      </c>
      <c r="E214" s="11" t="str">
        <f>IFERROR(VLOOKUP(CANTIDAD[[#This Row],[Ubicación]],SAP[],4,FALSE),"")</f>
        <v>ACONDI AMARAS RAICES Y PUNTAS 12TUB260ML</v>
      </c>
      <c r="F214" s="11">
        <f>IFERROR(VLOOKUP(CANTIDAD[[#This Row],[Ubicación]],SAP[],8,FALSE),"")</f>
        <v>49</v>
      </c>
      <c r="G214" s="11" t="str">
        <f>IFERROR(VLOOKUP(CANTIDAD[[#This Row],[Ubicación]],SAP[],9,FALSE),"")</f>
        <v>CJA</v>
      </c>
      <c r="H214" s="11">
        <f>IFERROR(VLOOKUP(CANTIDAD[[#This Row],[Ubicación]],SAP[],5,FALSE),"")</f>
        <v>20500016</v>
      </c>
      <c r="I214" s="42" t="str">
        <f>IFERROR(VLOOKUP(CANTIDAD[[#This Row],[Ubicación]],SAP[],6,FALSE),"")</f>
        <v>30/05/2028</v>
      </c>
      <c r="J214" s="11" t="str">
        <f>IFERROR(VLOOKUP(CANTIDAD[[#This Row],[Ubicación]],SAP[],7,FALSE),"")</f>
        <v>1F</v>
      </c>
      <c r="K214" s="11">
        <f>IFERROR(VLOOKUP(CANTIDAD[[#This Row],[Ubicación]],SAP[],10,FALSE),"")</f>
        <v>588</v>
      </c>
      <c r="L214" s="48">
        <f>IFERROR(VLOOKUP(CANTIDAD[[#This Row],[Producto]],MARA[],5,FALSE),"")</f>
        <v>32</v>
      </c>
      <c r="M214" s="48" t="str">
        <f>IFERROR(VLOOKUP(CANTIDAD[[#This Row],[Producto]],MARA[],4,FALSE),"")</f>
        <v>CJA</v>
      </c>
      <c r="N214" s="136" t="s">
        <v>4554</v>
      </c>
    </row>
    <row r="215" spans="1:14" hidden="1">
      <c r="A215" s="139" t="str">
        <f t="shared" si="3"/>
        <v>PASILLO 8</v>
      </c>
      <c r="B215" s="93" t="s">
        <v>3693</v>
      </c>
      <c r="C215" s="11">
        <f>IFERROR(VLOOKUP(CANTIDAD[[#This Row],[Ubicación]],SAP[],3,FALSE),"")</f>
        <v>8321122</v>
      </c>
      <c r="D215" s="30">
        <f>IFERROR(VLOOKUP(CANTIDAD[[#This Row],[Producto]],MARA[],3,FALSE),"")</f>
        <v>17750243073001</v>
      </c>
      <c r="E215" s="13" t="str">
        <f>IFERROR(VLOOKUP(CANTIDAD[[#This Row],[Ubicación]],SAP[],4,FALSE),"")</f>
        <v>ACOND REPARADOR AMARAS 12TUB 260 ML</v>
      </c>
      <c r="F215" s="13">
        <f>IFERROR(VLOOKUP(CANTIDAD[[#This Row],[Ubicación]],SAP[],8,FALSE),"")</f>
        <v>32</v>
      </c>
      <c r="G215" s="13" t="str">
        <f>IFERROR(VLOOKUP(CANTIDAD[[#This Row],[Ubicación]],SAP[],9,FALSE),"")</f>
        <v>CJA</v>
      </c>
      <c r="H215" s="13">
        <f>IFERROR(VLOOKUP(CANTIDAD[[#This Row],[Ubicación]],SAP[],5,FALSE),"")</f>
        <v>20600026</v>
      </c>
      <c r="I215" s="43" t="str">
        <f>IFERROR(VLOOKUP(CANTIDAD[[#This Row],[Ubicación]],SAP[],6,FALSE),"")</f>
        <v>15/06/2028</v>
      </c>
      <c r="J215" s="13" t="str">
        <f>IFERROR(VLOOKUP(CANTIDAD[[#This Row],[Ubicación]],SAP[],7,FALSE),"")</f>
        <v>1F</v>
      </c>
      <c r="K215" s="14">
        <f>IFERROR(VLOOKUP(CANTIDAD[[#This Row],[Ubicación]],SAP[],10,FALSE),"")</f>
        <v>384</v>
      </c>
      <c r="L215" s="48">
        <f>IFERROR(VLOOKUP(CANTIDAD[[#This Row],[Producto]],MARA[],5,FALSE),"")</f>
        <v>32</v>
      </c>
      <c r="M215" s="48" t="str">
        <f>IFERROR(VLOOKUP(CANTIDAD[[#This Row],[Producto]],MARA[],4,FALSE),"")</f>
        <v>CJA</v>
      </c>
      <c r="N215" s="136" t="s">
        <v>4555</v>
      </c>
    </row>
    <row r="216" spans="1:14" hidden="1">
      <c r="A216" s="139" t="str">
        <f t="shared" si="3"/>
        <v>PASILLO 8</v>
      </c>
      <c r="B216" s="92" t="s">
        <v>3678</v>
      </c>
      <c r="C216" s="11">
        <f>IFERROR(VLOOKUP(CANTIDAD[[#This Row],[Ubicación]],SAP[],3,FALSE),"")</f>
        <v>8321101</v>
      </c>
      <c r="D216" s="29">
        <f>IFERROR(VLOOKUP(CANTIDAD[[#This Row],[Producto]],MARA[],3,FALSE),"")</f>
        <v>17750243073919</v>
      </c>
      <c r="E216" s="11" t="str">
        <f>IFERROR(VLOOKUP(CANTIDAD[[#This Row],[Ubicación]],SAP[],4,FALSE),"")</f>
        <v>ACONDICIONADOR AMARAS RIZOS  260 ML</v>
      </c>
      <c r="F216" s="11">
        <f>IFERROR(VLOOKUP(CANTIDAD[[#This Row],[Ubicación]],SAP[],8,FALSE),"")</f>
        <v>65</v>
      </c>
      <c r="G216" s="11" t="str">
        <f>IFERROR(VLOOKUP(CANTIDAD[[#This Row],[Ubicación]],SAP[],9,FALSE),"")</f>
        <v>CJA</v>
      </c>
      <c r="H216" s="11">
        <f>IFERROR(VLOOKUP(CANTIDAD[[#This Row],[Ubicación]],SAP[],5,FALSE),"")</f>
        <v>20500026</v>
      </c>
      <c r="I216" s="42" t="str">
        <f>IFERROR(VLOOKUP(CANTIDAD[[#This Row],[Ubicación]],SAP[],6,FALSE),"")</f>
        <v>28/05/2028</v>
      </c>
      <c r="J216" s="11" t="str">
        <f>IFERROR(VLOOKUP(CANTIDAD[[#This Row],[Ubicación]],SAP[],7,FALSE),"")</f>
        <v>1F</v>
      </c>
      <c r="K216" s="11">
        <f>IFERROR(VLOOKUP(CANTIDAD[[#This Row],[Ubicación]],SAP[],10,FALSE),"")</f>
        <v>780</v>
      </c>
      <c r="L216" s="48">
        <f>IFERROR(VLOOKUP(CANTIDAD[[#This Row],[Producto]],MARA[],5,FALSE),"")</f>
        <v>32</v>
      </c>
      <c r="M216" s="48" t="str">
        <f>IFERROR(VLOOKUP(CANTIDAD[[#This Row],[Producto]],MARA[],4,FALSE),"")</f>
        <v>CJA</v>
      </c>
      <c r="N216" s="136" t="s">
        <v>4556</v>
      </c>
    </row>
    <row r="217" spans="1:14" hidden="1">
      <c r="A217" s="139" t="str">
        <f t="shared" si="3"/>
        <v>PASILLO 8</v>
      </c>
      <c r="B217" s="93" t="s">
        <v>3698</v>
      </c>
      <c r="C217" s="11">
        <f>IFERROR(VLOOKUP(CANTIDAD[[#This Row],[Ubicación]],SAP[],3,FALSE),"")</f>
        <v>8321150</v>
      </c>
      <c r="D217" s="30">
        <f>IFERROR(VLOOKUP(CANTIDAD[[#This Row],[Producto]],MARA[],3,FALSE),"")</f>
        <v>17750243076491</v>
      </c>
      <c r="E217" s="13" t="str">
        <f>IFERROR(VLOOKUP(CANTIDAD[[#This Row],[Ubicación]],SAP[],4,FALSE),"")</f>
        <v>ACONDICIONADOR MAGIA AND AMARAS 12X260ML</v>
      </c>
      <c r="F217" s="13">
        <f>IFERROR(VLOOKUP(CANTIDAD[[#This Row],[Ubicación]],SAP[],8,FALSE),"")</f>
        <v>16</v>
      </c>
      <c r="G217" s="13" t="str">
        <f>IFERROR(VLOOKUP(CANTIDAD[[#This Row],[Ubicación]],SAP[],9,FALSE),"")</f>
        <v>CJA</v>
      </c>
      <c r="H217" s="13">
        <f>IFERROR(VLOOKUP(CANTIDAD[[#This Row],[Ubicación]],SAP[],5,FALSE),"")</f>
        <v>20500016</v>
      </c>
      <c r="I217" s="43" t="str">
        <f>IFERROR(VLOOKUP(CANTIDAD[[#This Row],[Ubicación]],SAP[],6,FALSE),"")</f>
        <v>29/05/2028</v>
      </c>
      <c r="J217" s="13" t="str">
        <f>IFERROR(VLOOKUP(CANTIDAD[[#This Row],[Ubicación]],SAP[],7,FALSE),"")</f>
        <v>1F</v>
      </c>
      <c r="K217" s="14">
        <f>IFERROR(VLOOKUP(CANTIDAD[[#This Row],[Ubicación]],SAP[],10,FALSE),"")</f>
        <v>192</v>
      </c>
      <c r="L217" s="48">
        <f>IFERROR(VLOOKUP(CANTIDAD[[#This Row],[Producto]],MARA[],5,FALSE),"")</f>
        <v>32</v>
      </c>
      <c r="M217" s="48" t="str">
        <f>IFERROR(VLOOKUP(CANTIDAD[[#This Row],[Producto]],MARA[],4,FALSE),"")</f>
        <v>CJA</v>
      </c>
      <c r="N217" s="136" t="s">
        <v>4557</v>
      </c>
    </row>
    <row r="218" spans="1:14" hidden="1">
      <c r="A218" s="139" t="str">
        <f t="shared" si="3"/>
        <v>PASILLO 8</v>
      </c>
      <c r="B218" s="92" t="s">
        <v>3719</v>
      </c>
      <c r="C218" s="11">
        <f>IFERROR(VLOOKUP(CANTIDAD[[#This Row],[Ubicación]],SAP[],3,FALSE),"")</f>
        <v>8321219</v>
      </c>
      <c r="D218" s="29">
        <f>IFERROR(VLOOKUP(CANTIDAD[[#This Row],[Producto]],MARA[],3,FALSE),"")</f>
        <v>17750243083130</v>
      </c>
      <c r="E218" s="11" t="str">
        <f>IFERROR(VLOOKUP(CANTIDAD[[#This Row],[Ubicación]],SAP[],4,FALSE),"")</f>
        <v>ACONDI AMARAS LARGO 12FCO260ML</v>
      </c>
      <c r="F218" s="11">
        <f>IFERROR(VLOOKUP(CANTIDAD[[#This Row],[Ubicación]],SAP[],8,FALSE),"")</f>
        <v>20</v>
      </c>
      <c r="G218" s="11" t="str">
        <f>IFERROR(VLOOKUP(CANTIDAD[[#This Row],[Ubicación]],SAP[],9,FALSE),"")</f>
        <v>CJA</v>
      </c>
      <c r="H218" s="11">
        <f>IFERROR(VLOOKUP(CANTIDAD[[#This Row],[Ubicación]],SAP[],5,FALSE),"")</f>
        <v>20600016</v>
      </c>
      <c r="I218" s="42">
        <f>IFERROR(VLOOKUP(CANTIDAD[[#This Row],[Ubicación]],SAP[],6,FALSE),"")</f>
        <v>46789</v>
      </c>
      <c r="J218" s="11" t="str">
        <f>IFERROR(VLOOKUP(CANTIDAD[[#This Row],[Ubicación]],SAP[],7,FALSE),"")</f>
        <v>1F</v>
      </c>
      <c r="K218" s="11">
        <f>IFERROR(VLOOKUP(CANTIDAD[[#This Row],[Ubicación]],SAP[],10,FALSE),"")</f>
        <v>240</v>
      </c>
      <c r="L218" s="48">
        <f>IFERROR(VLOOKUP(CANTIDAD[[#This Row],[Producto]],MARA[],5,FALSE),"")</f>
        <v>32</v>
      </c>
      <c r="M218" s="48" t="str">
        <f>IFERROR(VLOOKUP(CANTIDAD[[#This Row],[Producto]],MARA[],4,FALSE),"")</f>
        <v>CJA</v>
      </c>
      <c r="N218" s="136" t="s">
        <v>4558</v>
      </c>
    </row>
    <row r="219" spans="1:14" hidden="1">
      <c r="A219" s="139" t="str">
        <f t="shared" si="3"/>
        <v>PASILLO 8</v>
      </c>
      <c r="B219" s="93" t="s">
        <v>3707</v>
      </c>
      <c r="C219" s="11">
        <f>IFERROR(VLOOKUP(CANTIDAD[[#This Row],[Ubicación]],SAP[],3,FALSE),"")</f>
        <v>8321182</v>
      </c>
      <c r="D219" s="30">
        <f>IFERROR(VLOOKUP(CANTIDAD[[#This Row],[Producto]],MARA[],3,FALSE),"")</f>
        <v>17750243078761</v>
      </c>
      <c r="E219" s="13" t="str">
        <f>IFERROR(VLOOKUP(CANTIDAD[[#This Row],[Ubicación]],SAP[],4,FALSE),"")</f>
        <v>PRE SHAMPOO AMARAS RYP 12FCO 300ML</v>
      </c>
      <c r="F219" s="13">
        <f>IFERROR(VLOOKUP(CANTIDAD[[#This Row],[Ubicación]],SAP[],8,FALSE),"")</f>
        <v>59</v>
      </c>
      <c r="G219" s="13" t="str">
        <f>IFERROR(VLOOKUP(CANTIDAD[[#This Row],[Ubicación]],SAP[],9,FALSE),"")</f>
        <v>CJA</v>
      </c>
      <c r="H219" s="13">
        <f>IFERROR(VLOOKUP(CANTIDAD[[#This Row],[Ubicación]],SAP[],5,FALSE),"")</f>
        <v>20400016</v>
      </c>
      <c r="I219" s="43" t="str">
        <f>IFERROR(VLOOKUP(CANTIDAD[[#This Row],[Ubicación]],SAP[],6,FALSE),"")</f>
        <v>16/04/2028</v>
      </c>
      <c r="J219" s="13" t="str">
        <f>IFERROR(VLOOKUP(CANTIDAD[[#This Row],[Ubicación]],SAP[],7,FALSE),"")</f>
        <v>1F</v>
      </c>
      <c r="K219" s="14">
        <f>IFERROR(VLOOKUP(CANTIDAD[[#This Row],[Ubicación]],SAP[],10,FALSE),"")</f>
        <v>708</v>
      </c>
      <c r="L219" s="48">
        <f>IFERROR(VLOOKUP(CANTIDAD[[#This Row],[Producto]],MARA[],5,FALSE),"")</f>
        <v>27</v>
      </c>
      <c r="M219" s="48" t="str">
        <f>IFERROR(VLOOKUP(CANTIDAD[[#This Row],[Producto]],MARA[],4,FALSE),"")</f>
        <v>CJA</v>
      </c>
      <c r="N219" s="136" t="s">
        <v>4559</v>
      </c>
    </row>
    <row r="220" spans="1:14" hidden="1">
      <c r="A220" s="139" t="str">
        <f t="shared" si="3"/>
        <v>PASILLO 8</v>
      </c>
      <c r="B220" s="92" t="s">
        <v>4560</v>
      </c>
      <c r="C220" s="11" t="str">
        <f>IFERROR(VLOOKUP(CANTIDAD[[#This Row],[Ubicación]],SAP[],3,FALSE),"")</f>
        <v/>
      </c>
      <c r="D220" s="29" t="str">
        <f>IFERROR(VLOOKUP(CANTIDAD[[#This Row],[Producto]],MARA[],3,FALSE),"")</f>
        <v/>
      </c>
      <c r="E220" s="11" t="str">
        <f>IFERROR(VLOOKUP(CANTIDAD[[#This Row],[Ubicación]],SAP[],4,FALSE),"")</f>
        <v/>
      </c>
      <c r="F220" s="11" t="str">
        <f>IFERROR(VLOOKUP(CANTIDAD[[#This Row],[Ubicación]],SAP[],8,FALSE),"")</f>
        <v/>
      </c>
      <c r="G220" s="11" t="str">
        <f>IFERROR(VLOOKUP(CANTIDAD[[#This Row],[Ubicación]],SAP[],9,FALSE),"")</f>
        <v/>
      </c>
      <c r="H220" s="11" t="str">
        <f>IFERROR(VLOOKUP(CANTIDAD[[#This Row],[Ubicación]],SAP[],5,FALSE),"")</f>
        <v/>
      </c>
      <c r="I220" s="42" t="str">
        <f>IFERROR(VLOOKUP(CANTIDAD[[#This Row],[Ubicación]],SAP[],6,FALSE),"")</f>
        <v/>
      </c>
      <c r="J220" s="11" t="str">
        <f>IFERROR(VLOOKUP(CANTIDAD[[#This Row],[Ubicación]],SAP[],7,FALSE),"")</f>
        <v/>
      </c>
      <c r="K220" s="11" t="str">
        <f>IFERROR(VLOOKUP(CANTIDAD[[#This Row],[Ubicación]],SAP[],10,FALSE),"")</f>
        <v/>
      </c>
      <c r="L220" s="48" t="str">
        <f>IFERROR(VLOOKUP(CANTIDAD[[#This Row],[Producto]],MARA[],5,FALSE),"")</f>
        <v/>
      </c>
      <c r="M220" s="48" t="str">
        <f>IFERROR(VLOOKUP(CANTIDAD[[#This Row],[Producto]],MARA[],4,FALSE),"")</f>
        <v/>
      </c>
      <c r="N220" s="136" t="s">
        <v>4561</v>
      </c>
    </row>
    <row r="221" spans="1:14" hidden="1">
      <c r="A221" s="139" t="str">
        <f t="shared" si="3"/>
        <v>PASILLO 8</v>
      </c>
      <c r="B221" s="93" t="s">
        <v>3710</v>
      </c>
      <c r="C221" s="11">
        <f>IFERROR(VLOOKUP(CANTIDAD[[#This Row],[Ubicación]],SAP[],3,FALSE),"")</f>
        <v>8321199</v>
      </c>
      <c r="D221" s="30">
        <f>IFERROR(VLOOKUP(CANTIDAD[[#This Row],[Producto]],MARA[],3,FALSE),"")</f>
        <v>17750243081976</v>
      </c>
      <c r="E221" s="13" t="str">
        <f>IFERROR(VLOOKUP(CANTIDAD[[#This Row],[Ubicación]],SAP[],4,FALSE),"")</f>
        <v>N.SHAMP 20mL+CREM10ML RIZOS AMARAS10X12</v>
      </c>
      <c r="F221" s="13">
        <f>IFERROR(VLOOKUP(CANTIDAD[[#This Row],[Ubicación]],SAP[],8,FALSE),"")</f>
        <v>22</v>
      </c>
      <c r="G221" s="13" t="str">
        <f>IFERROR(VLOOKUP(CANTIDAD[[#This Row],[Ubicación]],SAP[],9,FALSE),"")</f>
        <v>CJA</v>
      </c>
      <c r="H221" s="13">
        <f>IFERROR(VLOOKUP(CANTIDAD[[#This Row],[Ubicación]],SAP[],5,FALSE),"")</f>
        <v>20600016</v>
      </c>
      <c r="I221" s="43" t="str">
        <f>IFERROR(VLOOKUP(CANTIDAD[[#This Row],[Ubicación]],SAP[],6,FALSE),"")</f>
        <v>26/06/2028</v>
      </c>
      <c r="J221" s="13" t="str">
        <f>IFERROR(VLOOKUP(CANTIDAD[[#This Row],[Ubicación]],SAP[],7,FALSE),"")</f>
        <v>1F</v>
      </c>
      <c r="K221" s="18">
        <f>IFERROR(VLOOKUP(CANTIDAD[[#This Row],[Ubicación]],SAP[],10,FALSE),"")</f>
        <v>2640</v>
      </c>
      <c r="L221" s="48">
        <f>IFERROR(VLOOKUP(CANTIDAD[[#This Row],[Producto]],MARA[],5,FALSE),"")</f>
        <v>8</v>
      </c>
      <c r="M221" s="48" t="str">
        <f>IFERROR(VLOOKUP(CANTIDAD[[#This Row],[Producto]],MARA[],4,FALSE),"")</f>
        <v>CJA</v>
      </c>
      <c r="N221" s="136" t="s">
        <v>4562</v>
      </c>
    </row>
    <row r="222" spans="1:14" hidden="1">
      <c r="A222" s="139" t="str">
        <f t="shared" si="3"/>
        <v>PASILLO 8</v>
      </c>
      <c r="B222" s="92" t="s">
        <v>3713</v>
      </c>
      <c r="C222" s="11">
        <f>IFERROR(VLOOKUP(CANTIDAD[[#This Row],[Ubicación]],SAP[],3,FALSE),"")</f>
        <v>8321201</v>
      </c>
      <c r="D222" s="29">
        <f>IFERROR(VLOOKUP(CANTIDAD[[#This Row],[Producto]],MARA[],3,FALSE),"")</f>
        <v>17750243081990</v>
      </c>
      <c r="E222" s="11" t="str">
        <f>IFERROR(VLOOKUP(CANTIDAD[[#This Row],[Ubicación]],SAP[],4,FALSE),"")</f>
        <v>N.SHAMP20mL+ ACO10mL REPAR AMARAS 10X12</v>
      </c>
      <c r="F222" s="11">
        <f>IFERROR(VLOOKUP(CANTIDAD[[#This Row],[Ubicación]],SAP[],8,FALSE),"")</f>
        <v>1</v>
      </c>
      <c r="G222" s="11" t="str">
        <f>IFERROR(VLOOKUP(CANTIDAD[[#This Row],[Ubicación]],SAP[],9,FALSE),"")</f>
        <v>CJA</v>
      </c>
      <c r="H222" s="11">
        <f>IFERROR(VLOOKUP(CANTIDAD[[#This Row],[Ubicación]],SAP[],5,FALSE),"")</f>
        <v>20600016</v>
      </c>
      <c r="I222" s="42">
        <f>IFERROR(VLOOKUP(CANTIDAD[[#This Row],[Ubicación]],SAP[],6,FALSE),"")</f>
        <v>46971</v>
      </c>
      <c r="J222" s="11" t="str">
        <f>IFERROR(VLOOKUP(CANTIDAD[[#This Row],[Ubicación]],SAP[],7,FALSE),"")</f>
        <v>1F</v>
      </c>
      <c r="K222" s="11">
        <f>IFERROR(VLOOKUP(CANTIDAD[[#This Row],[Ubicación]],SAP[],10,FALSE),"")</f>
        <v>120</v>
      </c>
      <c r="L222" s="48">
        <f>IFERROR(VLOOKUP(CANTIDAD[[#This Row],[Producto]],MARA[],5,FALSE),"")</f>
        <v>8</v>
      </c>
      <c r="M222" s="48" t="str">
        <f>IFERROR(VLOOKUP(CANTIDAD[[#This Row],[Producto]],MARA[],4,FALSE),"")</f>
        <v>CJA</v>
      </c>
      <c r="N222" s="136" t="s">
        <v>4563</v>
      </c>
    </row>
    <row r="223" spans="1:14" hidden="1">
      <c r="A223" s="139" t="str">
        <f t="shared" si="3"/>
        <v>PASILLO 8</v>
      </c>
      <c r="B223" s="93" t="s">
        <v>3716</v>
      </c>
      <c r="C223" s="11">
        <f>IFERROR(VLOOKUP(CANTIDAD[[#This Row],[Ubicación]],SAP[],3,FALSE),"")</f>
        <v>8321203</v>
      </c>
      <c r="D223" s="30">
        <f>IFERROR(VLOOKUP(CANTIDAD[[#This Row],[Producto]],MARA[],3,FALSE),"")</f>
        <v>17750243082010</v>
      </c>
      <c r="E223" s="13" t="str">
        <f>IFERROR(VLOOKUP(CANTIDAD[[#This Row],[Ubicación]],SAP[],4,FALSE),"")</f>
        <v>N.SHAMP 20mL+ACO 10mL MAGIA AND AMARAS</v>
      </c>
      <c r="F223" s="13">
        <f>IFERROR(VLOOKUP(CANTIDAD[[#This Row],[Ubicación]],SAP[],8,FALSE),"")</f>
        <v>31</v>
      </c>
      <c r="G223" s="13" t="str">
        <f>IFERROR(VLOOKUP(CANTIDAD[[#This Row],[Ubicación]],SAP[],9,FALSE),"")</f>
        <v>CJA</v>
      </c>
      <c r="H223" s="13">
        <f>IFERROR(VLOOKUP(CANTIDAD[[#This Row],[Ubicación]],SAP[],5,FALSE),"")</f>
        <v>20600026</v>
      </c>
      <c r="I223" s="43">
        <f>IFERROR(VLOOKUP(CANTIDAD[[#This Row],[Ubicación]],SAP[],6,FALSE),"")</f>
        <v>47032</v>
      </c>
      <c r="J223" s="13" t="str">
        <f>IFERROR(VLOOKUP(CANTIDAD[[#This Row],[Ubicación]],SAP[],7,FALSE),"")</f>
        <v>1F</v>
      </c>
      <c r="K223" s="18">
        <f>IFERROR(VLOOKUP(CANTIDAD[[#This Row],[Ubicación]],SAP[],10,FALSE),"")</f>
        <v>3720</v>
      </c>
      <c r="L223" s="48">
        <f>IFERROR(VLOOKUP(CANTIDAD[[#This Row],[Producto]],MARA[],5,FALSE),"")</f>
        <v>8</v>
      </c>
      <c r="M223" s="48" t="str">
        <f>IFERROR(VLOOKUP(CANTIDAD[[#This Row],[Producto]],MARA[],4,FALSE),"")</f>
        <v>CJA</v>
      </c>
      <c r="N223" s="136" t="s">
        <v>4564</v>
      </c>
    </row>
    <row r="224" spans="1:14" hidden="1">
      <c r="A224" s="139" t="str">
        <f t="shared" si="3"/>
        <v>PASILLO 8</v>
      </c>
      <c r="B224" s="92" t="s">
        <v>3701</v>
      </c>
      <c r="C224" s="11">
        <f>IFERROR(VLOOKUP(CANTIDAD[[#This Row],[Ubicación]],SAP[],3,FALSE),"")</f>
        <v>8321163</v>
      </c>
      <c r="D224" s="29">
        <f>IFERROR(VLOOKUP(CANTIDAD[[#This Row],[Producto]],MARA[],3,FALSE),"")</f>
        <v>17750243077436</v>
      </c>
      <c r="E224" s="11" t="str">
        <f>IFERROR(VLOOKUP(CANTIDAD[[#This Row],[Ubicación]],SAP[],4,FALSE),"")</f>
        <v>TRATAMIENTO AMARAS RIZOS 12FCO 300ML</v>
      </c>
      <c r="F224" s="11">
        <f>IFERROR(VLOOKUP(CANTIDAD[[#This Row],[Ubicación]],SAP[],8,FALSE),"")</f>
        <v>14</v>
      </c>
      <c r="G224" s="11" t="str">
        <f>IFERROR(VLOOKUP(CANTIDAD[[#This Row],[Ubicación]],SAP[],9,FALSE),"")</f>
        <v>CJA</v>
      </c>
      <c r="H224" s="11">
        <f>IFERROR(VLOOKUP(CANTIDAD[[#This Row],[Ubicación]],SAP[],5,FALSE),"")</f>
        <v>20400026</v>
      </c>
      <c r="I224" s="42" t="str">
        <f>IFERROR(VLOOKUP(CANTIDAD[[#This Row],[Ubicación]],SAP[],6,FALSE),"")</f>
        <v>20/04/2028</v>
      </c>
      <c r="J224" s="11" t="str">
        <f>IFERROR(VLOOKUP(CANTIDAD[[#This Row],[Ubicación]],SAP[],7,FALSE),"")</f>
        <v>1F</v>
      </c>
      <c r="K224" s="11">
        <f>IFERROR(VLOOKUP(CANTIDAD[[#This Row],[Ubicación]],SAP[],10,FALSE),"")</f>
        <v>168</v>
      </c>
      <c r="L224" s="48">
        <f>IFERROR(VLOOKUP(CANTIDAD[[#This Row],[Producto]],MARA[],5,FALSE),"")</f>
        <v>10</v>
      </c>
      <c r="M224" s="48" t="str">
        <f>IFERROR(VLOOKUP(CANTIDAD[[#This Row],[Producto]],MARA[],4,FALSE),"")</f>
        <v>CJA</v>
      </c>
      <c r="N224" s="136" t="s">
        <v>4565</v>
      </c>
    </row>
    <row r="225" spans="1:14" hidden="1">
      <c r="A225" s="139" t="str">
        <f t="shared" si="3"/>
        <v>PASILLO 8</v>
      </c>
      <c r="B225" s="93" t="s">
        <v>3685</v>
      </c>
      <c r="C225" s="11">
        <f>IFERROR(VLOOKUP(CANTIDAD[[#This Row],[Ubicación]],SAP[],3,FALSE),"")</f>
        <v>8321108</v>
      </c>
      <c r="D225" s="30">
        <f>IFERROR(VLOOKUP(CANTIDAD[[#This Row],[Producto]],MARA[],3,FALSE),"")</f>
        <v>17750243073971</v>
      </c>
      <c r="E225" s="13" t="str">
        <f>IFERROR(VLOOKUP(CANTIDAD[[#This Row],[Ubicación]],SAP[],4,FALSE),"")</f>
        <v>TRATAMIENTO REPARADOR AMARAS 12FCO 300ML</v>
      </c>
      <c r="F225" s="13">
        <f>IFERROR(VLOOKUP(CANTIDAD[[#This Row],[Ubicación]],SAP[],8,FALSE),"")</f>
        <v>1</v>
      </c>
      <c r="G225" s="13" t="str">
        <f>IFERROR(VLOOKUP(CANTIDAD[[#This Row],[Ubicación]],SAP[],9,FALSE),"")</f>
        <v>CJA</v>
      </c>
      <c r="H225" s="13">
        <f>IFERROR(VLOOKUP(CANTIDAD[[#This Row],[Ubicación]],SAP[],5,FALSE),"")</f>
        <v>20600016</v>
      </c>
      <c r="I225" s="43" t="str">
        <f>IFERROR(VLOOKUP(CANTIDAD[[#This Row],[Ubicación]],SAP[],6,FALSE),"")</f>
        <v>26/06/2028</v>
      </c>
      <c r="J225" s="13" t="str">
        <f>IFERROR(VLOOKUP(CANTIDAD[[#This Row],[Ubicación]],SAP[],7,FALSE),"")</f>
        <v>1F</v>
      </c>
      <c r="K225" s="14">
        <f>IFERROR(VLOOKUP(CANTIDAD[[#This Row],[Ubicación]],SAP[],10,FALSE),"")</f>
        <v>12</v>
      </c>
      <c r="L225" s="48">
        <f>IFERROR(VLOOKUP(CANTIDAD[[#This Row],[Producto]],MARA[],5,FALSE),"")</f>
        <v>10</v>
      </c>
      <c r="M225" s="48" t="str">
        <f>IFERROR(VLOOKUP(CANTIDAD[[#This Row],[Producto]],MARA[],4,FALSE),"")</f>
        <v>CJA</v>
      </c>
      <c r="N225" s="136" t="s">
        <v>4566</v>
      </c>
    </row>
    <row r="226" spans="1:14" hidden="1">
      <c r="A226" s="139" t="str">
        <f t="shared" si="3"/>
        <v>PASILLO 8</v>
      </c>
      <c r="B226" s="92" t="s">
        <v>4567</v>
      </c>
      <c r="C226" s="11" t="str">
        <f>IFERROR(VLOOKUP(CANTIDAD[[#This Row],[Ubicación]],SAP[],3,FALSE),"")</f>
        <v/>
      </c>
      <c r="D226" s="29" t="str">
        <f>IFERROR(VLOOKUP(CANTIDAD[[#This Row],[Producto]],MARA[],3,FALSE),"")</f>
        <v/>
      </c>
      <c r="E226" s="11" t="str">
        <f>IFERROR(VLOOKUP(CANTIDAD[[#This Row],[Ubicación]],SAP[],4,FALSE),"")</f>
        <v/>
      </c>
      <c r="F226" s="11" t="str">
        <f>IFERROR(VLOOKUP(CANTIDAD[[#This Row],[Ubicación]],SAP[],8,FALSE),"")</f>
        <v/>
      </c>
      <c r="G226" s="11" t="str">
        <f>IFERROR(VLOOKUP(CANTIDAD[[#This Row],[Ubicación]],SAP[],9,FALSE),"")</f>
        <v/>
      </c>
      <c r="H226" s="11" t="str">
        <f>IFERROR(VLOOKUP(CANTIDAD[[#This Row],[Ubicación]],SAP[],5,FALSE),"")</f>
        <v/>
      </c>
      <c r="I226" s="42" t="str">
        <f>IFERROR(VLOOKUP(CANTIDAD[[#This Row],[Ubicación]],SAP[],6,FALSE),"")</f>
        <v/>
      </c>
      <c r="J226" s="11" t="str">
        <f>IFERROR(VLOOKUP(CANTIDAD[[#This Row],[Ubicación]],SAP[],7,FALSE),"")</f>
        <v/>
      </c>
      <c r="K226" s="11" t="str">
        <f>IFERROR(VLOOKUP(CANTIDAD[[#This Row],[Ubicación]],SAP[],10,FALSE),"")</f>
        <v/>
      </c>
      <c r="L226" s="48" t="str">
        <f>IFERROR(VLOOKUP(CANTIDAD[[#This Row],[Producto]],MARA[],5,FALSE),"")</f>
        <v/>
      </c>
      <c r="M226" s="48" t="str">
        <f>IFERROR(VLOOKUP(CANTIDAD[[#This Row],[Producto]],MARA[],4,FALSE),"")</f>
        <v/>
      </c>
      <c r="N226" s="136" t="s">
        <v>4568</v>
      </c>
    </row>
    <row r="227" spans="1:14" hidden="1">
      <c r="A227" s="139" t="str">
        <f t="shared" si="3"/>
        <v>PASILLO 8</v>
      </c>
      <c r="B227" s="93" t="s">
        <v>3270</v>
      </c>
      <c r="C227" s="11">
        <f>IFERROR(VLOOKUP(CANTIDAD[[#This Row],[Ubicación]],SAP[],3,FALSE),"")</f>
        <v>8304022</v>
      </c>
      <c r="D227" s="30">
        <f>IFERROR(VLOOKUP(CANTIDAD[[#This Row],[Producto]],MARA[],3,FALSE),"")</f>
        <v>17751851020241</v>
      </c>
      <c r="E227" s="13" t="str">
        <f>IFERROR(VLOOKUP(CANTIDAD[[#This Row],[Ubicación]],SAP[],4,FALSE),"")</f>
        <v>LIBRE ENJUAGUE BEBE AMOR 1000ML 12UND</v>
      </c>
      <c r="F227" s="13">
        <f>IFERROR(VLOOKUP(CANTIDAD[[#This Row],[Ubicación]],SAP[],8,FALSE),"")</f>
        <v>27</v>
      </c>
      <c r="G227" s="13" t="str">
        <f>IFERROR(VLOOKUP(CANTIDAD[[#This Row],[Ubicación]],SAP[],9,FALSE),"")</f>
        <v>CJA</v>
      </c>
      <c r="H227" s="13">
        <f>IFERROR(VLOOKUP(CANTIDAD[[#This Row],[Ubicación]],SAP[],5,FALSE),"")</f>
        <v>2607165060</v>
      </c>
      <c r="I227" s="43" t="str">
        <f>IFERROR(VLOOKUP(CANTIDAD[[#This Row],[Ubicación]],SAP[],6,FALSE),"")</f>
        <v>16/07/2028</v>
      </c>
      <c r="J227" s="13" t="str">
        <f>IFERROR(VLOOKUP(CANTIDAD[[#This Row],[Ubicación]],SAP[],7,FALSE),"")</f>
        <v>1F</v>
      </c>
      <c r="K227" s="14">
        <f>IFERROR(VLOOKUP(CANTIDAD[[#This Row],[Ubicación]],SAP[],10,FALSE),"")</f>
        <v>324</v>
      </c>
      <c r="L227" s="48">
        <f>IFERROR(VLOOKUP(CANTIDAD[[#This Row],[Producto]],MARA[],5,FALSE),"")</f>
        <v>12</v>
      </c>
      <c r="M227" s="48" t="str">
        <f>IFERROR(VLOOKUP(CANTIDAD[[#This Row],[Producto]],MARA[],4,FALSE),"")</f>
        <v>CJA</v>
      </c>
      <c r="N227" s="136" t="s">
        <v>4569</v>
      </c>
    </row>
    <row r="228" spans="1:14" hidden="1">
      <c r="A228" s="139" t="str">
        <f t="shared" si="3"/>
        <v>PASILLO 8</v>
      </c>
      <c r="B228" s="92" t="s">
        <v>3266</v>
      </c>
      <c r="C228" s="11">
        <f>IFERROR(VLOOKUP(CANTIDAD[[#This Row],[Ubicación]],SAP[],3,FALSE),"")</f>
        <v>8304020</v>
      </c>
      <c r="D228" s="29">
        <f>IFERROR(VLOOKUP(CANTIDAD[[#This Row],[Producto]],MARA[],3,FALSE),"")</f>
        <v>17751851020227</v>
      </c>
      <c r="E228" s="11" t="str">
        <f>IFERROR(VLOOKUP(CANTIDAD[[#This Row],[Ubicación]],SAP[],4,FALSE),"")</f>
        <v>LIBRE ENJUAGUE FLORES AMOR 1000ML 12UND</v>
      </c>
      <c r="F228" s="11">
        <f>IFERROR(VLOOKUP(CANTIDAD[[#This Row],[Ubicación]],SAP[],8,FALSE),"")</f>
        <v>2</v>
      </c>
      <c r="G228" s="11" t="str">
        <f>IFERROR(VLOOKUP(CANTIDAD[[#This Row],[Ubicación]],SAP[],9,FALSE),"")</f>
        <v>CJA</v>
      </c>
      <c r="H228" s="11">
        <f>IFERROR(VLOOKUP(CANTIDAD[[#This Row],[Ubicación]],SAP[],5,FALSE),"")</f>
        <v>2607025060</v>
      </c>
      <c r="I228" s="42">
        <f>IFERROR(VLOOKUP(CANTIDAD[[#This Row],[Ubicación]],SAP[],6,FALSE),"")</f>
        <v>46790</v>
      </c>
      <c r="J228" s="11" t="str">
        <f>IFERROR(VLOOKUP(CANTIDAD[[#This Row],[Ubicación]],SAP[],7,FALSE),"")</f>
        <v>1F</v>
      </c>
      <c r="K228" s="11">
        <f>IFERROR(VLOOKUP(CANTIDAD[[#This Row],[Ubicación]],SAP[],10,FALSE),"")</f>
        <v>24</v>
      </c>
      <c r="L228" s="48">
        <f>IFERROR(VLOOKUP(CANTIDAD[[#This Row],[Producto]],MARA[],5,FALSE),"")</f>
        <v>12</v>
      </c>
      <c r="M228" s="48" t="str">
        <f>IFERROR(VLOOKUP(CANTIDAD[[#This Row],[Producto]],MARA[],4,FALSE),"")</f>
        <v>CJA</v>
      </c>
      <c r="N228" s="136" t="s">
        <v>4570</v>
      </c>
    </row>
    <row r="229" spans="1:14" hidden="1">
      <c r="A229" s="139" t="str">
        <f t="shared" si="3"/>
        <v>PASILLO 8</v>
      </c>
      <c r="B229" s="93" t="s">
        <v>3759</v>
      </c>
      <c r="C229" s="11">
        <f>IFERROR(VLOOKUP(CANTIDAD[[#This Row],[Ubicación]],SAP[],3,FALSE),"")</f>
        <v>8400460</v>
      </c>
      <c r="D229" s="30">
        <f>IFERROR(VLOOKUP(CANTIDAD[[#This Row],[Producto]],MARA[],3,FALSE),"")</f>
        <v>17750243079522</v>
      </c>
      <c r="E229" s="13" t="str">
        <f>IFERROR(VLOOKUP(CANTIDAD[[#This Row],[Ubicación]],SAP[],4,FALSE),"")</f>
        <v>DET. LIQ.BOLIVAR FLORAL RENA 1.9L 6FCO</v>
      </c>
      <c r="F229" s="13">
        <f>IFERROR(VLOOKUP(CANTIDAD[[#This Row],[Ubicación]],SAP[],8,FALSE),"")</f>
        <v>33</v>
      </c>
      <c r="G229" s="13" t="str">
        <f>IFERROR(VLOOKUP(CANTIDAD[[#This Row],[Ubicación]],SAP[],9,FALSE),"")</f>
        <v>CJA</v>
      </c>
      <c r="H229" s="13" t="str">
        <f>IFERROR(VLOOKUP(CANTIDAD[[#This Row],[Ubicación]],SAP[],5,FALSE),"")</f>
        <v>20824996M</v>
      </c>
      <c r="I229" s="43">
        <f>IFERROR(VLOOKUP(CANTIDAD[[#This Row],[Ubicación]],SAP[],6,FALSE),"")</f>
        <v>46820</v>
      </c>
      <c r="J229" s="13" t="str">
        <f>IFERROR(VLOOKUP(CANTIDAD[[#This Row],[Ubicación]],SAP[],7,FALSE),"")</f>
        <v>1F</v>
      </c>
      <c r="K229" s="14">
        <f>IFERROR(VLOOKUP(CANTIDAD[[#This Row],[Ubicación]],SAP[],10,FALSE),"")</f>
        <v>198</v>
      </c>
      <c r="L229" s="48">
        <f>IFERROR(VLOOKUP(CANTIDAD[[#This Row],[Producto]],MARA[],5,FALSE),"")</f>
        <v>11</v>
      </c>
      <c r="M229" s="48" t="str">
        <f>IFERROR(VLOOKUP(CANTIDAD[[#This Row],[Producto]],MARA[],4,FALSE),"")</f>
        <v>CJA</v>
      </c>
      <c r="N229" s="136" t="s">
        <v>4571</v>
      </c>
    </row>
    <row r="230" spans="1:14" hidden="1">
      <c r="A230" s="139" t="str">
        <f t="shared" si="3"/>
        <v>PASILLO 8</v>
      </c>
      <c r="B230" s="92" t="s">
        <v>3221</v>
      </c>
      <c r="C230" s="11">
        <f>IFERROR(VLOOKUP(CANTIDAD[[#This Row],[Ubicación]],SAP[],3,FALSE),"")</f>
        <v>8303003</v>
      </c>
      <c r="D230" s="29">
        <f>IFERROR(VLOOKUP(CANTIDAD[[#This Row],[Producto]],MARA[],3,FALSE),"")</f>
        <v>17751851021385</v>
      </c>
      <c r="E230" s="11" t="str">
        <f>IFERROR(VLOOKUP(CANTIDAD[[#This Row],[Ubicación]],SAP[],4,FALSE),"")</f>
        <v>DETER.SAPO LIQ.LAVARO LIMON 2000ML 6UND</v>
      </c>
      <c r="F230" s="11">
        <f>IFERROR(VLOOKUP(CANTIDAD[[#This Row],[Ubicación]],SAP[],8,FALSE),"")</f>
        <v>27</v>
      </c>
      <c r="G230" s="11" t="str">
        <f>IFERROR(VLOOKUP(CANTIDAD[[#This Row],[Ubicación]],SAP[],9,FALSE),"")</f>
        <v>CJA</v>
      </c>
      <c r="H230" s="11">
        <f>IFERROR(VLOOKUP(CANTIDAD[[#This Row],[Ubicación]],SAP[],5,FALSE),"")</f>
        <v>2607235060</v>
      </c>
      <c r="I230" s="42" t="str">
        <f>IFERROR(VLOOKUP(CANTIDAD[[#This Row],[Ubicación]],SAP[],6,FALSE),"")</f>
        <v>23/07/2028</v>
      </c>
      <c r="J230" s="11" t="str">
        <f>IFERROR(VLOOKUP(CANTIDAD[[#This Row],[Ubicación]],SAP[],7,FALSE),"")</f>
        <v>1F</v>
      </c>
      <c r="K230" s="11">
        <f>IFERROR(VLOOKUP(CANTIDAD[[#This Row],[Ubicación]],SAP[],10,FALSE),"")</f>
        <v>162</v>
      </c>
      <c r="L230" s="48">
        <f>IFERROR(VLOOKUP(CANTIDAD[[#This Row],[Producto]],MARA[],5,FALSE),"")</f>
        <v>15</v>
      </c>
      <c r="M230" s="48" t="str">
        <f>IFERROR(VLOOKUP(CANTIDAD[[#This Row],[Producto]],MARA[],4,FALSE),"")</f>
        <v>CJA</v>
      </c>
      <c r="N230" s="136" t="s">
        <v>4572</v>
      </c>
    </row>
    <row r="231" spans="1:14" hidden="1">
      <c r="A231" s="139" t="str">
        <f t="shared" si="3"/>
        <v>PASILLO 8</v>
      </c>
      <c r="B231" s="93" t="s">
        <v>3762</v>
      </c>
      <c r="C231" s="11">
        <f>IFERROR(VLOOKUP(CANTIDAD[[#This Row],[Ubicación]],SAP[],3,FALSE),"")</f>
        <v>8400461</v>
      </c>
      <c r="D231" s="30">
        <f>IFERROR(VLOOKUP(CANTIDAD[[#This Row],[Producto]],MARA[],3,FALSE),"")</f>
        <v>17750243079539</v>
      </c>
      <c r="E231" s="13" t="str">
        <f>IFERROR(VLOOKUP(CANTIDAD[[#This Row],[Ubicación]],SAP[],4,FALSE),"")</f>
        <v>DET.LIQ BOLIVAR FLORAL RENA 3L 4DPK</v>
      </c>
      <c r="F231" s="13">
        <f>IFERROR(VLOOKUP(CANTIDAD[[#This Row],[Ubicación]],SAP[],8,FALSE),"")</f>
        <v>40</v>
      </c>
      <c r="G231" s="13" t="str">
        <f>IFERROR(VLOOKUP(CANTIDAD[[#This Row],[Ubicación]],SAP[],9,FALSE),"")</f>
        <v>CJA</v>
      </c>
      <c r="H231" s="13" t="str">
        <f>IFERROR(VLOOKUP(CANTIDAD[[#This Row],[Ubicación]],SAP[],5,FALSE),"")</f>
        <v>20824986M</v>
      </c>
      <c r="I231" s="43">
        <f>IFERROR(VLOOKUP(CANTIDAD[[#This Row],[Ubicación]],SAP[],6,FALSE),"")</f>
        <v>46820</v>
      </c>
      <c r="J231" s="13" t="str">
        <f>IFERROR(VLOOKUP(CANTIDAD[[#This Row],[Ubicación]],SAP[],7,FALSE),"")</f>
        <v>1F</v>
      </c>
      <c r="K231" s="14">
        <f>IFERROR(VLOOKUP(CANTIDAD[[#This Row],[Ubicación]],SAP[],10,FALSE),"")</f>
        <v>160</v>
      </c>
      <c r="L231" s="48">
        <f>IFERROR(VLOOKUP(CANTIDAD[[#This Row],[Producto]],MARA[],5,FALSE),"")</f>
        <v>12</v>
      </c>
      <c r="M231" s="48" t="str">
        <f>IFERROR(VLOOKUP(CANTIDAD[[#This Row],[Producto]],MARA[],4,FALSE),"")</f>
        <v>CJA</v>
      </c>
      <c r="N231" s="136" t="s">
        <v>4573</v>
      </c>
    </row>
    <row r="232" spans="1:14" hidden="1">
      <c r="A232" s="139" t="str">
        <f t="shared" si="3"/>
        <v>PASILLO 8</v>
      </c>
      <c r="B232" s="92" t="s">
        <v>4574</v>
      </c>
      <c r="C232" s="11" t="str">
        <f>IFERROR(VLOOKUP(CANTIDAD[[#This Row],[Ubicación]],SAP[],3,FALSE),"")</f>
        <v/>
      </c>
      <c r="D232" s="29" t="str">
        <f>IFERROR(VLOOKUP(CANTIDAD[[#This Row],[Producto]],MARA[],3,FALSE),"")</f>
        <v/>
      </c>
      <c r="E232" s="11" t="str">
        <f>IFERROR(VLOOKUP(CANTIDAD[[#This Row],[Ubicación]],SAP[],4,FALSE),"")</f>
        <v/>
      </c>
      <c r="F232" s="11" t="str">
        <f>IFERROR(VLOOKUP(CANTIDAD[[#This Row],[Ubicación]],SAP[],8,FALSE),"")</f>
        <v/>
      </c>
      <c r="G232" s="11" t="str">
        <f>IFERROR(VLOOKUP(CANTIDAD[[#This Row],[Ubicación]],SAP[],9,FALSE),"")</f>
        <v/>
      </c>
      <c r="H232" s="11" t="str">
        <f>IFERROR(VLOOKUP(CANTIDAD[[#This Row],[Ubicación]],SAP[],5,FALSE),"")</f>
        <v/>
      </c>
      <c r="I232" s="42" t="str">
        <f>IFERROR(VLOOKUP(CANTIDAD[[#This Row],[Ubicación]],SAP[],6,FALSE),"")</f>
        <v/>
      </c>
      <c r="J232" s="11" t="str">
        <f>IFERROR(VLOOKUP(CANTIDAD[[#This Row],[Ubicación]],SAP[],7,FALSE),"")</f>
        <v/>
      </c>
      <c r="K232" s="11" t="str">
        <f>IFERROR(VLOOKUP(CANTIDAD[[#This Row],[Ubicación]],SAP[],10,FALSE),"")</f>
        <v/>
      </c>
      <c r="L232" s="48" t="str">
        <f>IFERROR(VLOOKUP(CANTIDAD[[#This Row],[Producto]],MARA[],5,FALSE),"")</f>
        <v/>
      </c>
      <c r="M232" s="48" t="str">
        <f>IFERROR(VLOOKUP(CANTIDAD[[#This Row],[Producto]],MARA[],4,FALSE),"")</f>
        <v/>
      </c>
      <c r="N232" s="136" t="s">
        <v>4575</v>
      </c>
    </row>
    <row r="233" spans="1:14" hidden="1">
      <c r="A233" s="139" t="str">
        <f t="shared" si="3"/>
        <v>PASILLO 8</v>
      </c>
      <c r="B233" s="93" t="s">
        <v>3225</v>
      </c>
      <c r="C233" s="11">
        <f>IFERROR(VLOOKUP(CANTIDAD[[#This Row],[Ubicación]],SAP[],3,FALSE),"")</f>
        <v>8303004</v>
      </c>
      <c r="D233" s="30">
        <f>IFERROR(VLOOKUP(CANTIDAD[[#This Row],[Producto]],MARA[],3,FALSE),"")</f>
        <v>17751851021392</v>
      </c>
      <c r="E233" s="13" t="str">
        <f>IFERROR(VLOOKUP(CANTIDAD[[#This Row],[Ubicación]],SAP[],4,FALSE),"")</f>
        <v>DET LÍQ LAVAROPA FLORES SAP.2000ML 6UN</v>
      </c>
      <c r="F233" s="13">
        <f>IFERROR(VLOOKUP(CANTIDAD[[#This Row],[Ubicación]],SAP[],8,FALSE),"")</f>
        <v>2</v>
      </c>
      <c r="G233" s="13" t="str">
        <f>IFERROR(VLOOKUP(CANTIDAD[[#This Row],[Ubicación]],SAP[],9,FALSE),"")</f>
        <v>CJA</v>
      </c>
      <c r="H233" s="13">
        <f>IFERROR(VLOOKUP(CANTIDAD[[#This Row],[Ubicación]],SAP[],5,FALSE),"")</f>
        <v>2606085060</v>
      </c>
      <c r="I233" s="43">
        <f>IFERROR(VLOOKUP(CANTIDAD[[#This Row],[Ubicación]],SAP[],6,FALSE),"")</f>
        <v>46971</v>
      </c>
      <c r="J233" s="13" t="str">
        <f>IFERROR(VLOOKUP(CANTIDAD[[#This Row],[Ubicación]],SAP[],7,FALSE),"")</f>
        <v>1F</v>
      </c>
      <c r="K233" s="14">
        <f>IFERROR(VLOOKUP(CANTIDAD[[#This Row],[Ubicación]],SAP[],10,FALSE),"")</f>
        <v>12</v>
      </c>
      <c r="L233" s="48">
        <f>IFERROR(VLOOKUP(CANTIDAD[[#This Row],[Producto]],MARA[],5,FALSE),"")</f>
        <v>15</v>
      </c>
      <c r="M233" s="48" t="str">
        <f>IFERROR(VLOOKUP(CANTIDAD[[#This Row],[Producto]],MARA[],4,FALSE),"")</f>
        <v>CJA</v>
      </c>
      <c r="N233" s="136" t="s">
        <v>4576</v>
      </c>
    </row>
    <row r="234" spans="1:14" hidden="1">
      <c r="A234" s="139" t="str">
        <f t="shared" si="3"/>
        <v>PASILLO 8</v>
      </c>
      <c r="B234" s="92" t="s">
        <v>3219</v>
      </c>
      <c r="C234" s="11">
        <f>IFERROR(VLOOKUP(CANTIDAD[[#This Row],[Ubicación]],SAP[],3,FALSE),"")</f>
        <v>8303001</v>
      </c>
      <c r="D234" s="29">
        <f>IFERROR(VLOOKUP(CANTIDAD[[#This Row],[Producto]],MARA[],3,FALSE),"")</f>
        <v>17751851021361</v>
      </c>
      <c r="E234" s="11" t="str">
        <f>IFERROR(VLOOKUP(CANTIDAD[[#This Row],[Ubicación]],SAP[],4,FALSE),"")</f>
        <v>DET LÍQ LAVAROPA FLORES SAP.1000ML 12UND</v>
      </c>
      <c r="F234" s="11">
        <f>IFERROR(VLOOKUP(CANTIDAD[[#This Row],[Ubicación]],SAP[],8,FALSE),"")</f>
        <v>33</v>
      </c>
      <c r="G234" s="11" t="str">
        <f>IFERROR(VLOOKUP(CANTIDAD[[#This Row],[Ubicación]],SAP[],9,FALSE),"")</f>
        <v>CJA</v>
      </c>
      <c r="H234" s="11">
        <f>IFERROR(VLOOKUP(CANTIDAD[[#This Row],[Ubicación]],SAP[],5,FALSE),"")</f>
        <v>2607015060</v>
      </c>
      <c r="I234" s="42">
        <f>IFERROR(VLOOKUP(CANTIDAD[[#This Row],[Ubicación]],SAP[],6,FALSE),"")</f>
        <v>46759</v>
      </c>
      <c r="J234" s="11" t="str">
        <f>IFERROR(VLOOKUP(CANTIDAD[[#This Row],[Ubicación]],SAP[],7,FALSE),"")</f>
        <v>1F</v>
      </c>
      <c r="K234" s="11">
        <f>IFERROR(VLOOKUP(CANTIDAD[[#This Row],[Ubicación]],SAP[],10,FALSE),"")</f>
        <v>396</v>
      </c>
      <c r="L234" s="48">
        <f>IFERROR(VLOOKUP(CANTIDAD[[#This Row],[Producto]],MARA[],5,FALSE),"")</f>
        <v>12</v>
      </c>
      <c r="M234" s="48" t="str">
        <f>IFERROR(VLOOKUP(CANTIDAD[[#This Row],[Producto]],MARA[],4,FALSE),"")</f>
        <v>CJA</v>
      </c>
      <c r="N234" s="136" t="s">
        <v>4577</v>
      </c>
    </row>
    <row r="235" spans="1:14" hidden="1">
      <c r="A235" s="139" t="str">
        <f t="shared" si="3"/>
        <v>PASILLO 8</v>
      </c>
      <c r="B235" s="93" t="s">
        <v>3583</v>
      </c>
      <c r="C235" s="11">
        <f>IFERROR(VLOOKUP(CANTIDAD[[#This Row],[Ubicación]],SAP[],3,FALSE),"")</f>
        <v>8316026</v>
      </c>
      <c r="D235" s="30">
        <f>IFERROR(VLOOKUP(CANTIDAD[[#This Row],[Producto]],MARA[],3,FALSE),"")</f>
        <v>17751851086162</v>
      </c>
      <c r="E235" s="13" t="str">
        <f>IFERROR(VLOOKUP(CANTIDAD[[#This Row],[Ubicación]],SAP[],4,FALSE),"")</f>
        <v>DESATORADOR BAÑO SAPOLIO 980ML 12UND</v>
      </c>
      <c r="F235" s="13">
        <f>IFERROR(VLOOKUP(CANTIDAD[[#This Row],[Ubicación]],SAP[],8,FALSE),"")</f>
        <v>30</v>
      </c>
      <c r="G235" s="13" t="str">
        <f>IFERROR(VLOOKUP(CANTIDAD[[#This Row],[Ubicación]],SAP[],9,FALSE),"")</f>
        <v>CJA</v>
      </c>
      <c r="H235" s="13">
        <f>IFERROR(VLOOKUP(CANTIDAD[[#This Row],[Ubicación]],SAP[],5,FALSE),"")</f>
        <v>2608285060</v>
      </c>
      <c r="I235" s="43" t="str">
        <f>IFERROR(VLOOKUP(CANTIDAD[[#This Row],[Ubicación]],SAP[],6,FALSE),"")</f>
        <v>28/08/2027</v>
      </c>
      <c r="J235" s="13" t="str">
        <f>IFERROR(VLOOKUP(CANTIDAD[[#This Row],[Ubicación]],SAP[],7,FALSE),"")</f>
        <v>1F</v>
      </c>
      <c r="K235" s="14">
        <f>IFERROR(VLOOKUP(CANTIDAD[[#This Row],[Ubicación]],SAP[],10,FALSE),"")</f>
        <v>360</v>
      </c>
      <c r="L235" s="48">
        <f>IFERROR(VLOOKUP(CANTIDAD[[#This Row],[Producto]],MARA[],5,FALSE),"")</f>
        <v>11</v>
      </c>
      <c r="M235" s="48" t="str">
        <f>IFERROR(VLOOKUP(CANTIDAD[[#This Row],[Producto]],MARA[],4,FALSE),"")</f>
        <v>CJA</v>
      </c>
      <c r="N235" s="136" t="s">
        <v>4578</v>
      </c>
    </row>
    <row r="236" spans="1:14" hidden="1">
      <c r="A236" s="139" t="str">
        <f t="shared" si="3"/>
        <v>PASILLO 8</v>
      </c>
      <c r="B236" s="92" t="s">
        <v>4201</v>
      </c>
      <c r="C236" s="11">
        <f>IFERROR(VLOOKUP(CANTIDAD[[#This Row],[Ubicación]],SAP[],3,FALSE),"")</f>
        <v>9350423</v>
      </c>
      <c r="D236" s="29">
        <f>IFERROR(VLOOKUP(CANTIDAD[[#This Row],[Producto]],MARA[],3,FALSE),"")</f>
        <v>17750243084649</v>
      </c>
      <c r="E236" s="11" t="str">
        <f>IFERROR(VLOOKUP(CANTIDAD[[#This Row],[Ubicación]],SAP[],4,FALSE),"")</f>
        <v>SUA.BOL.FLORAL 2.3L.6DYPK</v>
      </c>
      <c r="F236" s="11">
        <f>IFERROR(VLOOKUP(CANTIDAD[[#This Row],[Ubicación]],SAP[],8,FALSE),"")</f>
        <v>22</v>
      </c>
      <c r="G236" s="11" t="str">
        <f>IFERROR(VLOOKUP(CANTIDAD[[#This Row],[Ubicación]],SAP[],9,FALSE),"")</f>
        <v>CJA</v>
      </c>
      <c r="H236" s="11" t="str">
        <f>IFERROR(VLOOKUP(CANTIDAD[[#This Row],[Ubicación]],SAP[],5,FALSE),"")</f>
        <v>20844376S</v>
      </c>
      <c r="I236" s="42" t="str">
        <f>IFERROR(VLOOKUP(CANTIDAD[[#This Row],[Ubicación]],SAP[],6,FALSE),"")</f>
        <v>13/11/2027</v>
      </c>
      <c r="J236" s="11" t="str">
        <f>IFERROR(VLOOKUP(CANTIDAD[[#This Row],[Ubicación]],SAP[],7,FALSE),"")</f>
        <v>1F</v>
      </c>
      <c r="K236" s="11">
        <f>IFERROR(VLOOKUP(CANTIDAD[[#This Row],[Ubicación]],SAP[],10,FALSE),"")</f>
        <v>132</v>
      </c>
      <c r="L236" s="48">
        <f>IFERROR(VLOOKUP(CANTIDAD[[#This Row],[Producto]],MARA[],5,FALSE),"")</f>
        <v>9</v>
      </c>
      <c r="M236" s="48" t="str">
        <f>IFERROR(VLOOKUP(CANTIDAD[[#This Row],[Producto]],MARA[],4,FALSE),"")</f>
        <v>CJA</v>
      </c>
      <c r="N236" s="136" t="s">
        <v>4579</v>
      </c>
    </row>
    <row r="237" spans="1:14" hidden="1">
      <c r="A237" s="139" t="str">
        <f t="shared" si="3"/>
        <v>PASILLO 8</v>
      </c>
      <c r="B237" s="93" t="s">
        <v>3757</v>
      </c>
      <c r="C237" s="11">
        <f>IFERROR(VLOOKUP(CANTIDAD[[#This Row],[Ubicación]],SAP[],3,FALSE),"")</f>
        <v>8326182</v>
      </c>
      <c r="D237" s="30">
        <f>IFERROR(VLOOKUP(CANTIDAD[[#This Row],[Producto]],MARA[],3,FALSE),"")</f>
        <v>17751851032473</v>
      </c>
      <c r="E237" s="13" t="str">
        <f>IFERROR(VLOOKUP(CANTIDAD[[#This Row],[Ubicación]],SAP[],4,FALSE),"")</f>
        <v>GEL DENT.CHI.GLOBO 85G 12UND 1100PPM BLV</v>
      </c>
      <c r="F237" s="13">
        <f>IFERROR(VLOOKUP(CANTIDAD[[#This Row],[Ubicación]],SAP[],8,FALSE),"")</f>
        <v>1</v>
      </c>
      <c r="G237" s="13" t="str">
        <f>IFERROR(VLOOKUP(CANTIDAD[[#This Row],[Ubicación]],SAP[],9,FALSE),"")</f>
        <v>CJA</v>
      </c>
      <c r="H237" s="13">
        <f>IFERROR(VLOOKUP(CANTIDAD[[#This Row],[Ubicación]],SAP[],5,FALSE),"")</f>
        <v>2507115010</v>
      </c>
      <c r="I237" s="43">
        <f>IFERROR(VLOOKUP(CANTIDAD[[#This Row],[Ubicación]],SAP[],6,FALSE),"")</f>
        <v>47064</v>
      </c>
      <c r="J237" s="13" t="str">
        <f>IFERROR(VLOOKUP(CANTIDAD[[#This Row],[Ubicación]],SAP[],7,FALSE),"")</f>
        <v>1F</v>
      </c>
      <c r="K237" s="14">
        <f>IFERROR(VLOOKUP(CANTIDAD[[#This Row],[Ubicación]],SAP[],10,FALSE),"")</f>
        <v>144</v>
      </c>
      <c r="L237" s="48">
        <f>IFERROR(VLOOKUP(CANTIDAD[[#This Row],[Producto]],MARA[],5,FALSE),"")</f>
        <v>11</v>
      </c>
      <c r="M237" s="48" t="str">
        <f>IFERROR(VLOOKUP(CANTIDAD[[#This Row],[Producto]],MARA[],4,FALSE),"")</f>
        <v>CJA</v>
      </c>
      <c r="N237" s="136" t="s">
        <v>4580</v>
      </c>
    </row>
    <row r="238" spans="1:14" hidden="1">
      <c r="A238" s="139" t="str">
        <f t="shared" si="3"/>
        <v>PASILLO 8</v>
      </c>
      <c r="B238" s="92" t="s">
        <v>3155</v>
      </c>
      <c r="C238" s="11">
        <f>IFERROR(VLOOKUP(CANTIDAD[[#This Row],[Ubicación]],SAP[],3,FALSE),"")</f>
        <v>8300115</v>
      </c>
      <c r="D238" s="29">
        <f>IFERROR(VLOOKUP(CANTIDAD[[#This Row],[Producto]],MARA[],3,FALSE),"")</f>
        <v>17750243082263</v>
      </c>
      <c r="E238" s="11" t="str">
        <f>IFERROR(VLOOKUP(CANTIDAD[[#This Row],[Ubicación]],SAP[],4,FALSE),"")</f>
        <v>LEJIA SAPOLIO CLORO B 1.16KG 12UND</v>
      </c>
      <c r="F238" s="11">
        <f>IFERROR(VLOOKUP(CANTIDAD[[#This Row],[Ubicación]],SAP[],8,FALSE),"")</f>
        <v>32</v>
      </c>
      <c r="G238" s="11" t="str">
        <f>IFERROR(VLOOKUP(CANTIDAD[[#This Row],[Ubicación]],SAP[],9,FALSE),"")</f>
        <v>CJA</v>
      </c>
      <c r="H238" s="11">
        <f>IFERROR(VLOOKUP(CANTIDAD[[#This Row],[Ubicación]],SAP[],5,FALSE),"")</f>
        <v>2608065060</v>
      </c>
      <c r="I238" s="42">
        <f>IFERROR(VLOOKUP(CANTIDAD[[#This Row],[Ubicación]],SAP[],6,FALSE),"")</f>
        <v>46546</v>
      </c>
      <c r="J238" s="11" t="str">
        <f>IFERROR(VLOOKUP(CANTIDAD[[#This Row],[Ubicación]],SAP[],7,FALSE),"")</f>
        <v>1F</v>
      </c>
      <c r="K238" s="11">
        <f>IFERROR(VLOOKUP(CANTIDAD[[#This Row],[Ubicación]],SAP[],10,FALSE),"")</f>
        <v>384</v>
      </c>
      <c r="L238" s="48">
        <f>IFERROR(VLOOKUP(CANTIDAD[[#This Row],[Producto]],MARA[],5,FALSE),"")</f>
        <v>11</v>
      </c>
      <c r="M238" s="48" t="str">
        <f>IFERROR(VLOOKUP(CANTIDAD[[#This Row],[Producto]],MARA[],4,FALSE),"")</f>
        <v>CJA</v>
      </c>
      <c r="N238" s="136" t="s">
        <v>4581</v>
      </c>
    </row>
    <row r="239" spans="1:14" hidden="1">
      <c r="A239" s="139" t="str">
        <f t="shared" si="3"/>
        <v>PASILLO 8</v>
      </c>
      <c r="B239" s="93" t="s">
        <v>3158</v>
      </c>
      <c r="C239" s="11">
        <f>IFERROR(VLOOKUP(CANTIDAD[[#This Row],[Ubicación]],SAP[],3,FALSE),"")</f>
        <v>8300115</v>
      </c>
      <c r="D239" s="30">
        <f>IFERROR(VLOOKUP(CANTIDAD[[#This Row],[Producto]],MARA[],3,FALSE),"")</f>
        <v>17750243082263</v>
      </c>
      <c r="E239" s="13" t="str">
        <f>IFERROR(VLOOKUP(CANTIDAD[[#This Row],[Ubicación]],SAP[],4,FALSE),"")</f>
        <v>LEJIA SAPOLIO CLORO B 1.16KG 12UND</v>
      </c>
      <c r="F239" s="13">
        <f>IFERROR(VLOOKUP(CANTIDAD[[#This Row],[Ubicación]],SAP[],8,FALSE),"")</f>
        <v>11</v>
      </c>
      <c r="G239" s="13" t="str">
        <f>IFERROR(VLOOKUP(CANTIDAD[[#This Row],[Ubicación]],SAP[],9,FALSE),"")</f>
        <v>CJA</v>
      </c>
      <c r="H239" s="13">
        <f>IFERROR(VLOOKUP(CANTIDAD[[#This Row],[Ubicación]],SAP[],5,FALSE),"")</f>
        <v>2608055060</v>
      </c>
      <c r="I239" s="43">
        <f>IFERROR(VLOOKUP(CANTIDAD[[#This Row],[Ubicación]],SAP[],6,FALSE),"")</f>
        <v>46515</v>
      </c>
      <c r="J239" s="13" t="str">
        <f>IFERROR(VLOOKUP(CANTIDAD[[#This Row],[Ubicación]],SAP[],7,FALSE),"")</f>
        <v>1F</v>
      </c>
      <c r="K239" s="14">
        <f>IFERROR(VLOOKUP(CANTIDAD[[#This Row],[Ubicación]],SAP[],10,FALSE),"")</f>
        <v>132</v>
      </c>
      <c r="L239" s="48">
        <f>IFERROR(VLOOKUP(CANTIDAD[[#This Row],[Producto]],MARA[],5,FALSE),"")</f>
        <v>11</v>
      </c>
      <c r="M239" s="48" t="str">
        <f>IFERROR(VLOOKUP(CANTIDAD[[#This Row],[Producto]],MARA[],4,FALSE),"")</f>
        <v>CJA</v>
      </c>
      <c r="N239" s="136" t="s">
        <v>4582</v>
      </c>
    </row>
    <row r="240" spans="1:14" hidden="1">
      <c r="A240" s="139" t="str">
        <f t="shared" si="3"/>
        <v>PASILLO 8</v>
      </c>
      <c r="B240" s="92" t="s">
        <v>4157</v>
      </c>
      <c r="C240" s="11">
        <f>IFERROR(VLOOKUP(CANTIDAD[[#This Row],[Ubicación]],SAP[],3,FALSE),"")</f>
        <v>9350408</v>
      </c>
      <c r="D240" s="29">
        <f>IFERROR(VLOOKUP(CANTIDAD[[#This Row],[Producto]],MARA[],3,FALSE),"")</f>
        <v>17750243083055</v>
      </c>
      <c r="E240" s="11" t="str">
        <f>IFERROR(VLOOKUP(CANTIDAD[[#This Row],[Ubicación]],SAP[],4,FALSE),"")</f>
        <v>SUA.BOL.FLORAL 4.8L.3FCO</v>
      </c>
      <c r="F240" s="11">
        <f>IFERROR(VLOOKUP(CANTIDAD[[#This Row],[Ubicación]],SAP[],8,FALSE),"")</f>
        <v>25</v>
      </c>
      <c r="G240" s="11" t="str">
        <f>IFERROR(VLOOKUP(CANTIDAD[[#This Row],[Ubicación]],SAP[],9,FALSE),"")</f>
        <v>CJA</v>
      </c>
      <c r="H240" s="11" t="str">
        <f>IFERROR(VLOOKUP(CANTIDAD[[#This Row],[Ubicación]],SAP[],5,FALSE),"")</f>
        <v>20844446S</v>
      </c>
      <c r="I240" s="42" t="str">
        <f>IFERROR(VLOOKUP(CANTIDAD[[#This Row],[Ubicación]],SAP[],6,FALSE),"")</f>
        <v>14/11/2027</v>
      </c>
      <c r="J240" s="11" t="str">
        <f>IFERROR(VLOOKUP(CANTIDAD[[#This Row],[Ubicación]],SAP[],7,FALSE),"")</f>
        <v>1F</v>
      </c>
      <c r="K240" s="11">
        <f>IFERROR(VLOOKUP(CANTIDAD[[#This Row],[Ubicación]],SAP[],10,FALSE),"")</f>
        <v>75</v>
      </c>
      <c r="L240" s="48">
        <f>IFERROR(VLOOKUP(CANTIDAD[[#This Row],[Producto]],MARA[],5,FALSE),"")</f>
        <v>9</v>
      </c>
      <c r="M240" s="48" t="str">
        <f>IFERROR(VLOOKUP(CANTIDAD[[#This Row],[Producto]],MARA[],4,FALSE),"")</f>
        <v>CJA</v>
      </c>
      <c r="N240" s="136" t="s">
        <v>4583</v>
      </c>
    </row>
    <row r="241" spans="1:14" hidden="1">
      <c r="A241" s="139" t="str">
        <f t="shared" si="3"/>
        <v>PASILLO 8</v>
      </c>
      <c r="B241" s="93" t="s">
        <v>4137</v>
      </c>
      <c r="C241" s="11">
        <f>IFERROR(VLOOKUP(CANTIDAD[[#This Row],[Ubicación]],SAP[],3,FALSE),"")</f>
        <v>9350356</v>
      </c>
      <c r="D241" s="30">
        <f>IFERROR(VLOOKUP(CANTIDAD[[#This Row],[Producto]],MARA[],3,FALSE),"")</f>
        <v>17750243058329</v>
      </c>
      <c r="E241" s="13" t="str">
        <f>IFERROR(VLOOKUP(CANTIDAD[[#This Row],[Ubicación]],SAP[],4,FALSE),"")</f>
        <v>SUA.BOL.ARO.ACTIV 5.0L.3FCO</v>
      </c>
      <c r="F241" s="13">
        <f>IFERROR(VLOOKUP(CANTIDAD[[#This Row],[Ubicación]],SAP[],8,FALSE),"")</f>
        <v>17</v>
      </c>
      <c r="G241" s="13" t="str">
        <f>IFERROR(VLOOKUP(CANTIDAD[[#This Row],[Ubicación]],SAP[],9,FALSE),"")</f>
        <v>CJA</v>
      </c>
      <c r="H241" s="13">
        <f>IFERROR(VLOOKUP(CANTIDAD[[#This Row],[Ubicación]],SAP[],5,FALSE),"")</f>
        <v>20918435</v>
      </c>
      <c r="I241" s="43" t="str">
        <f>IFERROR(VLOOKUP(CANTIDAD[[#This Row],[Ubicación]],SAP[],6,FALSE),"")</f>
        <v>20/12/2026</v>
      </c>
      <c r="J241" s="13" t="str">
        <f>IFERROR(VLOOKUP(CANTIDAD[[#This Row],[Ubicación]],SAP[],7,FALSE),"")</f>
        <v>1F</v>
      </c>
      <c r="K241" s="14">
        <f>IFERROR(VLOOKUP(CANTIDAD[[#This Row],[Ubicación]],SAP[],10,FALSE),"")</f>
        <v>51</v>
      </c>
      <c r="L241" s="48">
        <f>IFERROR(VLOOKUP(CANTIDAD[[#This Row],[Producto]],MARA[],5,FALSE),"")</f>
        <v>9</v>
      </c>
      <c r="M241" s="48" t="str">
        <f>IFERROR(VLOOKUP(CANTIDAD[[#This Row],[Producto]],MARA[],4,FALSE),"")</f>
        <v>CJA</v>
      </c>
      <c r="N241" s="136" t="s">
        <v>4584</v>
      </c>
    </row>
    <row r="242" spans="1:14" hidden="1">
      <c r="A242" s="139" t="str">
        <f t="shared" si="3"/>
        <v>PASILLO 8</v>
      </c>
      <c r="B242" s="92" t="s">
        <v>3160</v>
      </c>
      <c r="C242" s="11">
        <f>IFERROR(VLOOKUP(CANTIDAD[[#This Row],[Ubicación]],SAP[],3,FALSE),"")</f>
        <v>8300116</v>
      </c>
      <c r="D242" s="29">
        <f>IFERROR(VLOOKUP(CANTIDAD[[#This Row],[Producto]],MARA[],3,FALSE),"")</f>
        <v>17750243082270</v>
      </c>
      <c r="E242" s="11" t="str">
        <f>IFERROR(VLOOKUP(CANTIDAD[[#This Row],[Ubicación]],SAP[],4,FALSE),"")</f>
        <v>LEJIA SAPOLIO CLORO B 2.5KG 6UND</v>
      </c>
      <c r="F242" s="11">
        <f>IFERROR(VLOOKUP(CANTIDAD[[#This Row],[Ubicación]],SAP[],8,FALSE),"")</f>
        <v>6</v>
      </c>
      <c r="G242" s="11" t="str">
        <f>IFERROR(VLOOKUP(CANTIDAD[[#This Row],[Ubicación]],SAP[],9,FALSE),"")</f>
        <v>CJA</v>
      </c>
      <c r="H242" s="11">
        <f>IFERROR(VLOOKUP(CANTIDAD[[#This Row],[Ubicación]],SAP[],5,FALSE),"")</f>
        <v>2608155060</v>
      </c>
      <c r="I242" s="42" t="str">
        <f>IFERROR(VLOOKUP(CANTIDAD[[#This Row],[Ubicación]],SAP[],6,FALSE),"")</f>
        <v>15/08/2027</v>
      </c>
      <c r="J242" s="11" t="str">
        <f>IFERROR(VLOOKUP(CANTIDAD[[#This Row],[Ubicación]],SAP[],7,FALSE),"")</f>
        <v>1F</v>
      </c>
      <c r="K242" s="11">
        <f>IFERROR(VLOOKUP(CANTIDAD[[#This Row],[Ubicación]],SAP[],10,FALSE),"")</f>
        <v>36</v>
      </c>
      <c r="L242" s="48">
        <f>IFERROR(VLOOKUP(CANTIDAD[[#This Row],[Producto]],MARA[],5,FALSE),"")</f>
        <v>10</v>
      </c>
      <c r="M242" s="48" t="str">
        <f>IFERROR(VLOOKUP(CANTIDAD[[#This Row],[Producto]],MARA[],4,FALSE),"")</f>
        <v>CJA</v>
      </c>
      <c r="N242" s="136" t="s">
        <v>4585</v>
      </c>
    </row>
    <row r="243" spans="1:14" hidden="1">
      <c r="A243" s="139" t="str">
        <f t="shared" si="3"/>
        <v>PASILLO 8</v>
      </c>
      <c r="B243" s="93" t="s">
        <v>3282</v>
      </c>
      <c r="C243" s="11">
        <f>IFERROR(VLOOKUP(CANTIDAD[[#This Row],[Ubicación]],SAP[],3,FALSE),"")</f>
        <v>8304142</v>
      </c>
      <c r="D243" s="30">
        <f>IFERROR(VLOOKUP(CANTIDAD[[#This Row],[Producto]],MARA[],3,FALSE),"")</f>
        <v>17750243070710</v>
      </c>
      <c r="E243" s="13" t="str">
        <f>IFERROR(VLOOKUP(CANTIDAD[[#This Row],[Ubicación]],SAP[],4,FALSE),"")</f>
        <v>SUAV.KLINTEX 3785ML 4UND</v>
      </c>
      <c r="F243" s="13">
        <f>IFERROR(VLOOKUP(CANTIDAD[[#This Row],[Ubicación]],SAP[],8,FALSE),"")</f>
        <v>12</v>
      </c>
      <c r="G243" s="13" t="str">
        <f>IFERROR(VLOOKUP(CANTIDAD[[#This Row],[Ubicación]],SAP[],9,FALSE),"")</f>
        <v>CJA</v>
      </c>
      <c r="H243" s="13">
        <f>IFERROR(VLOOKUP(CANTIDAD[[#This Row],[Ubicación]],SAP[],5,FALSE),"")</f>
        <v>2607235060</v>
      </c>
      <c r="I243" s="43" t="str">
        <f>IFERROR(VLOOKUP(CANTIDAD[[#This Row],[Ubicación]],SAP[],6,FALSE),"")</f>
        <v>23/07/2029</v>
      </c>
      <c r="J243" s="13" t="str">
        <f>IFERROR(VLOOKUP(CANTIDAD[[#This Row],[Ubicación]],SAP[],7,FALSE),"")</f>
        <v>1F</v>
      </c>
      <c r="K243" s="14">
        <f>IFERROR(VLOOKUP(CANTIDAD[[#This Row],[Ubicación]],SAP[],10,FALSE),"")</f>
        <v>48</v>
      </c>
      <c r="L243" s="48">
        <f>IFERROR(VLOOKUP(CANTIDAD[[#This Row],[Producto]],MARA[],5,FALSE),"")</f>
        <v>9</v>
      </c>
      <c r="M243" s="48" t="str">
        <f>IFERROR(VLOOKUP(CANTIDAD[[#This Row],[Producto]],MARA[],4,FALSE),"")</f>
        <v>CJA</v>
      </c>
      <c r="N243" s="136" t="s">
        <v>4586</v>
      </c>
    </row>
    <row r="244" spans="1:14" hidden="1">
      <c r="A244" s="139" t="str">
        <f t="shared" si="3"/>
        <v>PASILLO 9</v>
      </c>
      <c r="B244" s="92" t="s">
        <v>3268</v>
      </c>
      <c r="C244" s="11">
        <f>IFERROR(VLOOKUP(CANTIDAD[[#This Row],[Ubicación]],SAP[],3,FALSE),"")</f>
        <v>8304021</v>
      </c>
      <c r="D244" s="29">
        <f>IFERROR(VLOOKUP(CANTIDAD[[#This Row],[Producto]],MARA[],3,FALSE),"")</f>
        <v>17751851020234</v>
      </c>
      <c r="E244" s="11" t="str">
        <f>IFERROR(VLOOKUP(CANTIDAD[[#This Row],[Ubicación]],SAP[],4,FALSE),"")</f>
        <v>LIBRE ENJUAGUE LAVANDAAMOR 1000ML 12UND.</v>
      </c>
      <c r="F244" s="11">
        <f>IFERROR(VLOOKUP(CANTIDAD[[#This Row],[Ubicación]],SAP[],8,FALSE),"")</f>
        <v>24</v>
      </c>
      <c r="G244" s="11" t="str">
        <f>IFERROR(VLOOKUP(CANTIDAD[[#This Row],[Ubicación]],SAP[],9,FALSE),"")</f>
        <v>CJA</v>
      </c>
      <c r="H244" s="11">
        <f>IFERROR(VLOOKUP(CANTIDAD[[#This Row],[Ubicación]],SAP[],5,FALSE),"")</f>
        <v>2607025060</v>
      </c>
      <c r="I244" s="42">
        <f>IFERROR(VLOOKUP(CANTIDAD[[#This Row],[Ubicación]],SAP[],6,FALSE),"")</f>
        <v>46790</v>
      </c>
      <c r="J244" s="11" t="str">
        <f>IFERROR(VLOOKUP(CANTIDAD[[#This Row],[Ubicación]],SAP[],7,FALSE),"")</f>
        <v>1F</v>
      </c>
      <c r="K244" s="11">
        <f>IFERROR(VLOOKUP(CANTIDAD[[#This Row],[Ubicación]],SAP[],10,FALSE),"")</f>
        <v>288</v>
      </c>
      <c r="L244" s="48">
        <f>IFERROR(VLOOKUP(CANTIDAD[[#This Row],[Producto]],MARA[],5,FALSE),"")</f>
        <v>12</v>
      </c>
      <c r="M244" s="48" t="str">
        <f>IFERROR(VLOOKUP(CANTIDAD[[#This Row],[Producto]],MARA[],4,FALSE),"")</f>
        <v>CJA</v>
      </c>
      <c r="N244" s="136" t="s">
        <v>4587</v>
      </c>
    </row>
    <row r="245" spans="1:14" hidden="1">
      <c r="A245" s="139" t="str">
        <f t="shared" si="3"/>
        <v>PASILLO 9</v>
      </c>
      <c r="B245" s="93" t="s">
        <v>3589</v>
      </c>
      <c r="C245" s="11">
        <f>IFERROR(VLOOKUP(CANTIDAD[[#This Row],[Ubicación]],SAP[],3,FALSE),"")</f>
        <v>8316031</v>
      </c>
      <c r="D245" s="30">
        <f>IFERROR(VLOOKUP(CANTIDAD[[#This Row],[Producto]],MARA[],3,FALSE),"")</f>
        <v>17751851026526</v>
      </c>
      <c r="E245" s="13" t="str">
        <f>IFERROR(VLOOKUP(CANTIDAD[[#This Row],[Ubicación]],SAP[],4,FALSE),"")</f>
        <v>LIMP.ACIDO SACASARRO SAPOLIO 980ML 12UND</v>
      </c>
      <c r="F245" s="13">
        <f>IFERROR(VLOOKUP(CANTIDAD[[#This Row],[Ubicación]],SAP[],8,FALSE),"")</f>
        <v>5</v>
      </c>
      <c r="G245" s="13" t="str">
        <f>IFERROR(VLOOKUP(CANTIDAD[[#This Row],[Ubicación]],SAP[],9,FALSE),"")</f>
        <v>CJA</v>
      </c>
      <c r="H245" s="13">
        <f>IFERROR(VLOOKUP(CANTIDAD[[#This Row],[Ubicación]],SAP[],5,FALSE),"")</f>
        <v>2608075070</v>
      </c>
      <c r="I245" s="43">
        <f>IFERROR(VLOOKUP(CANTIDAD[[#This Row],[Ubicación]],SAP[],6,FALSE),"")</f>
        <v>47307</v>
      </c>
      <c r="J245" s="13" t="str">
        <f>IFERROR(VLOOKUP(CANTIDAD[[#This Row],[Ubicación]],SAP[],7,FALSE),"")</f>
        <v>1F</v>
      </c>
      <c r="K245" s="14">
        <f>IFERROR(VLOOKUP(CANTIDAD[[#This Row],[Ubicación]],SAP[],10,FALSE),"")</f>
        <v>60</v>
      </c>
      <c r="L245" s="48">
        <f>IFERROR(VLOOKUP(CANTIDAD[[#This Row],[Producto]],MARA[],5,FALSE),"")</f>
        <v>11</v>
      </c>
      <c r="M245" s="48" t="str">
        <f>IFERROR(VLOOKUP(CANTIDAD[[#This Row],[Producto]],MARA[],4,FALSE),"")</f>
        <v>CJA</v>
      </c>
      <c r="N245" s="136" t="s">
        <v>4588</v>
      </c>
    </row>
    <row r="246" spans="1:14" hidden="1">
      <c r="A246" s="139" t="str">
        <f t="shared" si="3"/>
        <v>PASILLO 9</v>
      </c>
      <c r="B246" s="92" t="s">
        <v>3258</v>
      </c>
      <c r="C246" s="11">
        <f>IFERROR(VLOOKUP(CANTIDAD[[#This Row],[Ubicación]],SAP[],3,FALSE),"")</f>
        <v>8304004</v>
      </c>
      <c r="D246" s="29">
        <f>IFERROR(VLOOKUP(CANTIDAD[[#This Row],[Producto]],MARA[],3,FALSE),"")</f>
        <v>17751851020265</v>
      </c>
      <c r="E246" s="11" t="str">
        <f>IFERROR(VLOOKUP(CANTIDAD[[#This Row],[Ubicación]],SAP[],4,FALSE),"")</f>
        <v>LIBRE ENJUAGUE LAVANDA AMOR 2000ML 6UND</v>
      </c>
      <c r="F246" s="11">
        <f>IFERROR(VLOOKUP(CANTIDAD[[#This Row],[Ubicación]],SAP[],8,FALSE),"")</f>
        <v>2</v>
      </c>
      <c r="G246" s="11" t="str">
        <f>IFERROR(VLOOKUP(CANTIDAD[[#This Row],[Ubicación]],SAP[],9,FALSE),"")</f>
        <v>CJA</v>
      </c>
      <c r="H246" s="11">
        <f>IFERROR(VLOOKUP(CANTIDAD[[#This Row],[Ubicación]],SAP[],5,FALSE),"")</f>
        <v>2606035060</v>
      </c>
      <c r="I246" s="42">
        <f>IFERROR(VLOOKUP(CANTIDAD[[#This Row],[Ubicación]],SAP[],6,FALSE),"")</f>
        <v>46818</v>
      </c>
      <c r="J246" s="11" t="str">
        <f>IFERROR(VLOOKUP(CANTIDAD[[#This Row],[Ubicación]],SAP[],7,FALSE),"")</f>
        <v>1F</v>
      </c>
      <c r="K246" s="11">
        <f>IFERROR(VLOOKUP(CANTIDAD[[#This Row],[Ubicación]],SAP[],10,FALSE),"")</f>
        <v>12</v>
      </c>
      <c r="L246" s="48">
        <f>IFERROR(VLOOKUP(CANTIDAD[[#This Row],[Producto]],MARA[],5,FALSE),"")</f>
        <v>17</v>
      </c>
      <c r="M246" s="48" t="str">
        <f>IFERROR(VLOOKUP(CANTIDAD[[#This Row],[Producto]],MARA[],4,FALSE),"")</f>
        <v>CJA</v>
      </c>
      <c r="N246" s="136" t="s">
        <v>4589</v>
      </c>
    </row>
    <row r="247" spans="1:14" hidden="1">
      <c r="A247" s="139" t="str">
        <f t="shared" si="3"/>
        <v>PASILLO 9</v>
      </c>
      <c r="B247" s="93" t="s">
        <v>3263</v>
      </c>
      <c r="C247" s="11">
        <f>IFERROR(VLOOKUP(CANTIDAD[[#This Row],[Ubicación]],SAP[],3,FALSE),"")</f>
        <v>8304019</v>
      </c>
      <c r="D247" s="30">
        <f>IFERROR(VLOOKUP(CANTIDAD[[#This Row],[Producto]],MARA[],3,FALSE),"")</f>
        <v>17751851020272</v>
      </c>
      <c r="E247" s="13" t="str">
        <f>IFERROR(VLOOKUP(CANTIDAD[[#This Row],[Ubicación]],SAP[],4,FALSE),"")</f>
        <v>LIBRE ENJUAGUE BEBE AMOR 2000ML 6UND</v>
      </c>
      <c r="F247" s="13">
        <f>IFERROR(VLOOKUP(CANTIDAD[[#This Row],[Ubicación]],SAP[],8,FALSE),"")</f>
        <v>47</v>
      </c>
      <c r="G247" s="13" t="str">
        <f>IFERROR(VLOOKUP(CANTIDAD[[#This Row],[Ubicación]],SAP[],9,FALSE),"")</f>
        <v>CJA</v>
      </c>
      <c r="H247" s="13">
        <f>IFERROR(VLOOKUP(CANTIDAD[[#This Row],[Ubicación]],SAP[],5,FALSE),"")</f>
        <v>2608205060</v>
      </c>
      <c r="I247" s="43" t="str">
        <f>IFERROR(VLOOKUP(CANTIDAD[[#This Row],[Ubicación]],SAP[],6,FALSE),"")</f>
        <v>20/08/2028</v>
      </c>
      <c r="J247" s="13" t="str">
        <f>IFERROR(VLOOKUP(CANTIDAD[[#This Row],[Ubicación]],SAP[],7,FALSE),"")</f>
        <v>1F</v>
      </c>
      <c r="K247" s="14">
        <f>IFERROR(VLOOKUP(CANTIDAD[[#This Row],[Ubicación]],SAP[],10,FALSE),"")</f>
        <v>282</v>
      </c>
      <c r="L247" s="48">
        <f>IFERROR(VLOOKUP(CANTIDAD[[#This Row],[Producto]],MARA[],5,FALSE),"")</f>
        <v>17</v>
      </c>
      <c r="M247" s="48" t="str">
        <f>IFERROR(VLOOKUP(CANTIDAD[[#This Row],[Producto]],MARA[],4,FALSE),"")</f>
        <v>CJA</v>
      </c>
      <c r="N247" s="136" t="s">
        <v>4590</v>
      </c>
    </row>
    <row r="248" spans="1:14" hidden="1">
      <c r="A248" s="139" t="str">
        <f t="shared" si="3"/>
        <v>PASILLO 9</v>
      </c>
      <c r="B248" s="92" t="s">
        <v>3256</v>
      </c>
      <c r="C248" s="11">
        <f>IFERROR(VLOOKUP(CANTIDAD[[#This Row],[Ubicación]],SAP[],3,FALSE),"")</f>
        <v>8304003</v>
      </c>
      <c r="D248" s="29">
        <f>IFERROR(VLOOKUP(CANTIDAD[[#This Row],[Producto]],MARA[],3,FALSE),"")</f>
        <v>17751851020258</v>
      </c>
      <c r="E248" s="11" t="str">
        <f>IFERROR(VLOOKUP(CANTIDAD[[#This Row],[Ubicación]],SAP[],4,FALSE),"")</f>
        <v>LIBRE ENJUAGUE FLORES AMOR 2000ML 6UND</v>
      </c>
      <c r="F248" s="11">
        <f>IFERROR(VLOOKUP(CANTIDAD[[#This Row],[Ubicación]],SAP[],8,FALSE),"")</f>
        <v>1</v>
      </c>
      <c r="G248" s="11" t="str">
        <f>IFERROR(VLOOKUP(CANTIDAD[[#This Row],[Ubicación]],SAP[],9,FALSE),"")</f>
        <v>CJA</v>
      </c>
      <c r="H248" s="11">
        <f>IFERROR(VLOOKUP(CANTIDAD[[#This Row],[Ubicación]],SAP[],5,FALSE),"")</f>
        <v>2502045010</v>
      </c>
      <c r="I248" s="42">
        <f>IFERROR(VLOOKUP(CANTIDAD[[#This Row],[Ubicación]],SAP[],6,FALSE),"")</f>
        <v>46479</v>
      </c>
      <c r="J248" s="11" t="str">
        <f>IFERROR(VLOOKUP(CANTIDAD[[#This Row],[Ubicación]],SAP[],7,FALSE),"")</f>
        <v>1F</v>
      </c>
      <c r="K248" s="11">
        <f>IFERROR(VLOOKUP(CANTIDAD[[#This Row],[Ubicación]],SAP[],10,FALSE),"")</f>
        <v>6</v>
      </c>
      <c r="L248" s="48">
        <f>IFERROR(VLOOKUP(CANTIDAD[[#This Row],[Producto]],MARA[],5,FALSE),"")</f>
        <v>14</v>
      </c>
      <c r="M248" s="48" t="str">
        <f>IFERROR(VLOOKUP(CANTIDAD[[#This Row],[Producto]],MARA[],4,FALSE),"")</f>
        <v>CJA</v>
      </c>
      <c r="N248" s="137" t="s">
        <v>4591</v>
      </c>
    </row>
    <row r="249" spans="1:14" hidden="1">
      <c r="A249" s="139" t="str">
        <f t="shared" si="3"/>
        <v>PASILLO 9</v>
      </c>
      <c r="B249" s="93" t="s">
        <v>3150</v>
      </c>
      <c r="C249" s="11">
        <f>IFERROR(VLOOKUP(CANTIDAD[[#This Row],[Ubicación]],SAP[],3,FALSE),"")</f>
        <v>8300112</v>
      </c>
      <c r="D249" s="30">
        <f>IFERROR(VLOOKUP(CANTIDAD[[#This Row],[Producto]],MARA[],3,FALSE),"")</f>
        <v>17750243082232</v>
      </c>
      <c r="E249" s="13" t="str">
        <f>IFERROR(VLOOKUP(CANTIDAD[[#This Row],[Ubicación]],SAP[],4,FALSE),"")</f>
        <v>LEJÍA I PATITO B CLORO 1KG 12 UND</v>
      </c>
      <c r="F249" s="13">
        <f>IFERROR(VLOOKUP(CANTIDAD[[#This Row],[Ubicación]],SAP[],8,FALSE),"")</f>
        <v>44</v>
      </c>
      <c r="G249" s="13" t="str">
        <f>IFERROR(VLOOKUP(CANTIDAD[[#This Row],[Ubicación]],SAP[],9,FALSE),"")</f>
        <v>CJA</v>
      </c>
      <c r="H249" s="13">
        <f>IFERROR(VLOOKUP(CANTIDAD[[#This Row],[Ubicación]],SAP[],5,FALSE),"")</f>
        <v>2607075060</v>
      </c>
      <c r="I249" s="43">
        <f>IFERROR(VLOOKUP(CANTIDAD[[#This Row],[Ubicación]],SAP[],6,FALSE),"")</f>
        <v>46575</v>
      </c>
      <c r="J249" s="13" t="str">
        <f>IFERROR(VLOOKUP(CANTIDAD[[#This Row],[Ubicación]],SAP[],7,FALSE),"")</f>
        <v>1F</v>
      </c>
      <c r="K249" s="14">
        <f>IFERROR(VLOOKUP(CANTIDAD[[#This Row],[Ubicación]],SAP[],10,FALSE),"")</f>
        <v>528</v>
      </c>
      <c r="L249" s="48">
        <f>IFERROR(VLOOKUP(CANTIDAD[[#This Row],[Producto]],MARA[],5,FALSE),"")</f>
        <v>11</v>
      </c>
      <c r="M249" s="48" t="str">
        <f>IFERROR(VLOOKUP(CANTIDAD[[#This Row],[Producto]],MARA[],4,FALSE),"")</f>
        <v>CJA</v>
      </c>
      <c r="N249" s="136" t="s">
        <v>4592</v>
      </c>
    </row>
    <row r="250" spans="1:14" hidden="1">
      <c r="A250" s="139" t="str">
        <f t="shared" si="3"/>
        <v>PASILLO 9</v>
      </c>
      <c r="B250" s="92" t="s">
        <v>3551</v>
      </c>
      <c r="C250" s="11">
        <f>IFERROR(VLOOKUP(CANTIDAD[[#This Row],[Ubicación]],SAP[],3,FALSE),"")</f>
        <v>8315049</v>
      </c>
      <c r="D250" s="29">
        <f>IFERROR(VLOOKUP(CANTIDAD[[#This Row],[Producto]],MARA[],3,FALSE),"")</f>
        <v>27751851004361</v>
      </c>
      <c r="E250" s="11" t="str">
        <f>IFERROR(VLOOKUP(CANTIDAD[[#This Row],[Ubicación]],SAP[],4,FALSE),"")</f>
        <v>LIMPIALFOMBRA SAPOLIO CHAMPU 980ML 12UND</v>
      </c>
      <c r="F250" s="11">
        <f>IFERROR(VLOOKUP(CANTIDAD[[#This Row],[Ubicación]],SAP[],8,FALSE),"")</f>
        <v>9</v>
      </c>
      <c r="G250" s="11" t="str">
        <f>IFERROR(VLOOKUP(CANTIDAD[[#This Row],[Ubicación]],SAP[],9,FALSE),"")</f>
        <v>CJA</v>
      </c>
      <c r="H250" s="11">
        <f>IFERROR(VLOOKUP(CANTIDAD[[#This Row],[Ubicación]],SAP[],5,FALSE),"")</f>
        <v>2508015010</v>
      </c>
      <c r="I250" s="42">
        <f>IFERROR(VLOOKUP(CANTIDAD[[#This Row],[Ubicación]],SAP[],6,FALSE),"")</f>
        <v>46760</v>
      </c>
      <c r="J250" s="11" t="str">
        <f>IFERROR(VLOOKUP(CANTIDAD[[#This Row],[Ubicación]],SAP[],7,FALSE),"")</f>
        <v>1F</v>
      </c>
      <c r="K250" s="11">
        <f>IFERROR(VLOOKUP(CANTIDAD[[#This Row],[Ubicación]],SAP[],10,FALSE),"")</f>
        <v>108</v>
      </c>
      <c r="L250" s="48">
        <f>IFERROR(VLOOKUP(CANTIDAD[[#This Row],[Producto]],MARA[],5,FALSE),"")</f>
        <v>11</v>
      </c>
      <c r="M250" s="48" t="str">
        <f>IFERROR(VLOOKUP(CANTIDAD[[#This Row],[Producto]],MARA[],4,FALSE),"")</f>
        <v>CJA</v>
      </c>
      <c r="N250" s="136" t="s">
        <v>4593</v>
      </c>
    </row>
    <row r="251" spans="1:14" hidden="1">
      <c r="A251" s="139" t="str">
        <f t="shared" si="3"/>
        <v>PASILLO 9</v>
      </c>
      <c r="B251" s="93" t="s">
        <v>3172</v>
      </c>
      <c r="C251" s="11">
        <f>IFERROR(VLOOKUP(CANTIDAD[[#This Row],[Ubicación]],SAP[],3,FALSE),"")</f>
        <v>8300120</v>
      </c>
      <c r="D251" s="30">
        <f>IFERROR(VLOOKUP(CANTIDAD[[#This Row],[Producto]],MARA[],3,FALSE),"")</f>
        <v>17750243085424</v>
      </c>
      <c r="E251" s="13" t="str">
        <f>IFERROR(VLOOKUP(CANTIDAD[[#This Row],[Ubicación]],SAP[],4,FALSE),"")</f>
        <v>LEJIA SAPOLIO CLORO B 770GR 15UND</v>
      </c>
      <c r="F251" s="13">
        <f>IFERROR(VLOOKUP(CANTIDAD[[#This Row],[Ubicación]],SAP[],8,FALSE),"")</f>
        <v>46</v>
      </c>
      <c r="G251" s="13" t="str">
        <f>IFERROR(VLOOKUP(CANTIDAD[[#This Row],[Ubicación]],SAP[],9,FALSE),"")</f>
        <v>CJA</v>
      </c>
      <c r="H251" s="13">
        <f>IFERROR(VLOOKUP(CANTIDAD[[#This Row],[Ubicación]],SAP[],5,FALSE),"")</f>
        <v>2608135060</v>
      </c>
      <c r="I251" s="43" t="str">
        <f>IFERROR(VLOOKUP(CANTIDAD[[#This Row],[Ubicación]],SAP[],6,FALSE),"")</f>
        <v>13/08/2027</v>
      </c>
      <c r="J251" s="13" t="str">
        <f>IFERROR(VLOOKUP(CANTIDAD[[#This Row],[Ubicación]],SAP[],7,FALSE),"")</f>
        <v>1F</v>
      </c>
      <c r="K251" s="14">
        <f>IFERROR(VLOOKUP(CANTIDAD[[#This Row],[Ubicación]],SAP[],10,FALSE),"")</f>
        <v>690</v>
      </c>
      <c r="L251" s="48">
        <f>IFERROR(VLOOKUP(CANTIDAD[[#This Row],[Producto]],MARA[],5,FALSE),"")</f>
        <v>13</v>
      </c>
      <c r="M251" s="48" t="str">
        <f>IFERROR(VLOOKUP(CANTIDAD[[#This Row],[Producto]],MARA[],4,FALSE),"")</f>
        <v>CJA</v>
      </c>
      <c r="N251" s="136" t="s">
        <v>4594</v>
      </c>
    </row>
    <row r="252" spans="1:14" hidden="1">
      <c r="A252" s="139" t="str">
        <f t="shared" si="3"/>
        <v>PASILLO 9</v>
      </c>
      <c r="B252" s="92" t="s">
        <v>3176</v>
      </c>
      <c r="C252" s="11">
        <f>IFERROR(VLOOKUP(CANTIDAD[[#This Row],[Ubicación]],SAP[],3,FALSE),"")</f>
        <v>8300120</v>
      </c>
      <c r="D252" s="29">
        <f>IFERROR(VLOOKUP(CANTIDAD[[#This Row],[Producto]],MARA[],3,FALSE),"")</f>
        <v>17750243085424</v>
      </c>
      <c r="E252" s="11" t="str">
        <f>IFERROR(VLOOKUP(CANTIDAD[[#This Row],[Ubicación]],SAP[],4,FALSE),"")</f>
        <v>LEJIA SAPOLIO CLORO B 770GR 15UND</v>
      </c>
      <c r="F252" s="11">
        <f>IFERROR(VLOOKUP(CANTIDAD[[#This Row],[Ubicación]],SAP[],8,FALSE),"")</f>
        <v>25</v>
      </c>
      <c r="G252" s="11" t="str">
        <f>IFERROR(VLOOKUP(CANTIDAD[[#This Row],[Ubicación]],SAP[],9,FALSE),"")</f>
        <v>CJA</v>
      </c>
      <c r="H252" s="11">
        <f>IFERROR(VLOOKUP(CANTIDAD[[#This Row],[Ubicación]],SAP[],5,FALSE),"")</f>
        <v>2608055060</v>
      </c>
      <c r="I252" s="42">
        <f>IFERROR(VLOOKUP(CANTIDAD[[#This Row],[Ubicación]],SAP[],6,FALSE),"")</f>
        <v>46515</v>
      </c>
      <c r="J252" s="11" t="str">
        <f>IFERROR(VLOOKUP(CANTIDAD[[#This Row],[Ubicación]],SAP[],7,FALSE),"")</f>
        <v>1F</v>
      </c>
      <c r="K252" s="11">
        <f>IFERROR(VLOOKUP(CANTIDAD[[#This Row],[Ubicación]],SAP[],10,FALSE),"")</f>
        <v>375</v>
      </c>
      <c r="L252" s="48">
        <f>IFERROR(VLOOKUP(CANTIDAD[[#This Row],[Producto]],MARA[],5,FALSE),"")</f>
        <v>13</v>
      </c>
      <c r="M252" s="48" t="str">
        <f>IFERROR(VLOOKUP(CANTIDAD[[#This Row],[Producto]],MARA[],4,FALSE),"")</f>
        <v>CJA</v>
      </c>
      <c r="N252" s="136" t="s">
        <v>4595</v>
      </c>
    </row>
    <row r="253" spans="1:14" hidden="1">
      <c r="A253" s="139" t="str">
        <f t="shared" si="3"/>
        <v>PASILLO 9</v>
      </c>
      <c r="B253" s="93" t="s">
        <v>4169</v>
      </c>
      <c r="C253" s="11">
        <f>IFERROR(VLOOKUP(CANTIDAD[[#This Row],[Ubicación]],SAP[],3,FALSE),"")</f>
        <v>9350413</v>
      </c>
      <c r="D253" s="30">
        <f>IFERROR(VLOOKUP(CANTIDAD[[#This Row],[Producto]],MARA[],3,FALSE),"")</f>
        <v>17750243083512</v>
      </c>
      <c r="E253" s="13" t="str">
        <f>IFERROR(VLOOKUP(CANTIDAD[[#This Row],[Ubicación]],SAP[],4,FALSE),"")</f>
        <v>SUAV BOL PLUS LAVANDA 1.5L 8DPK NV</v>
      </c>
      <c r="F253" s="13">
        <f>IFERROR(VLOOKUP(CANTIDAD[[#This Row],[Ubicación]],SAP[],8,FALSE),"")</f>
        <v>20</v>
      </c>
      <c r="G253" s="13" t="str">
        <f>IFERROR(VLOOKUP(CANTIDAD[[#This Row],[Ubicación]],SAP[],9,FALSE),"")</f>
        <v>CJA</v>
      </c>
      <c r="H253" s="13" t="str">
        <f>IFERROR(VLOOKUP(CANTIDAD[[#This Row],[Ubicación]],SAP[],5,FALSE),"")</f>
        <v>20723066M</v>
      </c>
      <c r="I253" s="43" t="str">
        <f>IFERROR(VLOOKUP(CANTIDAD[[#This Row],[Ubicación]],SAP[],6,FALSE),"")</f>
        <v>14/10/2027</v>
      </c>
      <c r="J253" s="13" t="str">
        <f>IFERROR(VLOOKUP(CANTIDAD[[#This Row],[Ubicación]],SAP[],7,FALSE),"")</f>
        <v>1F</v>
      </c>
      <c r="K253" s="14">
        <f>IFERROR(VLOOKUP(CANTIDAD[[#This Row],[Ubicación]],SAP[],10,FALSE),"")</f>
        <v>160</v>
      </c>
      <c r="L253" s="48">
        <f>IFERROR(VLOOKUP(CANTIDAD[[#This Row],[Producto]],MARA[],5,FALSE),"")</f>
        <v>10</v>
      </c>
      <c r="M253" s="48" t="str">
        <f>IFERROR(VLOOKUP(CANTIDAD[[#This Row],[Producto]],MARA[],4,FALSE),"")</f>
        <v>CJA</v>
      </c>
      <c r="N253" s="136" t="s">
        <v>4596</v>
      </c>
    </row>
    <row r="254" spans="1:14" hidden="1">
      <c r="A254" s="139" t="str">
        <f t="shared" si="3"/>
        <v>PASILLO 9</v>
      </c>
      <c r="B254" s="92" t="s">
        <v>4153</v>
      </c>
      <c r="C254" s="11">
        <f>IFERROR(VLOOKUP(CANTIDAD[[#This Row],[Ubicación]],SAP[],3,FALSE),"")</f>
        <v>9350407</v>
      </c>
      <c r="D254" s="29">
        <f>IFERROR(VLOOKUP(CANTIDAD[[#This Row],[Producto]],MARA[],3,FALSE),"")</f>
        <v>17750243083048</v>
      </c>
      <c r="E254" s="11" t="str">
        <f>IFERROR(VLOOKUP(CANTIDAD[[#This Row],[Ubicación]],SAP[],4,FALSE),"")</f>
        <v>SUAV. BOLIVAR FLORAL 1.5L 8DYPK</v>
      </c>
      <c r="F254" s="11">
        <f>IFERROR(VLOOKUP(CANTIDAD[[#This Row],[Ubicación]],SAP[],8,FALSE),"")</f>
        <v>28</v>
      </c>
      <c r="G254" s="11" t="str">
        <f>IFERROR(VLOOKUP(CANTIDAD[[#This Row],[Ubicación]],SAP[],9,FALSE),"")</f>
        <v>CJA</v>
      </c>
      <c r="H254" s="11" t="str">
        <f>IFERROR(VLOOKUP(CANTIDAD[[#This Row],[Ubicación]],SAP[],5,FALSE),"")</f>
        <v>20723926M</v>
      </c>
      <c r="I254" s="42" t="str">
        <f>IFERROR(VLOOKUP(CANTIDAD[[#This Row],[Ubicación]],SAP[],6,FALSE),"")</f>
        <v>25/10/2027</v>
      </c>
      <c r="J254" s="11" t="str">
        <f>IFERROR(VLOOKUP(CANTIDAD[[#This Row],[Ubicación]],SAP[],7,FALSE),"")</f>
        <v>1F</v>
      </c>
      <c r="K254" s="11">
        <f>IFERROR(VLOOKUP(CANTIDAD[[#This Row],[Ubicación]],SAP[],10,FALSE),"")</f>
        <v>224</v>
      </c>
      <c r="L254" s="48">
        <f>IFERROR(VLOOKUP(CANTIDAD[[#This Row],[Producto]],MARA[],5,FALSE),"")</f>
        <v>10</v>
      </c>
      <c r="M254" s="48" t="str">
        <f>IFERROR(VLOOKUP(CANTIDAD[[#This Row],[Producto]],MARA[],4,FALSE),"")</f>
        <v>CJA</v>
      </c>
      <c r="N254" s="136" t="s">
        <v>4597</v>
      </c>
    </row>
    <row r="255" spans="1:14" hidden="1">
      <c r="A255" s="139" t="str">
        <f t="shared" si="3"/>
        <v>PASILLO 9</v>
      </c>
      <c r="B255" s="93" t="s">
        <v>3591</v>
      </c>
      <c r="C255" s="11">
        <f>IFERROR(VLOOKUP(CANTIDAD[[#This Row],[Ubicación]],SAP[],3,FALSE),"")</f>
        <v>8316032</v>
      </c>
      <c r="D255" s="30">
        <f>IFERROR(VLOOKUP(CANTIDAD[[#This Row],[Producto]],MARA[],3,FALSE),"")</f>
        <v>17751851026533</v>
      </c>
      <c r="E255" s="13" t="str">
        <f>IFERROR(VLOOKUP(CANTIDAD[[#This Row],[Ubicación]],SAP[],4,FALSE),"")</f>
        <v>LIMP.ACIDO SACASARRO SAPOLIO 1800ML 6UND</v>
      </c>
      <c r="F255" s="13">
        <f>IFERROR(VLOOKUP(CANTIDAD[[#This Row],[Ubicación]],SAP[],8,FALSE),"")</f>
        <v>10</v>
      </c>
      <c r="G255" s="13" t="str">
        <f>IFERROR(VLOOKUP(CANTIDAD[[#This Row],[Ubicación]],SAP[],9,FALSE),"")</f>
        <v>CJA</v>
      </c>
      <c r="H255" s="13">
        <f>IFERROR(VLOOKUP(CANTIDAD[[#This Row],[Ubicación]],SAP[],5,FALSE),"")</f>
        <v>2608175070</v>
      </c>
      <c r="I255" s="43" t="str">
        <f>IFERROR(VLOOKUP(CANTIDAD[[#This Row],[Ubicación]],SAP[],6,FALSE),"")</f>
        <v>17/08/2029</v>
      </c>
      <c r="J255" s="13" t="str">
        <f>IFERROR(VLOOKUP(CANTIDAD[[#This Row],[Ubicación]],SAP[],7,FALSE),"")</f>
        <v>1F</v>
      </c>
      <c r="K255" s="14">
        <f>IFERROR(VLOOKUP(CANTIDAD[[#This Row],[Ubicación]],SAP[],10,FALSE),"")</f>
        <v>60</v>
      </c>
      <c r="L255" s="48">
        <f>IFERROR(VLOOKUP(CANTIDAD[[#This Row],[Producto]],MARA[],5,FALSE),"")</f>
        <v>11</v>
      </c>
      <c r="M255" s="48" t="str">
        <f>IFERROR(VLOOKUP(CANTIDAD[[#This Row],[Producto]],MARA[],4,FALSE),"")</f>
        <v>CJA</v>
      </c>
      <c r="N255" s="136" t="s">
        <v>4598</v>
      </c>
    </row>
    <row r="256" spans="1:14" hidden="1">
      <c r="A256" s="139" t="str">
        <f t="shared" si="3"/>
        <v>PASILLO 9</v>
      </c>
      <c r="B256" s="92" t="s">
        <v>3533</v>
      </c>
      <c r="C256" s="11">
        <f>IFERROR(VLOOKUP(CANTIDAD[[#This Row],[Ubicación]],SAP[],3,FALSE),"")</f>
        <v>8315042</v>
      </c>
      <c r="D256" s="29">
        <f>IFERROR(VLOOKUP(CANTIDAD[[#This Row],[Producto]],MARA[],3,FALSE),"")</f>
        <v>17751851003961</v>
      </c>
      <c r="E256" s="11" t="str">
        <f>IFERROR(VLOOKUP(CANTIDAD[[#This Row],[Ubicación]],SAP[],4,FALSE),"")</f>
        <v>LIMPIAVIDRIOS SAP.DP 500ML 24DPK</v>
      </c>
      <c r="F256" s="11">
        <f>IFERROR(VLOOKUP(CANTIDAD[[#This Row],[Ubicación]],SAP[],8,FALSE),"")</f>
        <v>65</v>
      </c>
      <c r="G256" s="11" t="str">
        <f>IFERROR(VLOOKUP(CANTIDAD[[#This Row],[Ubicación]],SAP[],9,FALSE),"")</f>
        <v>CJA</v>
      </c>
      <c r="H256" s="11">
        <f>IFERROR(VLOOKUP(CANTIDAD[[#This Row],[Ubicación]],SAP[],5,FALSE),"")</f>
        <v>2608185060</v>
      </c>
      <c r="I256" s="42" t="str">
        <f>IFERROR(VLOOKUP(CANTIDAD[[#This Row],[Ubicación]],SAP[],6,FALSE),"")</f>
        <v>18/08/2029</v>
      </c>
      <c r="J256" s="11" t="str">
        <f>IFERROR(VLOOKUP(CANTIDAD[[#This Row],[Ubicación]],SAP[],7,FALSE),"")</f>
        <v>1F</v>
      </c>
      <c r="K256" s="17">
        <f>IFERROR(VLOOKUP(CANTIDAD[[#This Row],[Ubicación]],SAP[],10,FALSE),"")</f>
        <v>1560</v>
      </c>
      <c r="L256" s="48">
        <f>IFERROR(VLOOKUP(CANTIDAD[[#This Row],[Producto]],MARA[],5,FALSE),"")</f>
        <v>13</v>
      </c>
      <c r="M256" s="48" t="str">
        <f>IFERROR(VLOOKUP(CANTIDAD[[#This Row],[Producto]],MARA[],4,FALSE),"")</f>
        <v>CJA</v>
      </c>
      <c r="N256" s="136" t="s">
        <v>4599</v>
      </c>
    </row>
    <row r="257" spans="1:14" hidden="1">
      <c r="A257" s="139" t="str">
        <f t="shared" si="3"/>
        <v>PASILLO 9</v>
      </c>
      <c r="B257" s="93" t="s">
        <v>3535</v>
      </c>
      <c r="C257" s="11">
        <f>IFERROR(VLOOKUP(CANTIDAD[[#This Row],[Ubicación]],SAP[],3,FALSE),"")</f>
        <v>8315042</v>
      </c>
      <c r="D257" s="30">
        <f>IFERROR(VLOOKUP(CANTIDAD[[#This Row],[Producto]],MARA[],3,FALSE),"")</f>
        <v>17751851003961</v>
      </c>
      <c r="E257" s="13" t="str">
        <f>IFERROR(VLOOKUP(CANTIDAD[[#This Row],[Ubicación]],SAP[],4,FALSE),"")</f>
        <v>LIMPIAVIDRIOS SAP.DP 500ML 24DPK</v>
      </c>
      <c r="F257" s="13">
        <f>IFERROR(VLOOKUP(CANTIDAD[[#This Row],[Ubicación]],SAP[],8,FALSE),"")</f>
        <v>39</v>
      </c>
      <c r="G257" s="13" t="str">
        <f>IFERROR(VLOOKUP(CANTIDAD[[#This Row],[Ubicación]],SAP[],9,FALSE),"")</f>
        <v>CJA</v>
      </c>
      <c r="H257" s="13">
        <f>IFERROR(VLOOKUP(CANTIDAD[[#This Row],[Ubicación]],SAP[],5,FALSE),"")</f>
        <v>2608185060</v>
      </c>
      <c r="I257" s="43" t="str">
        <f>IFERROR(VLOOKUP(CANTIDAD[[#This Row],[Ubicación]],SAP[],6,FALSE),"")</f>
        <v>18/08/2029</v>
      </c>
      <c r="J257" s="13" t="str">
        <f>IFERROR(VLOOKUP(CANTIDAD[[#This Row],[Ubicación]],SAP[],7,FALSE),"")</f>
        <v>1F</v>
      </c>
      <c r="K257" s="18">
        <f>IFERROR(VLOOKUP(CANTIDAD[[#This Row],[Ubicación]],SAP[],10,FALSE),"")</f>
        <v>936</v>
      </c>
      <c r="L257" s="48">
        <f>IFERROR(VLOOKUP(CANTIDAD[[#This Row],[Producto]],MARA[],5,FALSE),"")</f>
        <v>13</v>
      </c>
      <c r="M257" s="48" t="str">
        <f>IFERROR(VLOOKUP(CANTIDAD[[#This Row],[Producto]],MARA[],4,FALSE),"")</f>
        <v>CJA</v>
      </c>
      <c r="N257" s="136" t="s">
        <v>4600</v>
      </c>
    </row>
    <row r="258" spans="1:14" hidden="1">
      <c r="A258" s="139" t="str">
        <f t="shared" ref="A258:A321" si="4">"PASILLO " &amp; VALUE(MID(B258, 4, 2))</f>
        <v>PASILLO 9</v>
      </c>
      <c r="B258" s="92" t="s">
        <v>3531</v>
      </c>
      <c r="C258" s="11">
        <f>IFERROR(VLOOKUP(CANTIDAD[[#This Row],[Ubicación]],SAP[],3,FALSE),"")</f>
        <v>8315041</v>
      </c>
      <c r="D258" s="29">
        <f>IFERROR(VLOOKUP(CANTIDAD[[#This Row],[Producto]],MARA[],3,FALSE),"")</f>
        <v>17751851010679</v>
      </c>
      <c r="E258" s="11" t="str">
        <f>IFERROR(VLOOKUP(CANTIDAD[[#This Row],[Ubicación]],SAP[],4,FALSE),"")</f>
        <v>SACAGRASA NARANJA SAPOLIO 500ML 24DPK</v>
      </c>
      <c r="F258" s="11">
        <f>IFERROR(VLOOKUP(CANTIDAD[[#This Row],[Ubicación]],SAP[],8,FALSE),"")</f>
        <v>63</v>
      </c>
      <c r="G258" s="11" t="str">
        <f>IFERROR(VLOOKUP(CANTIDAD[[#This Row],[Ubicación]],SAP[],9,FALSE),"")</f>
        <v>CJA</v>
      </c>
      <c r="H258" s="11">
        <f>IFERROR(VLOOKUP(CANTIDAD[[#This Row],[Ubicación]],SAP[],5,FALSE),"")</f>
        <v>2606165060</v>
      </c>
      <c r="I258" s="42" t="str">
        <f>IFERROR(VLOOKUP(CANTIDAD[[#This Row],[Ubicación]],SAP[],6,FALSE),"")</f>
        <v>16/06/2029</v>
      </c>
      <c r="J258" s="11" t="str">
        <f>IFERROR(VLOOKUP(CANTIDAD[[#This Row],[Ubicación]],SAP[],7,FALSE),"")</f>
        <v>1F</v>
      </c>
      <c r="K258" s="17">
        <f>IFERROR(VLOOKUP(CANTIDAD[[#This Row],[Ubicación]],SAP[],10,FALSE),"")</f>
        <v>1512</v>
      </c>
      <c r="L258" s="48">
        <f>IFERROR(VLOOKUP(CANTIDAD[[#This Row],[Producto]],MARA[],5,FALSE),"")</f>
        <v>13</v>
      </c>
      <c r="M258" s="48" t="str">
        <f>IFERROR(VLOOKUP(CANTIDAD[[#This Row],[Producto]],MARA[],4,FALSE),"")</f>
        <v>CJA</v>
      </c>
      <c r="N258" s="136" t="s">
        <v>4601</v>
      </c>
    </row>
    <row r="259" spans="1:14" hidden="1">
      <c r="A259" s="139" t="str">
        <f t="shared" si="4"/>
        <v>PASILLO 9</v>
      </c>
      <c r="B259" s="93" t="s">
        <v>3537</v>
      </c>
      <c r="C259" s="11">
        <f>IFERROR(VLOOKUP(CANTIDAD[[#This Row],[Ubicación]],SAP[],3,FALSE),"")</f>
        <v>8315043</v>
      </c>
      <c r="D259" s="30">
        <f>IFERROR(VLOOKUP(CANTIDAD[[#This Row],[Producto]],MARA[],3,FALSE),"")</f>
        <v>17751851003978</v>
      </c>
      <c r="E259" s="13" t="str">
        <f>IFERROR(VLOOKUP(CANTIDAD[[#This Row],[Ubicación]],SAP[],4,FALSE),"")</f>
        <v>SACAGRASA LIMON SAPOLIO 500ML 24DPK</v>
      </c>
      <c r="F259" s="13">
        <f>IFERROR(VLOOKUP(CANTIDAD[[#This Row],[Ubicación]],SAP[],8,FALSE),"")</f>
        <v>65</v>
      </c>
      <c r="G259" s="13" t="str">
        <f>IFERROR(VLOOKUP(CANTIDAD[[#This Row],[Ubicación]],SAP[],9,FALSE),"")</f>
        <v>CJA</v>
      </c>
      <c r="H259" s="13">
        <f>IFERROR(VLOOKUP(CANTIDAD[[#This Row],[Ubicación]],SAP[],5,FALSE),"")</f>
        <v>2608275060</v>
      </c>
      <c r="I259" s="43" t="str">
        <f>IFERROR(VLOOKUP(CANTIDAD[[#This Row],[Ubicación]],SAP[],6,FALSE),"")</f>
        <v>27/08/2029</v>
      </c>
      <c r="J259" s="13" t="str">
        <f>IFERROR(VLOOKUP(CANTIDAD[[#This Row],[Ubicación]],SAP[],7,FALSE),"")</f>
        <v>1F</v>
      </c>
      <c r="K259" s="18">
        <f>IFERROR(VLOOKUP(CANTIDAD[[#This Row],[Ubicación]],SAP[],10,FALSE),"")</f>
        <v>1560</v>
      </c>
      <c r="L259" s="48">
        <f>IFERROR(VLOOKUP(CANTIDAD[[#This Row],[Producto]],MARA[],5,FALSE),"")</f>
        <v>13</v>
      </c>
      <c r="M259" s="48" t="str">
        <f>IFERROR(VLOOKUP(CANTIDAD[[#This Row],[Producto]],MARA[],4,FALSE),"")</f>
        <v>CJA</v>
      </c>
      <c r="N259" s="136" t="s">
        <v>4602</v>
      </c>
    </row>
    <row r="260" spans="1:14" hidden="1">
      <c r="A260" s="139" t="str">
        <f t="shared" si="4"/>
        <v>PASILLO 9</v>
      </c>
      <c r="B260" s="92" t="s">
        <v>3539</v>
      </c>
      <c r="C260" s="11">
        <f>IFERROR(VLOOKUP(CANTIDAD[[#This Row],[Ubicación]],SAP[],3,FALSE),"")</f>
        <v>8315043</v>
      </c>
      <c r="D260" s="29">
        <f>IFERROR(VLOOKUP(CANTIDAD[[#This Row],[Producto]],MARA[],3,FALSE),"")</f>
        <v>17751851003978</v>
      </c>
      <c r="E260" s="11" t="str">
        <f>IFERROR(VLOOKUP(CANTIDAD[[#This Row],[Ubicación]],SAP[],4,FALSE),"")</f>
        <v>SACAGRASA LIMON SAPOLIO 500ML 24DPK</v>
      </c>
      <c r="F260" s="11">
        <f>IFERROR(VLOOKUP(CANTIDAD[[#This Row],[Ubicación]],SAP[],8,FALSE),"")</f>
        <v>64</v>
      </c>
      <c r="G260" s="11" t="str">
        <f>IFERROR(VLOOKUP(CANTIDAD[[#This Row],[Ubicación]],SAP[],9,FALSE),"")</f>
        <v>CJA</v>
      </c>
      <c r="H260" s="11">
        <f>IFERROR(VLOOKUP(CANTIDAD[[#This Row],[Ubicación]],SAP[],5,FALSE),"")</f>
        <v>2608275060</v>
      </c>
      <c r="I260" s="42" t="str">
        <f>IFERROR(VLOOKUP(CANTIDAD[[#This Row],[Ubicación]],SAP[],6,FALSE),"")</f>
        <v>27/08/2029</v>
      </c>
      <c r="J260" s="11" t="str">
        <f>IFERROR(VLOOKUP(CANTIDAD[[#This Row],[Ubicación]],SAP[],7,FALSE),"")</f>
        <v>1F</v>
      </c>
      <c r="K260" s="17">
        <f>IFERROR(VLOOKUP(CANTIDAD[[#This Row],[Ubicación]],SAP[],10,FALSE),"")</f>
        <v>1536</v>
      </c>
      <c r="L260" s="48">
        <f>IFERROR(VLOOKUP(CANTIDAD[[#This Row],[Producto]],MARA[],5,FALSE),"")</f>
        <v>13</v>
      </c>
      <c r="M260" s="48" t="str">
        <f>IFERROR(VLOOKUP(CANTIDAD[[#This Row],[Producto]],MARA[],4,FALSE),"")</f>
        <v>CJA</v>
      </c>
      <c r="N260" s="136" t="s">
        <v>4603</v>
      </c>
    </row>
    <row r="261" spans="1:14" hidden="1">
      <c r="A261" s="139" t="str">
        <f t="shared" si="4"/>
        <v>PASILLO 9</v>
      </c>
      <c r="B261" s="93" t="s">
        <v>3431</v>
      </c>
      <c r="C261" s="11">
        <f>IFERROR(VLOOKUP(CANTIDAD[[#This Row],[Ubicación]],SAP[],3,FALSE),"")</f>
        <v>8306037</v>
      </c>
      <c r="D261" s="30">
        <f>IFERROR(VLOOKUP(CANTIDAD[[#This Row],[Producto]],MARA[],3,FALSE),"")</f>
        <v>17750243069998</v>
      </c>
      <c r="E261" s="13" t="str">
        <f>IFERROR(VLOOKUP(CANTIDAD[[#This Row],[Ubicación]],SAP[],4,FALSE),"")</f>
        <v>ROPA COLOR SAPOLIO 930ML 12UND</v>
      </c>
      <c r="F261" s="13">
        <f>IFERROR(VLOOKUP(CANTIDAD[[#This Row],[Ubicación]],SAP[],8,FALSE),"")</f>
        <v>44</v>
      </c>
      <c r="G261" s="13" t="str">
        <f>IFERROR(VLOOKUP(CANTIDAD[[#This Row],[Ubicación]],SAP[],9,FALSE),"")</f>
        <v>CJA</v>
      </c>
      <c r="H261" s="13" t="str">
        <f>IFERROR(VLOOKUP(CANTIDAD[[#This Row],[Ubicación]],SAP[],5,FALSE),"")</f>
        <v>20827166M</v>
      </c>
      <c r="I261" s="43" t="str">
        <f>IFERROR(VLOOKUP(CANTIDAD[[#This Row],[Ubicación]],SAP[],6,FALSE),"")</f>
        <v>24/08/2028</v>
      </c>
      <c r="J261" s="13" t="str">
        <f>IFERROR(VLOOKUP(CANTIDAD[[#This Row],[Ubicación]],SAP[],7,FALSE),"")</f>
        <v>1F</v>
      </c>
      <c r="K261" s="14">
        <f>IFERROR(VLOOKUP(CANTIDAD[[#This Row],[Ubicación]],SAP[],10,FALSE),"")</f>
        <v>528</v>
      </c>
      <c r="L261" s="48">
        <f>IFERROR(VLOOKUP(CANTIDAD[[#This Row],[Producto]],MARA[],5,FALSE),"")</f>
        <v>11</v>
      </c>
      <c r="M261" s="48" t="str">
        <f>IFERROR(VLOOKUP(CANTIDAD[[#This Row],[Producto]],MARA[],4,FALSE),"")</f>
        <v>CJA</v>
      </c>
      <c r="N261" s="136" t="s">
        <v>4604</v>
      </c>
    </row>
    <row r="262" spans="1:14" hidden="1">
      <c r="A262" s="139" t="str">
        <f t="shared" si="4"/>
        <v>PASILLO 9</v>
      </c>
      <c r="B262" s="92" t="s">
        <v>3435</v>
      </c>
      <c r="C262" s="11">
        <f>IFERROR(VLOOKUP(CANTIDAD[[#This Row],[Ubicación]],SAP[],3,FALSE),"")</f>
        <v>8306037</v>
      </c>
      <c r="D262" s="29">
        <f>IFERROR(VLOOKUP(CANTIDAD[[#This Row],[Producto]],MARA[],3,FALSE),"")</f>
        <v>17750243069998</v>
      </c>
      <c r="E262" s="11" t="str">
        <f>IFERROR(VLOOKUP(CANTIDAD[[#This Row],[Ubicación]],SAP[],4,FALSE),"")</f>
        <v>ROPA COLOR SAPOLIO 930ML 12UND</v>
      </c>
      <c r="F262" s="11">
        <f>IFERROR(VLOOKUP(CANTIDAD[[#This Row],[Ubicación]],SAP[],8,FALSE),"")</f>
        <v>31</v>
      </c>
      <c r="G262" s="11" t="str">
        <f>IFERROR(VLOOKUP(CANTIDAD[[#This Row],[Ubicación]],SAP[],9,FALSE),"")</f>
        <v>CJA</v>
      </c>
      <c r="H262" s="11" t="str">
        <f>IFERROR(VLOOKUP(CANTIDAD[[#This Row],[Ubicación]],SAP[],5,FALSE),"")</f>
        <v>20826946M</v>
      </c>
      <c r="I262" s="42" t="str">
        <f>IFERROR(VLOOKUP(CANTIDAD[[#This Row],[Ubicación]],SAP[],6,FALSE),"")</f>
        <v>21/08/2028</v>
      </c>
      <c r="J262" s="11" t="str">
        <f>IFERROR(VLOOKUP(CANTIDAD[[#This Row],[Ubicación]],SAP[],7,FALSE),"")</f>
        <v>1F</v>
      </c>
      <c r="K262" s="11">
        <f>IFERROR(VLOOKUP(CANTIDAD[[#This Row],[Ubicación]],SAP[],10,FALSE),"")</f>
        <v>372</v>
      </c>
      <c r="L262" s="48">
        <f>IFERROR(VLOOKUP(CANTIDAD[[#This Row],[Producto]],MARA[],5,FALSE),"")</f>
        <v>11</v>
      </c>
      <c r="M262" s="48" t="str">
        <f>IFERROR(VLOOKUP(CANTIDAD[[#This Row],[Producto]],MARA[],4,FALSE),"")</f>
        <v>CJA</v>
      </c>
      <c r="N262" s="136" t="s">
        <v>4605</v>
      </c>
    </row>
    <row r="263" spans="1:14" hidden="1">
      <c r="A263" s="139" t="str">
        <f t="shared" si="4"/>
        <v>PASILLO 9</v>
      </c>
      <c r="B263" s="93" t="s">
        <v>4161</v>
      </c>
      <c r="C263" s="11">
        <f>IFERROR(VLOOKUP(CANTIDAD[[#This Row],[Ubicación]],SAP[],3,FALSE),"")</f>
        <v>9350410</v>
      </c>
      <c r="D263" s="30">
        <f>IFERROR(VLOOKUP(CANTIDAD[[#This Row],[Producto]],MARA[],3,FALSE),"")</f>
        <v>17750243083079</v>
      </c>
      <c r="E263" s="13" t="str">
        <f>IFERROR(VLOOKUP(CANTIDAD[[#This Row],[Ubicación]],SAP[],4,FALSE),"")</f>
        <v>SUA.BOL.FLORAL N 80ML 6SCH.24TIR</v>
      </c>
      <c r="F263" s="13">
        <f>IFERROR(VLOOKUP(CANTIDAD[[#This Row],[Ubicación]],SAP[],8,FALSE),"")</f>
        <v>1</v>
      </c>
      <c r="G263" s="13" t="str">
        <f>IFERROR(VLOOKUP(CANTIDAD[[#This Row],[Ubicación]],SAP[],9,FALSE),"")</f>
        <v>CJA</v>
      </c>
      <c r="H263" s="13" t="str">
        <f>IFERROR(VLOOKUP(CANTIDAD[[#This Row],[Ubicación]],SAP[],5,FALSE),"")</f>
        <v>20744076S</v>
      </c>
      <c r="I263" s="43" t="str">
        <f>IFERROR(VLOOKUP(CANTIDAD[[#This Row],[Ubicación]],SAP[],6,FALSE),"")</f>
        <v>13/10/2027</v>
      </c>
      <c r="J263" s="13" t="str">
        <f>IFERROR(VLOOKUP(CANTIDAD[[#This Row],[Ubicación]],SAP[],7,FALSE),"")</f>
        <v>1F</v>
      </c>
      <c r="K263" s="14">
        <f>IFERROR(VLOOKUP(CANTIDAD[[#This Row],[Ubicación]],SAP[],10,FALSE),"")</f>
        <v>24</v>
      </c>
      <c r="L263" s="48">
        <f>IFERROR(VLOOKUP(CANTIDAD[[#This Row],[Producto]],MARA[],5,FALSE),"")</f>
        <v>10</v>
      </c>
      <c r="M263" s="48" t="str">
        <f>IFERROR(VLOOKUP(CANTIDAD[[#This Row],[Producto]],MARA[],4,FALSE),"")</f>
        <v>CJA</v>
      </c>
      <c r="N263" s="136" t="s">
        <v>4606</v>
      </c>
    </row>
    <row r="264" spans="1:14" hidden="1">
      <c r="A264" s="139" t="str">
        <f t="shared" si="4"/>
        <v>PASILLO 9</v>
      </c>
      <c r="B264" s="92" t="s">
        <v>4186</v>
      </c>
      <c r="C264" s="11">
        <f>IFERROR(VLOOKUP(CANTIDAD[[#This Row],[Ubicación]],SAP[],3,FALSE),"")</f>
        <v>9350418</v>
      </c>
      <c r="D264" s="29">
        <f>IFERROR(VLOOKUP(CANTIDAD[[#This Row],[Producto]],MARA[],3,FALSE),"")</f>
        <v>17750243083567</v>
      </c>
      <c r="E264" s="11" t="str">
        <f>IFERROR(VLOOKUP(CANTIDAD[[#This Row],[Ubicación]],SAP[],4,FALSE),"")</f>
        <v>SUAVI. BOL PLUS.ORQ 80ML 6SCH 24TIR NV</v>
      </c>
      <c r="F264" s="11">
        <f>IFERROR(VLOOKUP(CANTIDAD[[#This Row],[Ubicación]],SAP[],8,FALSE),"")</f>
        <v>36</v>
      </c>
      <c r="G264" s="11" t="str">
        <f>IFERROR(VLOOKUP(CANTIDAD[[#This Row],[Ubicación]],SAP[],9,FALSE),"")</f>
        <v>CJA</v>
      </c>
      <c r="H264" s="11" t="str">
        <f>IFERROR(VLOOKUP(CANTIDAD[[#This Row],[Ubicación]],SAP[],5,FALSE),"")</f>
        <v>20723936M</v>
      </c>
      <c r="I264" s="42" t="str">
        <f>IFERROR(VLOOKUP(CANTIDAD[[#This Row],[Ubicación]],SAP[],6,FALSE),"")</f>
        <v>27/10/2027</v>
      </c>
      <c r="J264" s="11" t="str">
        <f>IFERROR(VLOOKUP(CANTIDAD[[#This Row],[Ubicación]],SAP[],7,FALSE),"")</f>
        <v>1F</v>
      </c>
      <c r="K264" s="11">
        <f>IFERROR(VLOOKUP(CANTIDAD[[#This Row],[Ubicación]],SAP[],10,FALSE),"")</f>
        <v>864</v>
      </c>
      <c r="L264" s="48">
        <f>IFERROR(VLOOKUP(CANTIDAD[[#This Row],[Producto]],MARA[],5,FALSE),"")</f>
        <v>10</v>
      </c>
      <c r="M264" s="48" t="str">
        <f>IFERROR(VLOOKUP(CANTIDAD[[#This Row],[Producto]],MARA[],4,FALSE),"")</f>
        <v>CJA</v>
      </c>
      <c r="N264" s="136" t="s">
        <v>4607</v>
      </c>
    </row>
    <row r="265" spans="1:14" hidden="1">
      <c r="A265" s="139" t="str">
        <f t="shared" si="4"/>
        <v>PASILLO 9</v>
      </c>
      <c r="B265" s="93" t="s">
        <v>4182</v>
      </c>
      <c r="C265" s="11">
        <f>IFERROR(VLOOKUP(CANTIDAD[[#This Row],[Ubicación]],SAP[],3,FALSE),"")</f>
        <v>9350417</v>
      </c>
      <c r="D265" s="30">
        <f>IFERROR(VLOOKUP(CANTIDAD[[#This Row],[Producto]],MARA[],3,FALSE),"")</f>
        <v>17750243083550</v>
      </c>
      <c r="E265" s="13" t="str">
        <f>IFERROR(VLOOKUP(CANTIDAD[[#This Row],[Ubicación]],SAP[],4,FALSE),"")</f>
        <v>SUAVI. BOL PLUS. LAV 80ML 6SCH 24TIR NV</v>
      </c>
      <c r="F265" s="13">
        <f>IFERROR(VLOOKUP(CANTIDAD[[#This Row],[Ubicación]],SAP[],8,FALSE),"")</f>
        <v>7</v>
      </c>
      <c r="G265" s="13" t="str">
        <f>IFERROR(VLOOKUP(CANTIDAD[[#This Row],[Ubicación]],SAP[],9,FALSE),"")</f>
        <v>CJA</v>
      </c>
      <c r="H265" s="13" t="str">
        <f>IFERROR(VLOOKUP(CANTIDAD[[#This Row],[Ubicación]],SAP[],5,FALSE),"")</f>
        <v>20744166S</v>
      </c>
      <c r="I265" s="43" t="str">
        <f>IFERROR(VLOOKUP(CANTIDAD[[#This Row],[Ubicación]],SAP[],6,FALSE),"")</f>
        <v>15/10/2027</v>
      </c>
      <c r="J265" s="13" t="str">
        <f>IFERROR(VLOOKUP(CANTIDAD[[#This Row],[Ubicación]],SAP[],7,FALSE),"")</f>
        <v>1F</v>
      </c>
      <c r="K265" s="14">
        <f>IFERROR(VLOOKUP(CANTIDAD[[#This Row],[Ubicación]],SAP[],10,FALSE),"")</f>
        <v>168</v>
      </c>
      <c r="L265" s="48">
        <f>IFERROR(VLOOKUP(CANTIDAD[[#This Row],[Producto]],MARA[],5,FALSE),"")</f>
        <v>10</v>
      </c>
      <c r="M265" s="48" t="str">
        <f>IFERROR(VLOOKUP(CANTIDAD[[#This Row],[Producto]],MARA[],4,FALSE),"")</f>
        <v>CJA</v>
      </c>
      <c r="N265" s="136" t="s">
        <v>4608</v>
      </c>
    </row>
    <row r="266" spans="1:14" hidden="1">
      <c r="A266" s="139" t="str">
        <f t="shared" si="4"/>
        <v>PASILLO 9</v>
      </c>
      <c r="B266" s="92" t="s">
        <v>4609</v>
      </c>
      <c r="C266" s="11" t="str">
        <f>IFERROR(VLOOKUP(CANTIDAD[[#This Row],[Ubicación]],SAP[],3,FALSE),"")</f>
        <v/>
      </c>
      <c r="D266" s="29" t="str">
        <f>IFERROR(VLOOKUP(CANTIDAD[[#This Row],[Producto]],MARA[],3,FALSE),"")</f>
        <v/>
      </c>
      <c r="E266" s="11" t="str">
        <f>IFERROR(VLOOKUP(CANTIDAD[[#This Row],[Ubicación]],SAP[],4,FALSE),"")</f>
        <v/>
      </c>
      <c r="F266" s="11" t="str">
        <f>IFERROR(VLOOKUP(CANTIDAD[[#This Row],[Ubicación]],SAP[],8,FALSE),"")</f>
        <v/>
      </c>
      <c r="G266" s="11" t="str">
        <f>IFERROR(VLOOKUP(CANTIDAD[[#This Row],[Ubicación]],SAP[],9,FALSE),"")</f>
        <v/>
      </c>
      <c r="H266" s="11" t="str">
        <f>IFERROR(VLOOKUP(CANTIDAD[[#This Row],[Ubicación]],SAP[],5,FALSE),"")</f>
        <v/>
      </c>
      <c r="I266" s="42" t="str">
        <f>IFERROR(VLOOKUP(CANTIDAD[[#This Row],[Ubicación]],SAP[],6,FALSE),"")</f>
        <v/>
      </c>
      <c r="J266" s="11" t="str">
        <f>IFERROR(VLOOKUP(CANTIDAD[[#This Row],[Ubicación]],SAP[],7,FALSE),"")</f>
        <v/>
      </c>
      <c r="K266" s="11" t="str">
        <f>IFERROR(VLOOKUP(CANTIDAD[[#This Row],[Ubicación]],SAP[],10,FALSE),"")</f>
        <v/>
      </c>
      <c r="L266" s="48" t="str">
        <f>IFERROR(VLOOKUP(CANTIDAD[[#This Row],[Producto]],MARA[],5,FALSE),"")</f>
        <v/>
      </c>
      <c r="M266" s="48" t="str">
        <f>IFERROR(VLOOKUP(CANTIDAD[[#This Row],[Producto]],MARA[],4,FALSE),"")</f>
        <v/>
      </c>
      <c r="N266" s="136" t="s">
        <v>4610</v>
      </c>
    </row>
    <row r="267" spans="1:14" hidden="1">
      <c r="A267" s="139" t="str">
        <f t="shared" si="4"/>
        <v>PASILLO 9</v>
      </c>
      <c r="B267" s="93" t="s">
        <v>4611</v>
      </c>
      <c r="C267" s="11" t="str">
        <f>IFERROR(VLOOKUP(CANTIDAD[[#This Row],[Ubicación]],SAP[],3,FALSE),"")</f>
        <v/>
      </c>
      <c r="D267" s="30" t="str">
        <f>IFERROR(VLOOKUP(CANTIDAD[[#This Row],[Producto]],MARA[],3,FALSE),"")</f>
        <v/>
      </c>
      <c r="E267" s="13" t="str">
        <f>IFERROR(VLOOKUP(CANTIDAD[[#This Row],[Ubicación]],SAP[],4,FALSE),"")</f>
        <v/>
      </c>
      <c r="F267" s="13" t="str">
        <f>IFERROR(VLOOKUP(CANTIDAD[[#This Row],[Ubicación]],SAP[],8,FALSE),"")</f>
        <v/>
      </c>
      <c r="G267" s="13" t="str">
        <f>IFERROR(VLOOKUP(CANTIDAD[[#This Row],[Ubicación]],SAP[],9,FALSE),"")</f>
        <v/>
      </c>
      <c r="H267" s="13" t="str">
        <f>IFERROR(VLOOKUP(CANTIDAD[[#This Row],[Ubicación]],SAP[],5,FALSE),"")</f>
        <v/>
      </c>
      <c r="I267" s="43" t="str">
        <f>IFERROR(VLOOKUP(CANTIDAD[[#This Row],[Ubicación]],SAP[],6,FALSE),"")</f>
        <v/>
      </c>
      <c r="J267" s="13" t="str">
        <f>IFERROR(VLOOKUP(CANTIDAD[[#This Row],[Ubicación]],SAP[],7,FALSE),"")</f>
        <v/>
      </c>
      <c r="K267" s="14" t="str">
        <f>IFERROR(VLOOKUP(CANTIDAD[[#This Row],[Ubicación]],SAP[],10,FALSE),"")</f>
        <v/>
      </c>
      <c r="L267" s="48" t="str">
        <f>IFERROR(VLOOKUP(CANTIDAD[[#This Row],[Producto]],MARA[],5,FALSE),"")</f>
        <v/>
      </c>
      <c r="M267" s="48" t="str">
        <f>IFERROR(VLOOKUP(CANTIDAD[[#This Row],[Producto]],MARA[],4,FALSE),"")</f>
        <v/>
      </c>
      <c r="N267" s="136" t="s">
        <v>4612</v>
      </c>
    </row>
    <row r="268" spans="1:14" hidden="1">
      <c r="A268" s="139" t="str">
        <f t="shared" si="4"/>
        <v>PASILLO 9</v>
      </c>
      <c r="B268" s="92" t="s">
        <v>3426</v>
      </c>
      <c r="C268" s="11">
        <f>IFERROR(VLOOKUP(CANTIDAD[[#This Row],[Ubicación]],SAP[],3,FALSE),"")</f>
        <v>8306034</v>
      </c>
      <c r="D268" s="29">
        <f>IFERROR(VLOOKUP(CANTIDAD[[#This Row],[Producto]],MARA[],3,FALSE),"")</f>
        <v>17750243069110</v>
      </c>
      <c r="E268" s="11" t="str">
        <f>IFERROR(VLOOKUP(CANTIDAD[[#This Row],[Ubicación]],SAP[],4,FALSE),"")</f>
        <v>QUITAM. ROPA COLOR SAPOLIO 1800ML 6UND</v>
      </c>
      <c r="F268" s="11">
        <f>IFERROR(VLOOKUP(CANTIDAD[[#This Row],[Ubicación]],SAP[],8,FALSE),"")</f>
        <v>19</v>
      </c>
      <c r="G268" s="11" t="str">
        <f>IFERROR(VLOOKUP(CANTIDAD[[#This Row],[Ubicación]],SAP[],9,FALSE),"")</f>
        <v>CJA</v>
      </c>
      <c r="H268" s="11" t="str">
        <f>IFERROR(VLOOKUP(CANTIDAD[[#This Row],[Ubicación]],SAP[],5,FALSE),"")</f>
        <v>20825926M</v>
      </c>
      <c r="I268" s="42" t="str">
        <f>IFERROR(VLOOKUP(CANTIDAD[[#This Row],[Ubicación]],SAP[],6,FALSE),"")</f>
        <v>14/08/2028</v>
      </c>
      <c r="J268" s="11" t="str">
        <f>IFERROR(VLOOKUP(CANTIDAD[[#This Row],[Ubicación]],SAP[],7,FALSE),"")</f>
        <v>1F</v>
      </c>
      <c r="K268" s="11">
        <f>IFERROR(VLOOKUP(CANTIDAD[[#This Row],[Ubicación]],SAP[],10,FALSE),"")</f>
        <v>114</v>
      </c>
      <c r="L268" s="48">
        <f>IFERROR(VLOOKUP(CANTIDAD[[#This Row],[Producto]],MARA[],5,FALSE),"")</f>
        <v>10</v>
      </c>
      <c r="M268" s="48" t="str">
        <f>IFERROR(VLOOKUP(CANTIDAD[[#This Row],[Producto]],MARA[],4,FALSE),"")</f>
        <v>CJA</v>
      </c>
      <c r="N268" s="136" t="s">
        <v>4613</v>
      </c>
    </row>
    <row r="269" spans="1:14" hidden="1">
      <c r="A269" s="139" t="str">
        <f t="shared" si="4"/>
        <v>PASILLO 9</v>
      </c>
      <c r="B269" s="93" t="s">
        <v>3429</v>
      </c>
      <c r="C269" s="11">
        <f>IFERROR(VLOOKUP(CANTIDAD[[#This Row],[Ubicación]],SAP[],3,FALSE),"")</f>
        <v>8306034</v>
      </c>
      <c r="D269" s="30">
        <f>IFERROR(VLOOKUP(CANTIDAD[[#This Row],[Producto]],MARA[],3,FALSE),"")</f>
        <v>17750243069110</v>
      </c>
      <c r="E269" s="13" t="str">
        <f>IFERROR(VLOOKUP(CANTIDAD[[#This Row],[Ubicación]],SAP[],4,FALSE),"")</f>
        <v>QUITAM. ROPA COLOR SAPOLIO 1800ML 6UND</v>
      </c>
      <c r="F269" s="13">
        <f>IFERROR(VLOOKUP(CANTIDAD[[#This Row],[Ubicación]],SAP[],8,FALSE),"")</f>
        <v>14</v>
      </c>
      <c r="G269" s="13" t="str">
        <f>IFERROR(VLOOKUP(CANTIDAD[[#This Row],[Ubicación]],SAP[],9,FALSE),"")</f>
        <v>CJA</v>
      </c>
      <c r="H269" s="13" t="str">
        <f>IFERROR(VLOOKUP(CANTIDAD[[#This Row],[Ubicación]],SAP[],5,FALSE),"")</f>
        <v>20825926M</v>
      </c>
      <c r="I269" s="43" t="str">
        <f>IFERROR(VLOOKUP(CANTIDAD[[#This Row],[Ubicación]],SAP[],6,FALSE),"")</f>
        <v>14/08/2028</v>
      </c>
      <c r="J269" s="13" t="str">
        <f>IFERROR(VLOOKUP(CANTIDAD[[#This Row],[Ubicación]],SAP[],7,FALSE),"")</f>
        <v>1F</v>
      </c>
      <c r="K269" s="14">
        <f>IFERROR(VLOOKUP(CANTIDAD[[#This Row],[Ubicación]],SAP[],10,FALSE),"")</f>
        <v>84</v>
      </c>
      <c r="L269" s="48">
        <f>IFERROR(VLOOKUP(CANTIDAD[[#This Row],[Producto]],MARA[],5,FALSE),"")</f>
        <v>10</v>
      </c>
      <c r="M269" s="48" t="str">
        <f>IFERROR(VLOOKUP(CANTIDAD[[#This Row],[Producto]],MARA[],4,FALSE),"")</f>
        <v>CJA</v>
      </c>
      <c r="N269" s="136" t="s">
        <v>4614</v>
      </c>
    </row>
    <row r="270" spans="1:14" hidden="1">
      <c r="A270" s="139" t="str">
        <f t="shared" si="4"/>
        <v>PASILLO 9</v>
      </c>
      <c r="B270" s="92" t="s">
        <v>4198</v>
      </c>
      <c r="C270" s="11">
        <f>IFERROR(VLOOKUP(CANTIDAD[[#This Row],[Ubicación]],SAP[],3,FALSE),"")</f>
        <v>9350422</v>
      </c>
      <c r="D270" s="29">
        <f>IFERROR(VLOOKUP(CANTIDAD[[#This Row],[Producto]],MARA[],3,FALSE),"")</f>
        <v>17750243084359</v>
      </c>
      <c r="E270" s="11" t="str">
        <f>IFERROR(VLOOKUP(CANTIDAD[[#This Row],[Ubicación]],SAP[],4,FALSE),"")</f>
        <v>SUAVIBOLIV BEBESYNINOS80ML 6SCH 24TIR NV</v>
      </c>
      <c r="F270" s="11">
        <f>IFERROR(VLOOKUP(CANTIDAD[[#This Row],[Ubicación]],SAP[],8,FALSE),"")</f>
        <v>7</v>
      </c>
      <c r="G270" s="11" t="str">
        <f>IFERROR(VLOOKUP(CANTIDAD[[#This Row],[Ubicación]],SAP[],9,FALSE),"")</f>
        <v>CJA</v>
      </c>
      <c r="H270" s="11" t="str">
        <f>IFERROR(VLOOKUP(CANTIDAD[[#This Row],[Ubicación]],SAP[],5,FALSE),"")</f>
        <v>20621206M</v>
      </c>
      <c r="I270" s="42" t="str">
        <f>IFERROR(VLOOKUP(CANTIDAD[[#This Row],[Ubicación]],SAP[],6,FALSE),"")</f>
        <v>25/06/2027</v>
      </c>
      <c r="J270" s="11" t="str">
        <f>IFERROR(VLOOKUP(CANTIDAD[[#This Row],[Ubicación]],SAP[],7,FALSE),"")</f>
        <v>1F</v>
      </c>
      <c r="K270" s="11">
        <f>IFERROR(VLOOKUP(CANTIDAD[[#This Row],[Ubicación]],SAP[],10,FALSE),"")</f>
        <v>168</v>
      </c>
      <c r="L270" s="48">
        <f>IFERROR(VLOOKUP(CANTIDAD[[#This Row],[Producto]],MARA[],5,FALSE),"")</f>
        <v>10</v>
      </c>
      <c r="M270" s="48" t="str">
        <f>IFERROR(VLOOKUP(CANTIDAD[[#This Row],[Producto]],MARA[],4,FALSE),"")</f>
        <v>CJA</v>
      </c>
      <c r="N270" s="136" t="s">
        <v>4615</v>
      </c>
    </row>
    <row r="271" spans="1:14" hidden="1">
      <c r="A271" s="139" t="str">
        <f t="shared" si="4"/>
        <v>PASILLO 9</v>
      </c>
      <c r="B271" s="93" t="s">
        <v>3624</v>
      </c>
      <c r="C271" s="11">
        <f>IFERROR(VLOOKUP(CANTIDAD[[#This Row],[Ubicación]],SAP[],3,FALSE),"")</f>
        <v>8317027</v>
      </c>
      <c r="D271" s="30">
        <f>IFERROR(VLOOKUP(CANTIDAD[[#This Row],[Producto]],MARA[],3,FALSE),"")</f>
        <v>17751851012215</v>
      </c>
      <c r="E271" s="13" t="str">
        <f>IFERROR(VLOOKUP(CANTIDAD[[#This Row],[Ubicación]],SAP[],4,FALSE),"")</f>
        <v>LIMPIATODO LAVANDA SAPOLIO 1800ML 6UND</v>
      </c>
      <c r="F271" s="13">
        <f>IFERROR(VLOOKUP(CANTIDAD[[#This Row],[Ubicación]],SAP[],8,FALSE),"")</f>
        <v>42</v>
      </c>
      <c r="G271" s="13" t="str">
        <f>IFERROR(VLOOKUP(CANTIDAD[[#This Row],[Ubicación]],SAP[],9,FALSE),"")</f>
        <v>CJA</v>
      </c>
      <c r="H271" s="13">
        <f>IFERROR(VLOOKUP(CANTIDAD[[#This Row],[Ubicación]],SAP[],5,FALSE),"")</f>
        <v>2608045060</v>
      </c>
      <c r="I271" s="43">
        <f>IFERROR(VLOOKUP(CANTIDAD[[#This Row],[Ubicación]],SAP[],6,FALSE),"")</f>
        <v>47216</v>
      </c>
      <c r="J271" s="13" t="str">
        <f>IFERROR(VLOOKUP(CANTIDAD[[#This Row],[Ubicación]],SAP[],7,FALSE),"")</f>
        <v>1F</v>
      </c>
      <c r="K271" s="14">
        <f>IFERROR(VLOOKUP(CANTIDAD[[#This Row],[Ubicación]],SAP[],10,FALSE),"")</f>
        <v>252</v>
      </c>
      <c r="L271" s="48">
        <f>IFERROR(VLOOKUP(CANTIDAD[[#This Row],[Producto]],MARA[],5,FALSE),"")</f>
        <v>16</v>
      </c>
      <c r="M271" s="48" t="str">
        <f>IFERROR(VLOOKUP(CANTIDAD[[#This Row],[Producto]],MARA[],4,FALSE),"")</f>
        <v>CJA</v>
      </c>
      <c r="N271" s="136" t="s">
        <v>4616</v>
      </c>
    </row>
    <row r="272" spans="1:14" hidden="1">
      <c r="A272" s="139" t="str">
        <f t="shared" si="4"/>
        <v>PASILLO 9</v>
      </c>
      <c r="B272" s="92" t="s">
        <v>3505</v>
      </c>
      <c r="C272" s="11">
        <f>IFERROR(VLOOKUP(CANTIDAD[[#This Row],[Ubicación]],SAP[],3,FALSE),"")</f>
        <v>8315011</v>
      </c>
      <c r="D272" s="29">
        <f>IFERROR(VLOOKUP(CANTIDAD[[#This Row],[Producto]],MARA[],3,FALSE),"")</f>
        <v>17751851004739</v>
      </c>
      <c r="E272" s="11" t="str">
        <f>IFERROR(VLOOKUP(CANTIDAD[[#This Row],[Ubicación]],SAP[],4,FALSE),"")</f>
        <v>SACG SAP LIM INOD FP PINO VER 450ML 24UN</v>
      </c>
      <c r="F272" s="11">
        <f>IFERROR(VLOOKUP(CANTIDAD[[#This Row],[Ubicación]],SAP[],8,FALSE),"")</f>
        <v>29</v>
      </c>
      <c r="G272" s="11" t="str">
        <f>IFERROR(VLOOKUP(CANTIDAD[[#This Row],[Ubicación]],SAP[],9,FALSE),"")</f>
        <v>CJA</v>
      </c>
      <c r="H272" s="11">
        <f>IFERROR(VLOOKUP(CANTIDAD[[#This Row],[Ubicación]],SAP[],5,FALSE),"")</f>
        <v>2607135060</v>
      </c>
      <c r="I272" s="42" t="str">
        <f>IFERROR(VLOOKUP(CANTIDAD[[#This Row],[Ubicación]],SAP[],6,FALSE),"")</f>
        <v>13/07/2029</v>
      </c>
      <c r="J272" s="11" t="str">
        <f>IFERROR(VLOOKUP(CANTIDAD[[#This Row],[Ubicación]],SAP[],7,FALSE),"")</f>
        <v>1F</v>
      </c>
      <c r="K272" s="11">
        <f>IFERROR(VLOOKUP(CANTIDAD[[#This Row],[Ubicación]],SAP[],10,FALSE),"")</f>
        <v>696</v>
      </c>
      <c r="L272" s="48">
        <f>IFERROR(VLOOKUP(CANTIDAD[[#This Row],[Producto]],MARA[],5,FALSE),"")</f>
        <v>13</v>
      </c>
      <c r="M272" s="48" t="str">
        <f>IFERROR(VLOOKUP(CANTIDAD[[#This Row],[Producto]],MARA[],4,FALSE),"")</f>
        <v>CJA</v>
      </c>
      <c r="N272" s="136" t="s">
        <v>4617</v>
      </c>
    </row>
    <row r="273" spans="1:14" hidden="1">
      <c r="A273" s="139" t="str">
        <f t="shared" si="4"/>
        <v>PASILLO 9</v>
      </c>
      <c r="B273" s="93" t="s">
        <v>3508</v>
      </c>
      <c r="C273" s="11">
        <f>IFERROR(VLOOKUP(CANTIDAD[[#This Row],[Ubicación]],SAP[],3,FALSE),"")</f>
        <v>8315012</v>
      </c>
      <c r="D273" s="30">
        <f>IFERROR(VLOOKUP(CANTIDAD[[#This Row],[Producto]],MARA[],3,FALSE),"")</f>
        <v>17751851004746</v>
      </c>
      <c r="E273" s="13" t="str">
        <f>IFERROR(VLOOKUP(CANTIDAD[[#This Row],[Ubicación]],SAP[],4,FALSE),"")</f>
        <v>SAP LIM INOD FP LIM AMAR 450ML 24UN</v>
      </c>
      <c r="F273" s="13">
        <f>IFERROR(VLOOKUP(CANTIDAD[[#This Row],[Ubicación]],SAP[],8,FALSE),"")</f>
        <v>51</v>
      </c>
      <c r="G273" s="13" t="str">
        <f>IFERROR(VLOOKUP(CANTIDAD[[#This Row],[Ubicación]],SAP[],9,FALSE),"")</f>
        <v>CJA</v>
      </c>
      <c r="H273" s="13">
        <f>IFERROR(VLOOKUP(CANTIDAD[[#This Row],[Ubicación]],SAP[],5,FALSE),"")</f>
        <v>2506195010</v>
      </c>
      <c r="I273" s="43" t="str">
        <f>IFERROR(VLOOKUP(CANTIDAD[[#This Row],[Ubicación]],SAP[],6,FALSE),"")</f>
        <v>19/06/2027</v>
      </c>
      <c r="J273" s="13" t="str">
        <f>IFERROR(VLOOKUP(CANTIDAD[[#This Row],[Ubicación]],SAP[],7,FALSE),"")</f>
        <v>1F</v>
      </c>
      <c r="K273" s="18">
        <f>IFERROR(VLOOKUP(CANTIDAD[[#This Row],[Ubicación]],SAP[],10,FALSE),"")</f>
        <v>1224</v>
      </c>
      <c r="L273" s="48">
        <f>IFERROR(VLOOKUP(CANTIDAD[[#This Row],[Producto]],MARA[],5,FALSE),"")</f>
        <v>13</v>
      </c>
      <c r="M273" s="48" t="str">
        <f>IFERROR(VLOOKUP(CANTIDAD[[#This Row],[Producto]],MARA[],4,FALSE),"")</f>
        <v>CJA</v>
      </c>
      <c r="N273" s="136" t="s">
        <v>4618</v>
      </c>
    </row>
    <row r="274" spans="1:14" hidden="1">
      <c r="A274" s="139" t="str">
        <f t="shared" si="4"/>
        <v>PASILLO 9</v>
      </c>
      <c r="B274" s="92" t="s">
        <v>3626</v>
      </c>
      <c r="C274" s="11">
        <f>IFERROR(VLOOKUP(CANTIDAD[[#This Row],[Ubicación]],SAP[],3,FALSE),"")</f>
        <v>8317028</v>
      </c>
      <c r="D274" s="29">
        <f>IFERROR(VLOOKUP(CANTIDAD[[#This Row],[Producto]],MARA[],3,FALSE),"")</f>
        <v>17751851012222</v>
      </c>
      <c r="E274" s="11" t="str">
        <f>IFERROR(VLOOKUP(CANTIDAD[[#This Row],[Ubicación]],SAP[],4,FALSE),"")</f>
        <v>LIMPIATODO FLORAL SAPOLIO 1800ML 6UND</v>
      </c>
      <c r="F274" s="11">
        <f>IFERROR(VLOOKUP(CANTIDAD[[#This Row],[Ubicación]],SAP[],8,FALSE),"")</f>
        <v>18</v>
      </c>
      <c r="G274" s="11" t="str">
        <f>IFERROR(VLOOKUP(CANTIDAD[[#This Row],[Ubicación]],SAP[],9,FALSE),"")</f>
        <v>CJA</v>
      </c>
      <c r="H274" s="11">
        <f>IFERROR(VLOOKUP(CANTIDAD[[#This Row],[Ubicación]],SAP[],5,FALSE),"")</f>
        <v>2608145060</v>
      </c>
      <c r="I274" s="42" t="str">
        <f>IFERROR(VLOOKUP(CANTIDAD[[#This Row],[Ubicación]],SAP[],6,FALSE),"")</f>
        <v>14/08/2029</v>
      </c>
      <c r="J274" s="11" t="str">
        <f>IFERROR(VLOOKUP(CANTIDAD[[#This Row],[Ubicación]],SAP[],7,FALSE),"")</f>
        <v>1F</v>
      </c>
      <c r="K274" s="11">
        <f>IFERROR(VLOOKUP(CANTIDAD[[#This Row],[Ubicación]],SAP[],10,FALSE),"")</f>
        <v>108</v>
      </c>
      <c r="L274" s="48">
        <f>IFERROR(VLOOKUP(CANTIDAD[[#This Row],[Producto]],MARA[],5,FALSE),"")</f>
        <v>16</v>
      </c>
      <c r="M274" s="48" t="str">
        <f>IFERROR(VLOOKUP(CANTIDAD[[#This Row],[Producto]],MARA[],4,FALSE),"")</f>
        <v>CJA</v>
      </c>
      <c r="N274" s="137" t="s">
        <v>4619</v>
      </c>
    </row>
    <row r="275" spans="1:14" hidden="1">
      <c r="A275" s="139" t="str">
        <f t="shared" si="4"/>
        <v>PASILLO 9</v>
      </c>
      <c r="B275" s="93" t="s">
        <v>3615</v>
      </c>
      <c r="C275" s="11">
        <f>IFERROR(VLOOKUP(CANTIDAD[[#This Row],[Ubicación]],SAP[],3,FALSE),"")</f>
        <v>8317019</v>
      </c>
      <c r="D275" s="30">
        <f>IFERROR(VLOOKUP(CANTIDAD[[#This Row],[Producto]],MARA[],3,FALSE),"")</f>
        <v>17751851000793</v>
      </c>
      <c r="E275" s="13" t="str">
        <f>IFERROR(VLOOKUP(CANTIDAD[[#This Row],[Ubicación]],SAP[],4,FALSE),"")</f>
        <v>LIMPIATODO LIMON SAPOLIO 900ML 12UND</v>
      </c>
      <c r="F275" s="13">
        <f>IFERROR(VLOOKUP(CANTIDAD[[#This Row],[Ubicación]],SAP[],8,FALSE),"")</f>
        <v>60</v>
      </c>
      <c r="G275" s="13" t="str">
        <f>IFERROR(VLOOKUP(CANTIDAD[[#This Row],[Ubicación]],SAP[],9,FALSE),"")</f>
        <v>CJA</v>
      </c>
      <c r="H275" s="13">
        <f>IFERROR(VLOOKUP(CANTIDAD[[#This Row],[Ubicación]],SAP[],5,FALSE),"")</f>
        <v>2607255060</v>
      </c>
      <c r="I275" s="43" t="str">
        <f>IFERROR(VLOOKUP(CANTIDAD[[#This Row],[Ubicación]],SAP[],6,FALSE),"")</f>
        <v>25/07/2029</v>
      </c>
      <c r="J275" s="13" t="str">
        <f>IFERROR(VLOOKUP(CANTIDAD[[#This Row],[Ubicación]],SAP[],7,FALSE),"")</f>
        <v>1F</v>
      </c>
      <c r="K275" s="14">
        <f>IFERROR(VLOOKUP(CANTIDAD[[#This Row],[Ubicación]],SAP[],10,FALSE),"")</f>
        <v>720</v>
      </c>
      <c r="L275" s="48">
        <f>IFERROR(VLOOKUP(CANTIDAD[[#This Row],[Producto]],MARA[],5,FALSE),"")</f>
        <v>15</v>
      </c>
      <c r="M275" s="48" t="str">
        <f>IFERROR(VLOOKUP(CANTIDAD[[#This Row],[Producto]],MARA[],4,FALSE),"")</f>
        <v>CJA</v>
      </c>
      <c r="N275" s="136" t="s">
        <v>4620</v>
      </c>
    </row>
    <row r="276" spans="1:14" hidden="1">
      <c r="A276" s="139" t="str">
        <f t="shared" si="4"/>
        <v>PASILLO 9</v>
      </c>
      <c r="B276" s="92" t="s">
        <v>3618</v>
      </c>
      <c r="C276" s="11">
        <f>IFERROR(VLOOKUP(CANTIDAD[[#This Row],[Ubicación]],SAP[],3,FALSE),"")</f>
        <v>8317019</v>
      </c>
      <c r="D276" s="29">
        <f>IFERROR(VLOOKUP(CANTIDAD[[#This Row],[Producto]],MARA[],3,FALSE),"")</f>
        <v>17751851000793</v>
      </c>
      <c r="E276" s="11" t="str">
        <f>IFERROR(VLOOKUP(CANTIDAD[[#This Row],[Ubicación]],SAP[],4,FALSE),"")</f>
        <v>LIMPIATODO LIMON SAPOLIO 900ML 12UND</v>
      </c>
      <c r="F276" s="11">
        <f>IFERROR(VLOOKUP(CANTIDAD[[#This Row],[Ubicación]],SAP[],8,FALSE),"")</f>
        <v>17</v>
      </c>
      <c r="G276" s="11" t="str">
        <f>IFERROR(VLOOKUP(CANTIDAD[[#This Row],[Ubicación]],SAP[],9,FALSE),"")</f>
        <v>CJA</v>
      </c>
      <c r="H276" s="11">
        <f>IFERROR(VLOOKUP(CANTIDAD[[#This Row],[Ubicación]],SAP[],5,FALSE),"")</f>
        <v>2607255060</v>
      </c>
      <c r="I276" s="42" t="str">
        <f>IFERROR(VLOOKUP(CANTIDAD[[#This Row],[Ubicación]],SAP[],6,FALSE),"")</f>
        <v>25/07/2029</v>
      </c>
      <c r="J276" s="11" t="str">
        <f>IFERROR(VLOOKUP(CANTIDAD[[#This Row],[Ubicación]],SAP[],7,FALSE),"")</f>
        <v>1F</v>
      </c>
      <c r="K276" s="11">
        <f>IFERROR(VLOOKUP(CANTIDAD[[#This Row],[Ubicación]],SAP[],10,FALSE),"")</f>
        <v>204</v>
      </c>
      <c r="L276" s="48">
        <f>IFERROR(VLOOKUP(CANTIDAD[[#This Row],[Producto]],MARA[],5,FALSE),"")</f>
        <v>15</v>
      </c>
      <c r="M276" s="48" t="str">
        <f>IFERROR(VLOOKUP(CANTIDAD[[#This Row],[Producto]],MARA[],4,FALSE),"")</f>
        <v>CJA</v>
      </c>
      <c r="N276" s="136" t="s">
        <v>4621</v>
      </c>
    </row>
    <row r="277" spans="1:14" hidden="1">
      <c r="A277" s="139" t="str">
        <f t="shared" si="4"/>
        <v>PASILLO 9</v>
      </c>
      <c r="B277" s="93" t="s">
        <v>3593</v>
      </c>
      <c r="C277" s="11">
        <f>IFERROR(VLOOKUP(CANTIDAD[[#This Row],[Ubicación]],SAP[],3,FALSE),"")</f>
        <v>8316035</v>
      </c>
      <c r="D277" s="30">
        <f>IFERROR(VLOOKUP(CANTIDAD[[#This Row],[Producto]],MARA[],3,FALSE),"")</f>
        <v>27751851113605</v>
      </c>
      <c r="E277" s="13" t="str">
        <f>IFERROR(VLOOKUP(CANTIDAD[[#This Row],[Ubicación]],SAP[],4,FALSE),"")</f>
        <v>LIMPIAD.REP POLVO BAÑO SAP.450GR 24UND</v>
      </c>
      <c r="F277" s="13">
        <f>IFERROR(VLOOKUP(CANTIDAD[[#This Row],[Ubicación]],SAP[],8,FALSE),"")</f>
        <v>34</v>
      </c>
      <c r="G277" s="13" t="str">
        <f>IFERROR(VLOOKUP(CANTIDAD[[#This Row],[Ubicación]],SAP[],9,FALSE),"")</f>
        <v>CJA</v>
      </c>
      <c r="H277" s="13">
        <f>IFERROR(VLOOKUP(CANTIDAD[[#This Row],[Ubicación]],SAP[],5,FALSE),"")</f>
        <v>2608145030</v>
      </c>
      <c r="I277" s="43" t="str">
        <f>IFERROR(VLOOKUP(CANTIDAD[[#This Row],[Ubicación]],SAP[],6,FALSE),"")</f>
        <v>14/08/2029</v>
      </c>
      <c r="J277" s="13" t="str">
        <f>IFERROR(VLOOKUP(CANTIDAD[[#This Row],[Ubicación]],SAP[],7,FALSE),"")</f>
        <v>1F</v>
      </c>
      <c r="K277" s="14">
        <f>IFERROR(VLOOKUP(CANTIDAD[[#This Row],[Ubicación]],SAP[],10,FALSE),"")</f>
        <v>816</v>
      </c>
      <c r="L277" s="48">
        <f>IFERROR(VLOOKUP(CANTIDAD[[#This Row],[Producto]],MARA[],5,FALSE),"")</f>
        <v>17</v>
      </c>
      <c r="M277" s="48" t="str">
        <f>IFERROR(VLOOKUP(CANTIDAD[[#This Row],[Producto]],MARA[],4,FALSE),"")</f>
        <v>CJA</v>
      </c>
      <c r="N277" s="136" t="s">
        <v>4622</v>
      </c>
    </row>
    <row r="278" spans="1:14" hidden="1">
      <c r="A278" s="139" t="str">
        <f t="shared" si="4"/>
        <v>PASILLO 9</v>
      </c>
      <c r="B278" s="92" t="s">
        <v>3607</v>
      </c>
      <c r="C278" s="11">
        <f>IFERROR(VLOOKUP(CANTIDAD[[#This Row],[Ubicación]],SAP[],3,FALSE),"")</f>
        <v>8317002</v>
      </c>
      <c r="D278" s="29">
        <f>IFERROR(VLOOKUP(CANTIDAD[[#This Row],[Producto]],MARA[],3,FALSE),"")</f>
        <v>17751851000755</v>
      </c>
      <c r="E278" s="11" t="str">
        <f>IFERROR(VLOOKUP(CANTIDAD[[#This Row],[Ubicación]],SAP[],4,FALSE),"")</f>
        <v>LIMPIATODO FLORAL SAPOLIO 900ML 12UND</v>
      </c>
      <c r="F278" s="11">
        <f>IFERROR(VLOOKUP(CANTIDAD[[#This Row],[Ubicación]],SAP[],8,FALSE),"")</f>
        <v>60</v>
      </c>
      <c r="G278" s="11" t="str">
        <f>IFERROR(VLOOKUP(CANTIDAD[[#This Row],[Ubicación]],SAP[],9,FALSE),"")</f>
        <v>CJA</v>
      </c>
      <c r="H278" s="11">
        <f>IFERROR(VLOOKUP(CANTIDAD[[#This Row],[Ubicación]],SAP[],5,FALSE),"")</f>
        <v>2607315060</v>
      </c>
      <c r="I278" s="42" t="str">
        <f>IFERROR(VLOOKUP(CANTIDAD[[#This Row],[Ubicación]],SAP[],6,FALSE),"")</f>
        <v>31/07/2029</v>
      </c>
      <c r="J278" s="11" t="str">
        <f>IFERROR(VLOOKUP(CANTIDAD[[#This Row],[Ubicación]],SAP[],7,FALSE),"")</f>
        <v>1F</v>
      </c>
      <c r="K278" s="11">
        <f>IFERROR(VLOOKUP(CANTIDAD[[#This Row],[Ubicación]],SAP[],10,FALSE),"")</f>
        <v>720</v>
      </c>
      <c r="L278" s="48">
        <f>IFERROR(VLOOKUP(CANTIDAD[[#This Row],[Producto]],MARA[],5,FALSE),"")</f>
        <v>15</v>
      </c>
      <c r="M278" s="48" t="str">
        <f>IFERROR(VLOOKUP(CANTIDAD[[#This Row],[Producto]],MARA[],4,FALSE),"")</f>
        <v>CJA</v>
      </c>
      <c r="N278" s="136" t="s">
        <v>4623</v>
      </c>
    </row>
    <row r="279" spans="1:14" hidden="1">
      <c r="A279" s="139" t="str">
        <f t="shared" si="4"/>
        <v>PASILLO 9</v>
      </c>
      <c r="B279" s="93" t="s">
        <v>3620</v>
      </c>
      <c r="C279" s="11">
        <f>IFERROR(VLOOKUP(CANTIDAD[[#This Row],[Ubicación]],SAP[],3,FALSE),"")</f>
        <v>8317021</v>
      </c>
      <c r="D279" s="30">
        <f>IFERROR(VLOOKUP(CANTIDAD[[#This Row],[Producto]],MARA[],3,FALSE),"")</f>
        <v>17751851000816</v>
      </c>
      <c r="E279" s="13" t="str">
        <f>IFERROR(VLOOKUP(CANTIDAD[[#This Row],[Ubicación]],SAP[],4,FALSE),"")</f>
        <v>LIMPIATODO BEBE SAPOLIO 900ML 12UND</v>
      </c>
      <c r="F279" s="13">
        <f>IFERROR(VLOOKUP(CANTIDAD[[#This Row],[Ubicación]],SAP[],8,FALSE),"")</f>
        <v>48</v>
      </c>
      <c r="G279" s="13" t="str">
        <f>IFERROR(VLOOKUP(CANTIDAD[[#This Row],[Ubicación]],SAP[],9,FALSE),"")</f>
        <v>CJA</v>
      </c>
      <c r="H279" s="13">
        <f>IFERROR(VLOOKUP(CANTIDAD[[#This Row],[Ubicación]],SAP[],5,FALSE),"")</f>
        <v>2608195060</v>
      </c>
      <c r="I279" s="43" t="str">
        <f>IFERROR(VLOOKUP(CANTIDAD[[#This Row],[Ubicación]],SAP[],6,FALSE),"")</f>
        <v>19/08/2029</v>
      </c>
      <c r="J279" s="13" t="str">
        <f>IFERROR(VLOOKUP(CANTIDAD[[#This Row],[Ubicación]],SAP[],7,FALSE),"")</f>
        <v>1F</v>
      </c>
      <c r="K279" s="14">
        <f>IFERROR(VLOOKUP(CANTIDAD[[#This Row],[Ubicación]],SAP[],10,FALSE),"")</f>
        <v>576</v>
      </c>
      <c r="L279" s="48">
        <f>IFERROR(VLOOKUP(CANTIDAD[[#This Row],[Producto]],MARA[],5,FALSE),"")</f>
        <v>15</v>
      </c>
      <c r="M279" s="48" t="str">
        <f>IFERROR(VLOOKUP(CANTIDAD[[#This Row],[Producto]],MARA[],4,FALSE),"")</f>
        <v>CJA</v>
      </c>
      <c r="N279" s="136" t="s">
        <v>4624</v>
      </c>
    </row>
    <row r="280" spans="1:14" hidden="1">
      <c r="A280" s="139" t="str">
        <f t="shared" si="4"/>
        <v>PASILLO 9</v>
      </c>
      <c r="B280" s="92" t="s">
        <v>3622</v>
      </c>
      <c r="C280" s="11">
        <f>IFERROR(VLOOKUP(CANTIDAD[[#This Row],[Ubicación]],SAP[],3,FALSE),"")</f>
        <v>8317021</v>
      </c>
      <c r="D280" s="29">
        <f>IFERROR(VLOOKUP(CANTIDAD[[#This Row],[Producto]],MARA[],3,FALSE),"")</f>
        <v>17751851000816</v>
      </c>
      <c r="E280" s="11" t="str">
        <f>IFERROR(VLOOKUP(CANTIDAD[[#This Row],[Ubicación]],SAP[],4,FALSE),"")</f>
        <v>LIMPIATODO BEBE SAPOLIO 900ML 12UND</v>
      </c>
      <c r="F280" s="11">
        <f>IFERROR(VLOOKUP(CANTIDAD[[#This Row],[Ubicación]],SAP[],8,FALSE),"")</f>
        <v>60</v>
      </c>
      <c r="G280" s="11" t="str">
        <f>IFERROR(VLOOKUP(CANTIDAD[[#This Row],[Ubicación]],SAP[],9,FALSE),"")</f>
        <v>CJA</v>
      </c>
      <c r="H280" s="11">
        <f>IFERROR(VLOOKUP(CANTIDAD[[#This Row],[Ubicación]],SAP[],5,FALSE),"")</f>
        <v>2608195060</v>
      </c>
      <c r="I280" s="42" t="str">
        <f>IFERROR(VLOOKUP(CANTIDAD[[#This Row],[Ubicación]],SAP[],6,FALSE),"")</f>
        <v>19/08/2029</v>
      </c>
      <c r="J280" s="11" t="str">
        <f>IFERROR(VLOOKUP(CANTIDAD[[#This Row],[Ubicación]],SAP[],7,FALSE),"")</f>
        <v>1F</v>
      </c>
      <c r="K280" s="11">
        <f>IFERROR(VLOOKUP(CANTIDAD[[#This Row],[Ubicación]],SAP[],10,FALSE),"")</f>
        <v>720</v>
      </c>
      <c r="L280" s="48">
        <f>IFERROR(VLOOKUP(CANTIDAD[[#This Row],[Producto]],MARA[],5,FALSE),"")</f>
        <v>15</v>
      </c>
      <c r="M280" s="48" t="str">
        <f>IFERROR(VLOOKUP(CANTIDAD[[#This Row],[Producto]],MARA[],4,FALSE),"")</f>
        <v>CJA</v>
      </c>
      <c r="N280" s="136" t="s">
        <v>4625</v>
      </c>
    </row>
    <row r="281" spans="1:14" hidden="1">
      <c r="A281" s="139" t="str">
        <f t="shared" si="4"/>
        <v>PASILLO 9</v>
      </c>
      <c r="B281" s="93" t="s">
        <v>3611</v>
      </c>
      <c r="C281" s="11">
        <f>IFERROR(VLOOKUP(CANTIDAD[[#This Row],[Ubicación]],SAP[],3,FALSE),"")</f>
        <v>8317016</v>
      </c>
      <c r="D281" s="30">
        <f>IFERROR(VLOOKUP(CANTIDAD[[#This Row],[Producto]],MARA[],3,FALSE),"")</f>
        <v>17751851011089</v>
      </c>
      <c r="E281" s="13" t="str">
        <f>IFERROR(VLOOKUP(CANTIDAD[[#This Row],[Ubicación]],SAP[],4,FALSE),"")</f>
        <v>LIMPIATODO ROSAS SAPOLIO 900ML 12UND</v>
      </c>
      <c r="F281" s="13">
        <f>IFERROR(VLOOKUP(CANTIDAD[[#This Row],[Ubicación]],SAP[],8,FALSE),"")</f>
        <v>60</v>
      </c>
      <c r="G281" s="13" t="str">
        <f>IFERROR(VLOOKUP(CANTIDAD[[#This Row],[Ubicación]],SAP[],9,FALSE),"")</f>
        <v>CJA</v>
      </c>
      <c r="H281" s="13">
        <f>IFERROR(VLOOKUP(CANTIDAD[[#This Row],[Ubicación]],SAP[],5,FALSE),"")</f>
        <v>2608035060</v>
      </c>
      <c r="I281" s="43">
        <f>IFERROR(VLOOKUP(CANTIDAD[[#This Row],[Ubicación]],SAP[],6,FALSE),"")</f>
        <v>47185</v>
      </c>
      <c r="J281" s="13" t="str">
        <f>IFERROR(VLOOKUP(CANTIDAD[[#This Row],[Ubicación]],SAP[],7,FALSE),"")</f>
        <v>1F</v>
      </c>
      <c r="K281" s="14">
        <f>IFERROR(VLOOKUP(CANTIDAD[[#This Row],[Ubicación]],SAP[],10,FALSE),"")</f>
        <v>720</v>
      </c>
      <c r="L281" s="48">
        <f>IFERROR(VLOOKUP(CANTIDAD[[#This Row],[Producto]],MARA[],5,FALSE),"")</f>
        <v>15</v>
      </c>
      <c r="M281" s="48" t="str">
        <f>IFERROR(VLOOKUP(CANTIDAD[[#This Row],[Producto]],MARA[],4,FALSE),"")</f>
        <v>CJA</v>
      </c>
      <c r="N281" s="136" t="s">
        <v>4626</v>
      </c>
    </row>
    <row r="282" spans="1:14" hidden="1">
      <c r="A282" s="139" t="str">
        <f t="shared" si="4"/>
        <v>PASILLO 9</v>
      </c>
      <c r="B282" s="92" t="s">
        <v>3575</v>
      </c>
      <c r="C282" s="11">
        <f>IFERROR(VLOOKUP(CANTIDAD[[#This Row],[Ubicación]],SAP[],3,FALSE),"")</f>
        <v>8316012</v>
      </c>
      <c r="D282" s="29">
        <f>IFERROR(VLOOKUP(CANTIDAD[[#This Row],[Producto]],MARA[],3,FALSE),"")</f>
        <v>17751851015957</v>
      </c>
      <c r="E282" s="11" t="str">
        <f>IFERROR(VLOOKUP(CANTIDAD[[#This Row],[Ubicación]],SAP[],4,FALSE),"")</f>
        <v>DESINF.PINO NATURAL SAPOLIO 900ML 12UND</v>
      </c>
      <c r="F282" s="11">
        <f>IFERROR(VLOOKUP(CANTIDAD[[#This Row],[Ubicación]],SAP[],8,FALSE),"")</f>
        <v>8</v>
      </c>
      <c r="G282" s="11" t="str">
        <f>IFERROR(VLOOKUP(CANTIDAD[[#This Row],[Ubicación]],SAP[],9,FALSE),"")</f>
        <v>CJA</v>
      </c>
      <c r="H282" s="11">
        <f>IFERROR(VLOOKUP(CANTIDAD[[#This Row],[Ubicación]],SAP[],5,FALSE),"")</f>
        <v>2608035060</v>
      </c>
      <c r="I282" s="42">
        <f>IFERROR(VLOOKUP(CANTIDAD[[#This Row],[Ubicación]],SAP[],6,FALSE),"")</f>
        <v>47185</v>
      </c>
      <c r="J282" s="11" t="str">
        <f>IFERROR(VLOOKUP(CANTIDAD[[#This Row],[Ubicación]],SAP[],7,FALSE),"")</f>
        <v>1F</v>
      </c>
      <c r="K282" s="11">
        <f>IFERROR(VLOOKUP(CANTIDAD[[#This Row],[Ubicación]],SAP[],10,FALSE),"")</f>
        <v>96</v>
      </c>
      <c r="L282" s="48">
        <f>IFERROR(VLOOKUP(CANTIDAD[[#This Row],[Producto]],MARA[],5,FALSE),"")</f>
        <v>15</v>
      </c>
      <c r="M282" s="48" t="str">
        <f>IFERROR(VLOOKUP(CANTIDAD[[#This Row],[Producto]],MARA[],4,FALSE),"")</f>
        <v>CJA</v>
      </c>
      <c r="N282" s="136" t="s">
        <v>4627</v>
      </c>
    </row>
    <row r="283" spans="1:14" hidden="1">
      <c r="A283" s="139" t="str">
        <f t="shared" si="4"/>
        <v>PASILLO 9</v>
      </c>
      <c r="B283" s="93" t="s">
        <v>3573</v>
      </c>
      <c r="C283" s="11">
        <f>IFERROR(VLOOKUP(CANTIDAD[[#This Row],[Ubicación]],SAP[],3,FALSE),"")</f>
        <v>8316003</v>
      </c>
      <c r="D283" s="30">
        <f>IFERROR(VLOOKUP(CANTIDAD[[#This Row],[Producto]],MARA[],3,FALSE),"")</f>
        <v>17751851015964</v>
      </c>
      <c r="E283" s="13" t="str">
        <f>IFERROR(VLOOKUP(CANTIDAD[[#This Row],[Ubicación]],SAP[],4,FALSE),"")</f>
        <v>DESINF.LAVANDA SAPOLIO 900ML 12UND</v>
      </c>
      <c r="F283" s="13">
        <f>IFERROR(VLOOKUP(CANTIDAD[[#This Row],[Ubicación]],SAP[],8,FALSE),"")</f>
        <v>22</v>
      </c>
      <c r="G283" s="13" t="str">
        <f>IFERROR(VLOOKUP(CANTIDAD[[#This Row],[Ubicación]],SAP[],9,FALSE),"")</f>
        <v>CJA</v>
      </c>
      <c r="H283" s="13">
        <f>IFERROR(VLOOKUP(CANTIDAD[[#This Row],[Ubicación]],SAP[],5,FALSE),"")</f>
        <v>2607025060</v>
      </c>
      <c r="I283" s="43">
        <f>IFERROR(VLOOKUP(CANTIDAD[[#This Row],[Ubicación]],SAP[],6,FALSE),"")</f>
        <v>47156</v>
      </c>
      <c r="J283" s="13" t="str">
        <f>IFERROR(VLOOKUP(CANTIDAD[[#This Row],[Ubicación]],SAP[],7,FALSE),"")</f>
        <v>1F</v>
      </c>
      <c r="K283" s="14">
        <f>IFERROR(VLOOKUP(CANTIDAD[[#This Row],[Ubicación]],SAP[],10,FALSE),"")</f>
        <v>264</v>
      </c>
      <c r="L283" s="48">
        <f>IFERROR(VLOOKUP(CANTIDAD[[#This Row],[Producto]],MARA[],5,FALSE),"")</f>
        <v>15</v>
      </c>
      <c r="M283" s="48" t="str">
        <f>IFERROR(VLOOKUP(CANTIDAD[[#This Row],[Producto]],MARA[],4,FALSE),"")</f>
        <v>CJA</v>
      </c>
      <c r="N283" s="136" t="s">
        <v>4628</v>
      </c>
    </row>
    <row r="284" spans="1:14" hidden="1">
      <c r="A284" s="139" t="str">
        <f t="shared" si="4"/>
        <v>PASILLO 9</v>
      </c>
      <c r="B284" s="92" t="s">
        <v>3609</v>
      </c>
      <c r="C284" s="11">
        <f>IFERROR(VLOOKUP(CANTIDAD[[#This Row],[Ubicación]],SAP[],3,FALSE),"")</f>
        <v>8317014</v>
      </c>
      <c r="D284" s="29">
        <f>IFERROR(VLOOKUP(CANTIDAD[[#This Row],[Producto]],MARA[],3,FALSE),"")</f>
        <v>17751851000748</v>
      </c>
      <c r="E284" s="11" t="str">
        <f>IFERROR(VLOOKUP(CANTIDAD[[#This Row],[Ubicación]],SAP[],4,FALSE),"")</f>
        <v>LIMPIATODO LAVANDA SAPOLIO 900ML 12UND</v>
      </c>
      <c r="F284" s="11">
        <f>IFERROR(VLOOKUP(CANTIDAD[[#This Row],[Ubicación]],SAP[],8,FALSE),"")</f>
        <v>1</v>
      </c>
      <c r="G284" s="11" t="str">
        <f>IFERROR(VLOOKUP(CANTIDAD[[#This Row],[Ubicación]],SAP[],9,FALSE),"")</f>
        <v>CJA</v>
      </c>
      <c r="H284" s="11">
        <f>IFERROR(VLOOKUP(CANTIDAD[[#This Row],[Ubicación]],SAP[],5,FALSE),"")</f>
        <v>2608145060</v>
      </c>
      <c r="I284" s="42" t="str">
        <f>IFERROR(VLOOKUP(CANTIDAD[[#This Row],[Ubicación]],SAP[],6,FALSE),"")</f>
        <v>14/08/2029</v>
      </c>
      <c r="J284" s="11" t="str">
        <f>IFERROR(VLOOKUP(CANTIDAD[[#This Row],[Ubicación]],SAP[],7,FALSE),"")</f>
        <v>1F</v>
      </c>
      <c r="K284" s="11">
        <f>IFERROR(VLOOKUP(CANTIDAD[[#This Row],[Ubicación]],SAP[],10,FALSE),"")</f>
        <v>12</v>
      </c>
      <c r="L284" s="48">
        <f>IFERROR(VLOOKUP(CANTIDAD[[#This Row],[Producto]],MARA[],5,FALSE),"")</f>
        <v>15</v>
      </c>
      <c r="M284" s="48" t="str">
        <f>IFERROR(VLOOKUP(CANTIDAD[[#This Row],[Producto]],MARA[],4,FALSE),"")</f>
        <v>CJA</v>
      </c>
      <c r="N284" s="136" t="s">
        <v>4629</v>
      </c>
    </row>
    <row r="285" spans="1:14" hidden="1">
      <c r="A285" s="139" t="str">
        <f t="shared" si="4"/>
        <v>PASILLO 9</v>
      </c>
      <c r="B285" s="93" t="s">
        <v>3613</v>
      </c>
      <c r="C285" s="11">
        <f>IFERROR(VLOOKUP(CANTIDAD[[#This Row],[Ubicación]],SAP[],3,FALSE),"")</f>
        <v>8317018</v>
      </c>
      <c r="D285" s="30">
        <f>IFERROR(VLOOKUP(CANTIDAD[[#This Row],[Producto]],MARA[],3,FALSE),"")</f>
        <v>17751851000762</v>
      </c>
      <c r="E285" s="13" t="str">
        <f>IFERROR(VLOOKUP(CANTIDAD[[#This Row],[Ubicación]],SAP[],4,FALSE),"")</f>
        <v>LIMPIATODO MANZANA SAPOLIO 900ML 12UND</v>
      </c>
      <c r="F285" s="13">
        <f>IFERROR(VLOOKUP(CANTIDAD[[#This Row],[Ubicación]],SAP[],8,FALSE),"")</f>
        <v>56</v>
      </c>
      <c r="G285" s="13" t="str">
        <f>IFERROR(VLOOKUP(CANTIDAD[[#This Row],[Ubicación]],SAP[],9,FALSE),"")</f>
        <v>CJA</v>
      </c>
      <c r="H285" s="13">
        <f>IFERROR(VLOOKUP(CANTIDAD[[#This Row],[Ubicación]],SAP[],5,FALSE),"")</f>
        <v>2608205060</v>
      </c>
      <c r="I285" s="43" t="str">
        <f>IFERROR(VLOOKUP(CANTIDAD[[#This Row],[Ubicación]],SAP[],6,FALSE),"")</f>
        <v>20/08/2029</v>
      </c>
      <c r="J285" s="13" t="str">
        <f>IFERROR(VLOOKUP(CANTIDAD[[#This Row],[Ubicación]],SAP[],7,FALSE),"")</f>
        <v>1F</v>
      </c>
      <c r="K285" s="14">
        <f>IFERROR(VLOOKUP(CANTIDAD[[#This Row],[Ubicación]],SAP[],10,FALSE),"")</f>
        <v>672</v>
      </c>
      <c r="L285" s="48">
        <f>IFERROR(VLOOKUP(CANTIDAD[[#This Row],[Producto]],MARA[],5,FALSE),"")</f>
        <v>15</v>
      </c>
      <c r="M285" s="48" t="str">
        <f>IFERROR(VLOOKUP(CANTIDAD[[#This Row],[Producto]],MARA[],4,FALSE),"")</f>
        <v>CJA</v>
      </c>
      <c r="N285" s="136" t="s">
        <v>4630</v>
      </c>
    </row>
    <row r="286" spans="1:14" hidden="1">
      <c r="A286" s="139" t="str">
        <f t="shared" si="4"/>
        <v>PASILLO 9</v>
      </c>
      <c r="B286" s="92" t="s">
        <v>3487</v>
      </c>
      <c r="C286" s="11">
        <f>IFERROR(VLOOKUP(CANTIDAD[[#This Row],[Ubicación]],SAP[],3,FALSE),"")</f>
        <v>8312017</v>
      </c>
      <c r="D286" s="29">
        <f>IFERROR(VLOOKUP(CANTIDAD[[#This Row],[Producto]],MARA[],3,FALSE),"")</f>
        <v>17751851012956</v>
      </c>
      <c r="E286" s="11" t="str">
        <f>IFERROR(VLOOKUP(CANTIDAD[[#This Row],[Ubicación]],SAP[],4,FALSE),"")</f>
        <v>CERA AUTOB. NEUTRAL SAPOLIO 300ML 36UND</v>
      </c>
      <c r="F286" s="11">
        <f>IFERROR(VLOOKUP(CANTIDAD[[#This Row],[Ubicación]],SAP[],8,FALSE),"")</f>
        <v>4</v>
      </c>
      <c r="G286" s="11" t="str">
        <f>IFERROR(VLOOKUP(CANTIDAD[[#This Row],[Ubicación]],SAP[],9,FALSE),"")</f>
        <v>CJA</v>
      </c>
      <c r="H286" s="11">
        <f>IFERROR(VLOOKUP(CANTIDAD[[#This Row],[Ubicación]],SAP[],5,FALSE),"")</f>
        <v>2607225060</v>
      </c>
      <c r="I286" s="42" t="str">
        <f>IFERROR(VLOOKUP(CANTIDAD[[#This Row],[Ubicación]],SAP[],6,FALSE),"")</f>
        <v>22/07/2029</v>
      </c>
      <c r="J286" s="11" t="str">
        <f>IFERROR(VLOOKUP(CANTIDAD[[#This Row],[Ubicación]],SAP[],7,FALSE),"")</f>
        <v>1F</v>
      </c>
      <c r="K286" s="11">
        <f>IFERROR(VLOOKUP(CANTIDAD[[#This Row],[Ubicación]],SAP[],10,FALSE),"")</f>
        <v>144</v>
      </c>
      <c r="L286" s="48">
        <f>IFERROR(VLOOKUP(CANTIDAD[[#This Row],[Producto]],MARA[],5,FALSE),"")</f>
        <v>14</v>
      </c>
      <c r="M286" s="48" t="str">
        <f>IFERROR(VLOOKUP(CANTIDAD[[#This Row],[Producto]],MARA[],4,FALSE),"")</f>
        <v>CJA</v>
      </c>
      <c r="N286" s="136" t="s">
        <v>4631</v>
      </c>
    </row>
    <row r="287" spans="1:14" hidden="1">
      <c r="A287" s="139" t="str">
        <f t="shared" si="4"/>
        <v>PASILLO 9</v>
      </c>
      <c r="B287" s="93" t="s">
        <v>3485</v>
      </c>
      <c r="C287" s="11">
        <f>IFERROR(VLOOKUP(CANTIDAD[[#This Row],[Ubicación]],SAP[],3,FALSE),"")</f>
        <v>8312016</v>
      </c>
      <c r="D287" s="30">
        <f>IFERROR(VLOOKUP(CANTIDAD[[#This Row],[Producto]],MARA[],3,FALSE),"")</f>
        <v>17751851013885</v>
      </c>
      <c r="E287" s="13" t="str">
        <f>IFERROR(VLOOKUP(CANTIDAD[[#This Row],[Ubicación]],SAP[],4,FALSE),"")</f>
        <v>CERA AUTOB. ROJA SAPOLIO 300ML 36UND</v>
      </c>
      <c r="F287" s="13">
        <f>IFERROR(VLOOKUP(CANTIDAD[[#This Row],[Ubicación]],SAP[],8,FALSE),"")</f>
        <v>48</v>
      </c>
      <c r="G287" s="13" t="str">
        <f>IFERROR(VLOOKUP(CANTIDAD[[#This Row],[Ubicación]],SAP[],9,FALSE),"")</f>
        <v>CJA</v>
      </c>
      <c r="H287" s="13">
        <f>IFERROR(VLOOKUP(CANTIDAD[[#This Row],[Ubicación]],SAP[],5,FALSE),"")</f>
        <v>2509115010</v>
      </c>
      <c r="I287" s="43">
        <f>IFERROR(VLOOKUP(CANTIDAD[[#This Row],[Ubicación]],SAP[],6,FALSE),"")</f>
        <v>47066</v>
      </c>
      <c r="J287" s="13" t="str">
        <f>IFERROR(VLOOKUP(CANTIDAD[[#This Row],[Ubicación]],SAP[],7,FALSE),"")</f>
        <v>1F</v>
      </c>
      <c r="K287" s="18">
        <f>IFERROR(VLOOKUP(CANTIDAD[[#This Row],[Ubicación]],SAP[],10,FALSE),"")</f>
        <v>1728</v>
      </c>
      <c r="L287" s="48">
        <f>IFERROR(VLOOKUP(CANTIDAD[[#This Row],[Producto]],MARA[],5,FALSE),"")</f>
        <v>14</v>
      </c>
      <c r="M287" s="48" t="str">
        <f>IFERROR(VLOOKUP(CANTIDAD[[#This Row],[Producto]],MARA[],4,FALSE),"")</f>
        <v>CJA</v>
      </c>
      <c r="N287" s="136" t="s">
        <v>4632</v>
      </c>
    </row>
    <row r="288" spans="1:14" hidden="1">
      <c r="A288" s="139" t="str">
        <f t="shared" si="4"/>
        <v>PASILLO 9</v>
      </c>
      <c r="B288" s="92" t="s">
        <v>3642</v>
      </c>
      <c r="C288" s="11">
        <f>IFERROR(VLOOKUP(CANTIDAD[[#This Row],[Ubicación]],SAP[],3,FALSE),"")</f>
        <v>8317105</v>
      </c>
      <c r="D288" s="29">
        <f>IFERROR(VLOOKUP(CANTIDAD[[#This Row],[Producto]],MARA[],3,FALSE),"")</f>
        <v>17750243064474</v>
      </c>
      <c r="E288" s="11" t="str">
        <f>IFERROR(VLOOKUP(CANTIDAD[[#This Row],[Ubicación]],SAP[],4,FALSE),"")</f>
        <v>LIMPIATODO SAPOL.FLORAL 900ML 12FCO EXP</v>
      </c>
      <c r="F288" s="11">
        <f>IFERROR(VLOOKUP(CANTIDAD[[#This Row],[Ubicación]],SAP[],8,FALSE),"")</f>
        <v>29</v>
      </c>
      <c r="G288" s="11" t="str">
        <f>IFERROR(VLOOKUP(CANTIDAD[[#This Row],[Ubicación]],SAP[],9,FALSE),"")</f>
        <v>CJA</v>
      </c>
      <c r="H288" s="11">
        <f>IFERROR(VLOOKUP(CANTIDAD[[#This Row],[Ubicación]],SAP[],5,FALSE),"")</f>
        <v>2606165060</v>
      </c>
      <c r="I288" s="42" t="str">
        <f>IFERROR(VLOOKUP(CANTIDAD[[#This Row],[Ubicación]],SAP[],6,FALSE),"")</f>
        <v>16/06/2029</v>
      </c>
      <c r="J288" s="11" t="str">
        <f>IFERROR(VLOOKUP(CANTIDAD[[#This Row],[Ubicación]],SAP[],7,FALSE),"")</f>
        <v>1F</v>
      </c>
      <c r="K288" s="11">
        <f>IFERROR(VLOOKUP(CANTIDAD[[#This Row],[Ubicación]],SAP[],10,FALSE),"")</f>
        <v>348</v>
      </c>
      <c r="L288" s="48">
        <f>IFERROR(VLOOKUP(CANTIDAD[[#This Row],[Producto]],MARA[],5,FALSE),"")</f>
        <v>15</v>
      </c>
      <c r="M288" s="48" t="str">
        <f>IFERROR(VLOOKUP(CANTIDAD[[#This Row],[Producto]],MARA[],4,FALSE),"")</f>
        <v>CJA</v>
      </c>
      <c r="N288" s="136" t="s">
        <v>4633</v>
      </c>
    </row>
    <row r="289" spans="1:14" hidden="1">
      <c r="A289" s="139" t="str">
        <f t="shared" si="4"/>
        <v>PASILLO 9</v>
      </c>
      <c r="B289" s="93" t="s">
        <v>3571</v>
      </c>
      <c r="C289" s="11">
        <f>IFERROR(VLOOKUP(CANTIDAD[[#This Row],[Ubicación]],SAP[],3,FALSE),"")</f>
        <v>8315154</v>
      </c>
      <c r="D289" s="30">
        <f>IFERROR(VLOOKUP(CANTIDAD[[#This Row],[Producto]],MARA[],3,FALSE),"")</f>
        <v>27750243086725</v>
      </c>
      <c r="E289" s="13" t="str">
        <f>IFERROR(VLOOKUP(CANTIDAD[[#This Row],[Ubicación]],SAP[],4,FALSE),"")</f>
        <v>SAP PROF EVOLUTION GRASFORT 1.8L 6UND</v>
      </c>
      <c r="F289" s="13">
        <f>IFERROR(VLOOKUP(CANTIDAD[[#This Row],[Ubicación]],SAP[],8,FALSE),"")</f>
        <v>22</v>
      </c>
      <c r="G289" s="13" t="str">
        <f>IFERROR(VLOOKUP(CANTIDAD[[#This Row],[Ubicación]],SAP[],9,FALSE),"")</f>
        <v>CJA</v>
      </c>
      <c r="H289" s="13">
        <f>IFERROR(VLOOKUP(CANTIDAD[[#This Row],[Ubicación]],SAP[],5,FALSE),"")</f>
        <v>2608125060</v>
      </c>
      <c r="I289" s="43">
        <f>IFERROR(VLOOKUP(CANTIDAD[[#This Row],[Ubicación]],SAP[],6,FALSE),"")</f>
        <v>47095</v>
      </c>
      <c r="J289" s="13" t="str">
        <f>IFERROR(VLOOKUP(CANTIDAD[[#This Row],[Ubicación]],SAP[],7,FALSE),"")</f>
        <v>1F</v>
      </c>
      <c r="K289" s="14">
        <f>IFERROR(VLOOKUP(CANTIDAD[[#This Row],[Ubicación]],SAP[],10,FALSE),"")</f>
        <v>132</v>
      </c>
      <c r="L289" s="48">
        <f>IFERROR(VLOOKUP(CANTIDAD[[#This Row],[Producto]],MARA[],5,FALSE),"")</f>
        <v>10</v>
      </c>
      <c r="M289" s="48" t="str">
        <f>IFERROR(VLOOKUP(CANTIDAD[[#This Row],[Producto]],MARA[],4,FALSE),"")</f>
        <v>CJA</v>
      </c>
      <c r="N289" s="136" t="s">
        <v>4634</v>
      </c>
    </row>
    <row r="290" spans="1:14" hidden="1">
      <c r="A290" s="139" t="str">
        <f t="shared" si="4"/>
        <v>PASILLO 9</v>
      </c>
      <c r="B290" s="92" t="s">
        <v>3628</v>
      </c>
      <c r="C290" s="11">
        <f>IFERROR(VLOOKUP(CANTIDAD[[#This Row],[Ubicación]],SAP[],3,FALSE),"")</f>
        <v>8317029</v>
      </c>
      <c r="D290" s="29">
        <f>IFERROR(VLOOKUP(CANTIDAD[[#This Row],[Producto]],MARA[],3,FALSE),"")</f>
        <v>17751851012284</v>
      </c>
      <c r="E290" s="11" t="str">
        <f>IFERROR(VLOOKUP(CANTIDAD[[#This Row],[Ubicación]],SAP[],4,FALSE),"")</f>
        <v>LIMPIATODO BEBE SAPOLIO 1800ML 6UND</v>
      </c>
      <c r="F290" s="11">
        <f>IFERROR(VLOOKUP(CANTIDAD[[#This Row],[Ubicación]],SAP[],8,FALSE),"")</f>
        <v>39</v>
      </c>
      <c r="G290" s="11" t="str">
        <f>IFERROR(VLOOKUP(CANTIDAD[[#This Row],[Ubicación]],SAP[],9,FALSE),"")</f>
        <v>CJA</v>
      </c>
      <c r="H290" s="11">
        <f>IFERROR(VLOOKUP(CANTIDAD[[#This Row],[Ubicación]],SAP[],5,FALSE),"")</f>
        <v>2608055060</v>
      </c>
      <c r="I290" s="42">
        <f>IFERROR(VLOOKUP(CANTIDAD[[#This Row],[Ubicación]],SAP[],6,FALSE),"")</f>
        <v>47246</v>
      </c>
      <c r="J290" s="11" t="str">
        <f>IFERROR(VLOOKUP(CANTIDAD[[#This Row],[Ubicación]],SAP[],7,FALSE),"")</f>
        <v>1F</v>
      </c>
      <c r="K290" s="11">
        <f>IFERROR(VLOOKUP(CANTIDAD[[#This Row],[Ubicación]],SAP[],10,FALSE),"")</f>
        <v>234</v>
      </c>
      <c r="L290" s="48">
        <f>IFERROR(VLOOKUP(CANTIDAD[[#This Row],[Producto]],MARA[],5,FALSE),"")</f>
        <v>16</v>
      </c>
      <c r="M290" s="48" t="str">
        <f>IFERROR(VLOOKUP(CANTIDAD[[#This Row],[Producto]],MARA[],4,FALSE),"")</f>
        <v>CJA</v>
      </c>
      <c r="N290" s="136" t="s">
        <v>4635</v>
      </c>
    </row>
    <row r="291" spans="1:14" hidden="1">
      <c r="A291" s="139" t="str">
        <f t="shared" si="4"/>
        <v>PASILLO 9</v>
      </c>
      <c r="B291" s="93" t="s">
        <v>3636</v>
      </c>
      <c r="C291" s="11">
        <f>IFERROR(VLOOKUP(CANTIDAD[[#This Row],[Ubicación]],SAP[],3,FALSE),"")</f>
        <v>8317093</v>
      </c>
      <c r="D291" s="30">
        <f>IFERROR(VLOOKUP(CANTIDAD[[#This Row],[Producto]],MARA[],3,FALSE),"")</f>
        <v>17750243060650</v>
      </c>
      <c r="E291" s="13" t="str">
        <f>IFERROR(VLOOKUP(CANTIDAD[[#This Row],[Ubicación]],SAP[],4,FALSE),"")</f>
        <v>LIMPIATODO PROF.SAP. LAVANDA 1.8L 6UND</v>
      </c>
      <c r="F291" s="13">
        <f>IFERROR(VLOOKUP(CANTIDAD[[#This Row],[Ubicación]],SAP[],8,FALSE),"")</f>
        <v>3</v>
      </c>
      <c r="G291" s="13" t="str">
        <f>IFERROR(VLOOKUP(CANTIDAD[[#This Row],[Ubicación]],SAP[],9,FALSE),"")</f>
        <v>CJA</v>
      </c>
      <c r="H291" s="13">
        <f>IFERROR(VLOOKUP(CANTIDAD[[#This Row],[Ubicación]],SAP[],5,FALSE),"")</f>
        <v>2608045060</v>
      </c>
      <c r="I291" s="43">
        <f>IFERROR(VLOOKUP(CANTIDAD[[#This Row],[Ubicación]],SAP[],6,FALSE),"")</f>
        <v>47216</v>
      </c>
      <c r="J291" s="13" t="str">
        <f>IFERROR(VLOOKUP(CANTIDAD[[#This Row],[Ubicación]],SAP[],7,FALSE),"")</f>
        <v>1F</v>
      </c>
      <c r="K291" s="14">
        <f>IFERROR(VLOOKUP(CANTIDAD[[#This Row],[Ubicación]],SAP[],10,FALSE),"")</f>
        <v>18</v>
      </c>
      <c r="L291" s="48">
        <f>IFERROR(VLOOKUP(CANTIDAD[[#This Row],[Producto]],MARA[],5,FALSE),"")</f>
        <v>16</v>
      </c>
      <c r="M291" s="48" t="str">
        <f>IFERROR(VLOOKUP(CANTIDAD[[#This Row],[Producto]],MARA[],4,FALSE),"")</f>
        <v>CJA</v>
      </c>
      <c r="N291" s="136" t="s">
        <v>4636</v>
      </c>
    </row>
    <row r="292" spans="1:14" hidden="1">
      <c r="A292" s="139" t="str">
        <f t="shared" si="4"/>
        <v>PASILLO 9</v>
      </c>
      <c r="B292" s="92" t="s">
        <v>3579</v>
      </c>
      <c r="C292" s="11">
        <f>IFERROR(VLOOKUP(CANTIDAD[[#This Row],[Ubicación]],SAP[],3,FALSE),"")</f>
        <v>8316018</v>
      </c>
      <c r="D292" s="29">
        <f>IFERROR(VLOOKUP(CANTIDAD[[#This Row],[Producto]],MARA[],3,FALSE),"")</f>
        <v>17751851012321</v>
      </c>
      <c r="E292" s="11" t="str">
        <f>IFERROR(VLOOKUP(CANTIDAD[[#This Row],[Ubicación]],SAP[],4,FALSE),"")</f>
        <v>DESINF.LAVANDA SAPOLIO 1800ML 6UND</v>
      </c>
      <c r="F292" s="11">
        <f>IFERROR(VLOOKUP(CANTIDAD[[#This Row],[Ubicación]],SAP[],8,FALSE),"")</f>
        <v>43</v>
      </c>
      <c r="G292" s="11" t="str">
        <f>IFERROR(VLOOKUP(CANTIDAD[[#This Row],[Ubicación]],SAP[],9,FALSE),"")</f>
        <v>CJA</v>
      </c>
      <c r="H292" s="11">
        <f>IFERROR(VLOOKUP(CANTIDAD[[#This Row],[Ubicación]],SAP[],5,FALSE),"")</f>
        <v>2608075060</v>
      </c>
      <c r="I292" s="42">
        <f>IFERROR(VLOOKUP(CANTIDAD[[#This Row],[Ubicación]],SAP[],6,FALSE),"")</f>
        <v>47307</v>
      </c>
      <c r="J292" s="11" t="str">
        <f>IFERROR(VLOOKUP(CANTIDAD[[#This Row],[Ubicación]],SAP[],7,FALSE),"")</f>
        <v>1F</v>
      </c>
      <c r="K292" s="11">
        <f>IFERROR(VLOOKUP(CANTIDAD[[#This Row],[Ubicación]],SAP[],10,FALSE),"")</f>
        <v>258</v>
      </c>
      <c r="L292" s="48">
        <f>IFERROR(VLOOKUP(CANTIDAD[[#This Row],[Producto]],MARA[],5,FALSE),"")</f>
        <v>16</v>
      </c>
      <c r="M292" s="48" t="str">
        <f>IFERROR(VLOOKUP(CANTIDAD[[#This Row],[Producto]],MARA[],4,FALSE),"")</f>
        <v>CJA</v>
      </c>
      <c r="N292" s="136" t="s">
        <v>4637</v>
      </c>
    </row>
    <row r="293" spans="1:14" hidden="1">
      <c r="A293" s="139" t="str">
        <f t="shared" si="4"/>
        <v>PASILLO 9</v>
      </c>
      <c r="B293" s="93" t="s">
        <v>3646</v>
      </c>
      <c r="C293" s="11">
        <f>IFERROR(VLOOKUP(CANTIDAD[[#This Row],[Ubicación]],SAP[],3,FALSE),"")</f>
        <v>8317150</v>
      </c>
      <c r="D293" s="30">
        <f>IFERROR(VLOOKUP(CANTIDAD[[#This Row],[Producto]],MARA[],3,FALSE),"")</f>
        <v>17750243066737</v>
      </c>
      <c r="E293" s="13" t="str">
        <f>IFERROR(VLOOKUP(CANTIDAD[[#This Row],[Ubicación]],SAP[],4,FALSE),"")</f>
        <v>LIMPIATODO SAPOLIO AB COCO 900ML 12UND</v>
      </c>
      <c r="F293" s="13">
        <f>IFERROR(VLOOKUP(CANTIDAD[[#This Row],[Ubicación]],SAP[],8,FALSE),"")</f>
        <v>22</v>
      </c>
      <c r="G293" s="13" t="str">
        <f>IFERROR(VLOOKUP(CANTIDAD[[#This Row],[Ubicación]],SAP[],9,FALSE),"")</f>
        <v>CJA</v>
      </c>
      <c r="H293" s="13">
        <f>IFERROR(VLOOKUP(CANTIDAD[[#This Row],[Ubicación]],SAP[],5,FALSE),"")</f>
        <v>2608055060</v>
      </c>
      <c r="I293" s="43">
        <f>IFERROR(VLOOKUP(CANTIDAD[[#This Row],[Ubicación]],SAP[],6,FALSE),"")</f>
        <v>47246</v>
      </c>
      <c r="J293" s="13" t="str">
        <f>IFERROR(VLOOKUP(CANTIDAD[[#This Row],[Ubicación]],SAP[],7,FALSE),"")</f>
        <v>1F</v>
      </c>
      <c r="K293" s="14">
        <f>IFERROR(VLOOKUP(CANTIDAD[[#This Row],[Ubicación]],SAP[],10,FALSE),"")</f>
        <v>264</v>
      </c>
      <c r="L293" s="48">
        <f>IFERROR(VLOOKUP(CANTIDAD[[#This Row],[Producto]],MARA[],5,FALSE),"")</f>
        <v>15</v>
      </c>
      <c r="M293" s="48" t="str">
        <f>IFERROR(VLOOKUP(CANTIDAD[[#This Row],[Producto]],MARA[],4,FALSE),"")</f>
        <v>CJA</v>
      </c>
      <c r="N293" s="136" t="s">
        <v>4638</v>
      </c>
    </row>
    <row r="294" spans="1:14" hidden="1">
      <c r="A294" s="139" t="str">
        <f t="shared" si="4"/>
        <v>PASILLO 9</v>
      </c>
      <c r="B294" s="92" t="s">
        <v>3648</v>
      </c>
      <c r="C294" s="11">
        <f>IFERROR(VLOOKUP(CANTIDAD[[#This Row],[Ubicación]],SAP[],3,FALSE),"")</f>
        <v>8317151</v>
      </c>
      <c r="D294" s="29">
        <f>IFERROR(VLOOKUP(CANTIDAD[[#This Row],[Producto]],MARA[],3,FALSE),"")</f>
        <v>17750243066744</v>
      </c>
      <c r="E294" s="11" t="str">
        <f>IFERROR(VLOOKUP(CANTIDAD[[#This Row],[Ubicación]],SAP[],4,FALSE),"")</f>
        <v>LIMPIATODO SAPOLIO AB MELON 900ML 12UND</v>
      </c>
      <c r="F294" s="11">
        <f>IFERROR(VLOOKUP(CANTIDAD[[#This Row],[Ubicación]],SAP[],8,FALSE),"")</f>
        <v>45</v>
      </c>
      <c r="G294" s="11" t="str">
        <f>IFERROR(VLOOKUP(CANTIDAD[[#This Row],[Ubicación]],SAP[],9,FALSE),"")</f>
        <v>CJA</v>
      </c>
      <c r="H294" s="11">
        <f>IFERROR(VLOOKUP(CANTIDAD[[#This Row],[Ubicación]],SAP[],5,FALSE),"")</f>
        <v>2608065060</v>
      </c>
      <c r="I294" s="42">
        <f>IFERROR(VLOOKUP(CANTIDAD[[#This Row],[Ubicación]],SAP[],6,FALSE),"")</f>
        <v>47277</v>
      </c>
      <c r="J294" s="11" t="str">
        <f>IFERROR(VLOOKUP(CANTIDAD[[#This Row],[Ubicación]],SAP[],7,FALSE),"")</f>
        <v>1F</v>
      </c>
      <c r="K294" s="11">
        <f>IFERROR(VLOOKUP(CANTIDAD[[#This Row],[Ubicación]],SAP[],10,FALSE),"")</f>
        <v>540</v>
      </c>
      <c r="L294" s="48">
        <f>IFERROR(VLOOKUP(CANTIDAD[[#This Row],[Producto]],MARA[],5,FALSE),"")</f>
        <v>15</v>
      </c>
      <c r="M294" s="48" t="str">
        <f>IFERROR(VLOOKUP(CANTIDAD[[#This Row],[Producto]],MARA[],4,FALSE),"")</f>
        <v>CJA</v>
      </c>
      <c r="N294" s="136" t="s">
        <v>4639</v>
      </c>
    </row>
    <row r="295" spans="1:14" hidden="1">
      <c r="A295" s="139" t="str">
        <f t="shared" si="4"/>
        <v>PASILLO 10</v>
      </c>
      <c r="B295" s="93" t="s">
        <v>3547</v>
      </c>
      <c r="C295" s="11">
        <f>IFERROR(VLOOKUP(CANTIDAD[[#This Row],[Ubicación]],SAP[],3,FALSE),"")</f>
        <v>8315046</v>
      </c>
      <c r="D295" s="30">
        <f>IFERROR(VLOOKUP(CANTIDAD[[#This Row],[Producto]],MARA[],3,FALSE),"")</f>
        <v>27751851009960</v>
      </c>
      <c r="E295" s="13" t="str">
        <f>IFERROR(VLOOKUP(CANTIDAD[[#This Row],[Ubicación]],SAP[],4,FALSE),"")</f>
        <v>SACAGRASA NARANJA SAPOLIO GT 650ML 12UND</v>
      </c>
      <c r="F295" s="13">
        <f>IFERROR(VLOOKUP(CANTIDAD[[#This Row],[Ubicación]],SAP[],8,FALSE),"")</f>
        <v>28</v>
      </c>
      <c r="G295" s="13" t="str">
        <f>IFERROR(VLOOKUP(CANTIDAD[[#This Row],[Ubicación]],SAP[],9,FALSE),"")</f>
        <v>CJA</v>
      </c>
      <c r="H295" s="13">
        <f>IFERROR(VLOOKUP(CANTIDAD[[#This Row],[Ubicación]],SAP[],5,FALSE),"")</f>
        <v>2607245060</v>
      </c>
      <c r="I295" s="43" t="str">
        <f>IFERROR(VLOOKUP(CANTIDAD[[#This Row],[Ubicación]],SAP[],6,FALSE),"")</f>
        <v>24/07/2029</v>
      </c>
      <c r="J295" s="13" t="str">
        <f>IFERROR(VLOOKUP(CANTIDAD[[#This Row],[Ubicación]],SAP[],7,FALSE),"")</f>
        <v>1F</v>
      </c>
      <c r="K295" s="14">
        <f>IFERROR(VLOOKUP(CANTIDAD[[#This Row],[Ubicación]],SAP[],10,FALSE),"")</f>
        <v>336</v>
      </c>
      <c r="L295" s="48">
        <f>IFERROR(VLOOKUP(CANTIDAD[[#This Row],[Producto]],MARA[],5,FALSE),"")</f>
        <v>15</v>
      </c>
      <c r="M295" s="48" t="str">
        <f>IFERROR(VLOOKUP(CANTIDAD[[#This Row],[Producto]],MARA[],4,FALSE),"")</f>
        <v>CJA</v>
      </c>
      <c r="N295" s="136" t="s">
        <v>4640</v>
      </c>
    </row>
    <row r="296" spans="1:14" hidden="1">
      <c r="A296" s="139" t="str">
        <f t="shared" si="4"/>
        <v>PASILLO 10</v>
      </c>
      <c r="B296" s="92" t="s">
        <v>3479</v>
      </c>
      <c r="C296" s="11">
        <f>IFERROR(VLOOKUP(CANTIDAD[[#This Row],[Ubicación]],SAP[],3,FALSE),"")</f>
        <v>8312007</v>
      </c>
      <c r="D296" s="29">
        <f>IFERROR(VLOOKUP(CANTIDAD[[#This Row],[Producto]],MARA[],3,FALSE),"")</f>
        <v>17751851012758</v>
      </c>
      <c r="E296" s="11" t="str">
        <f>IFERROR(VLOOKUP(CANTIDAD[[#This Row],[Ubicación]],SAP[],4,FALSE),"")</f>
        <v>CERA PASTA NEUTRAL SAPOLIO 300ML 36UND</v>
      </c>
      <c r="F296" s="11">
        <f>IFERROR(VLOOKUP(CANTIDAD[[#This Row],[Ubicación]],SAP[],8,FALSE),"")</f>
        <v>19</v>
      </c>
      <c r="G296" s="11" t="str">
        <f>IFERROR(VLOOKUP(CANTIDAD[[#This Row],[Ubicación]],SAP[],9,FALSE),"")</f>
        <v>CJA</v>
      </c>
      <c r="H296" s="11">
        <f>IFERROR(VLOOKUP(CANTIDAD[[#This Row],[Ubicación]],SAP[],5,FALSE),"")</f>
        <v>2606165060</v>
      </c>
      <c r="I296" s="42" t="str">
        <f>IFERROR(VLOOKUP(CANTIDAD[[#This Row],[Ubicación]],SAP[],6,FALSE),"")</f>
        <v>16/06/2029</v>
      </c>
      <c r="J296" s="11" t="str">
        <f>IFERROR(VLOOKUP(CANTIDAD[[#This Row],[Ubicación]],SAP[],7,FALSE),"")</f>
        <v>1F</v>
      </c>
      <c r="K296" s="11">
        <f>IFERROR(VLOOKUP(CANTIDAD[[#This Row],[Ubicación]],SAP[],10,FALSE),"")</f>
        <v>684</v>
      </c>
      <c r="L296" s="48">
        <f>IFERROR(VLOOKUP(CANTIDAD[[#This Row],[Producto]],MARA[],5,FALSE),"")</f>
        <v>14</v>
      </c>
      <c r="M296" s="48" t="str">
        <f>IFERROR(VLOOKUP(CANTIDAD[[#This Row],[Producto]],MARA[],4,FALSE),"")</f>
        <v>CJA</v>
      </c>
      <c r="N296" s="136" t="s">
        <v>4641</v>
      </c>
    </row>
    <row r="297" spans="1:14" hidden="1">
      <c r="A297" s="139" t="str">
        <f t="shared" si="4"/>
        <v>PASILLO 10</v>
      </c>
      <c r="B297" s="93" t="s">
        <v>3473</v>
      </c>
      <c r="C297" s="11">
        <f>IFERROR(VLOOKUP(CANTIDAD[[#This Row],[Ubicación]],SAP[],3,FALSE),"")</f>
        <v>8312005</v>
      </c>
      <c r="D297" s="30">
        <f>IFERROR(VLOOKUP(CANTIDAD[[#This Row],[Producto]],MARA[],3,FALSE),"")</f>
        <v>17751851013519</v>
      </c>
      <c r="E297" s="13" t="str">
        <f>IFERROR(VLOOKUP(CANTIDAD[[#This Row],[Ubicación]],SAP[],4,FALSE),"")</f>
        <v>CERA PASTA AMARILLA SAPOLIO 300ML 36UND</v>
      </c>
      <c r="F297" s="13">
        <f>IFERROR(VLOOKUP(CANTIDAD[[#This Row],[Ubicación]],SAP[],8,FALSE),"")</f>
        <v>13</v>
      </c>
      <c r="G297" s="13" t="str">
        <f>IFERROR(VLOOKUP(CANTIDAD[[#This Row],[Ubicación]],SAP[],9,FALSE),"")</f>
        <v>CJA</v>
      </c>
      <c r="H297" s="13">
        <f>IFERROR(VLOOKUP(CANTIDAD[[#This Row],[Ubicación]],SAP[],5,FALSE),"")</f>
        <v>2607165060</v>
      </c>
      <c r="I297" s="43" t="str">
        <f>IFERROR(VLOOKUP(CANTIDAD[[#This Row],[Ubicación]],SAP[],6,FALSE),"")</f>
        <v>16/07/2029</v>
      </c>
      <c r="J297" s="13" t="str">
        <f>IFERROR(VLOOKUP(CANTIDAD[[#This Row],[Ubicación]],SAP[],7,FALSE),"")</f>
        <v>1F</v>
      </c>
      <c r="K297" s="14">
        <f>IFERROR(VLOOKUP(CANTIDAD[[#This Row],[Ubicación]],SAP[],10,FALSE),"")</f>
        <v>468</v>
      </c>
      <c r="L297" s="48">
        <f>IFERROR(VLOOKUP(CANTIDAD[[#This Row],[Producto]],MARA[],5,FALSE),"")</f>
        <v>14</v>
      </c>
      <c r="M297" s="48" t="str">
        <f>IFERROR(VLOOKUP(CANTIDAD[[#This Row],[Producto]],MARA[],4,FALSE),"")</f>
        <v>CJA</v>
      </c>
      <c r="N297" s="136" t="s">
        <v>4642</v>
      </c>
    </row>
    <row r="298" spans="1:14" hidden="1">
      <c r="A298" s="139" t="str">
        <f t="shared" si="4"/>
        <v>PASILLO 10</v>
      </c>
      <c r="B298" s="92" t="s">
        <v>3382</v>
      </c>
      <c r="C298" s="11">
        <f>IFERROR(VLOOKUP(CANTIDAD[[#This Row],[Ubicación]],SAP[],3,FALSE),"")</f>
        <v>8305352</v>
      </c>
      <c r="D298" s="29">
        <f>IFERROR(VLOOKUP(CANTIDAD[[#This Row],[Producto]],MARA[],3,FALSE),"")</f>
        <v>17861036791054</v>
      </c>
      <c r="E298" s="11" t="str">
        <f>IFERROR(VLOOKUP(CANTIDAD[[#This Row],[Ubicación]],SAP[],4,FALSE),"")</f>
        <v>LAV. LIQUIDO LAVAX DP SANDIA 1500MLX6U</v>
      </c>
      <c r="F298" s="11">
        <f>IFERROR(VLOOKUP(CANTIDAD[[#This Row],[Ubicación]],SAP[],8,FALSE),"")</f>
        <v>42</v>
      </c>
      <c r="G298" s="11" t="str">
        <f>IFERROR(VLOOKUP(CANTIDAD[[#This Row],[Ubicación]],SAP[],9,FALSE),"")</f>
        <v>CJA</v>
      </c>
      <c r="H298" s="11">
        <f>IFERROR(VLOOKUP(CANTIDAD[[#This Row],[Ubicación]],SAP[],5,FALSE),"")</f>
        <v>230600</v>
      </c>
      <c r="I298" s="42" t="str">
        <f>IFERROR(VLOOKUP(CANTIDAD[[#This Row],[Ubicación]],SAP[],6,FALSE),"")</f>
        <v>19/06/2028</v>
      </c>
      <c r="J298" s="11" t="str">
        <f>IFERROR(VLOOKUP(CANTIDAD[[#This Row],[Ubicación]],SAP[],7,FALSE),"")</f>
        <v>1F</v>
      </c>
      <c r="K298" s="11">
        <f>IFERROR(VLOOKUP(CANTIDAD[[#This Row],[Ubicación]],SAP[],10,FALSE),"")</f>
        <v>252</v>
      </c>
      <c r="L298" s="48">
        <f>IFERROR(VLOOKUP(CANTIDAD[[#This Row],[Producto]],MARA[],5,FALSE),"")</f>
        <v>13</v>
      </c>
      <c r="M298" s="48" t="str">
        <f>IFERROR(VLOOKUP(CANTIDAD[[#This Row],[Producto]],MARA[],4,FALSE),"")</f>
        <v>CJA</v>
      </c>
      <c r="N298" s="136" t="s">
        <v>4643</v>
      </c>
    </row>
    <row r="299" spans="1:14" hidden="1">
      <c r="A299" s="139" t="str">
        <f t="shared" si="4"/>
        <v>PASILLO 10</v>
      </c>
      <c r="B299" s="93" t="s">
        <v>3379</v>
      </c>
      <c r="C299" s="11">
        <f>IFERROR(VLOOKUP(CANTIDAD[[#This Row],[Ubicación]],SAP[],3,FALSE),"")</f>
        <v>8305351</v>
      </c>
      <c r="D299" s="30">
        <f>IFERROR(VLOOKUP(CANTIDAD[[#This Row],[Producto]],MARA[],3,FALSE),"")</f>
        <v>17861036791061</v>
      </c>
      <c r="E299" s="13" t="str">
        <f>IFERROR(VLOOKUP(CANTIDAD[[#This Row],[Ubicación]],SAP[],4,FALSE),"")</f>
        <v>LAV. LIQ LAVAX DP LIMON TE V. 1500MLX6U</v>
      </c>
      <c r="F299" s="13">
        <f>IFERROR(VLOOKUP(CANTIDAD[[#This Row],[Ubicación]],SAP[],8,FALSE),"")</f>
        <v>44</v>
      </c>
      <c r="G299" s="13" t="str">
        <f>IFERROR(VLOOKUP(CANTIDAD[[#This Row],[Ubicación]],SAP[],9,FALSE),"")</f>
        <v>CJA</v>
      </c>
      <c r="H299" s="13">
        <f>IFERROR(VLOOKUP(CANTIDAD[[#This Row],[Ubicación]],SAP[],5,FALSE),"")</f>
        <v>230597</v>
      </c>
      <c r="I299" s="43" t="str">
        <f>IFERROR(VLOOKUP(CANTIDAD[[#This Row],[Ubicación]],SAP[],6,FALSE),"")</f>
        <v>19/06/2028</v>
      </c>
      <c r="J299" s="13" t="str">
        <f>IFERROR(VLOOKUP(CANTIDAD[[#This Row],[Ubicación]],SAP[],7,FALSE),"")</f>
        <v>1F</v>
      </c>
      <c r="K299" s="14">
        <f>IFERROR(VLOOKUP(CANTIDAD[[#This Row],[Ubicación]],SAP[],10,FALSE),"")</f>
        <v>264</v>
      </c>
      <c r="L299" s="48">
        <f>IFERROR(VLOOKUP(CANTIDAD[[#This Row],[Producto]],MARA[],5,FALSE),"")</f>
        <v>13</v>
      </c>
      <c r="M299" s="48" t="str">
        <f>IFERROR(VLOOKUP(CANTIDAD[[#This Row],[Producto]],MARA[],4,FALSE),"")</f>
        <v>CJA</v>
      </c>
      <c r="N299" s="136" t="s">
        <v>4644</v>
      </c>
    </row>
    <row r="300" spans="1:14" hidden="1">
      <c r="A300" s="139" t="str">
        <f t="shared" si="4"/>
        <v>PASILLO 10</v>
      </c>
      <c r="B300" s="92" t="s">
        <v>3476</v>
      </c>
      <c r="C300" s="11">
        <f>IFERROR(VLOOKUP(CANTIDAD[[#This Row],[Ubicación]],SAP[],3,FALSE),"")</f>
        <v>8312006</v>
      </c>
      <c r="D300" s="29">
        <f>IFERROR(VLOOKUP(CANTIDAD[[#This Row],[Producto]],MARA[],3,FALSE),"")</f>
        <v>17751851013526</v>
      </c>
      <c r="E300" s="11" t="str">
        <f>IFERROR(VLOOKUP(CANTIDAD[[#This Row],[Ubicación]],SAP[],4,FALSE),"")</f>
        <v>CERA PASTA ROJA SAPOLIO 300ML 36UND</v>
      </c>
      <c r="F300" s="11">
        <f>IFERROR(VLOOKUP(CANTIDAD[[#This Row],[Ubicación]],SAP[],8,FALSE),"")</f>
        <v>17</v>
      </c>
      <c r="G300" s="11" t="str">
        <f>IFERROR(VLOOKUP(CANTIDAD[[#This Row],[Ubicación]],SAP[],9,FALSE),"")</f>
        <v>CJA</v>
      </c>
      <c r="H300" s="11">
        <f>IFERROR(VLOOKUP(CANTIDAD[[#This Row],[Ubicación]],SAP[],5,FALSE),"")</f>
        <v>2607315060</v>
      </c>
      <c r="I300" s="42" t="str">
        <f>IFERROR(VLOOKUP(CANTIDAD[[#This Row],[Ubicación]],SAP[],6,FALSE),"")</f>
        <v>31/07/2029</v>
      </c>
      <c r="J300" s="11" t="str">
        <f>IFERROR(VLOOKUP(CANTIDAD[[#This Row],[Ubicación]],SAP[],7,FALSE),"")</f>
        <v>1F</v>
      </c>
      <c r="K300" s="11">
        <f>IFERROR(VLOOKUP(CANTIDAD[[#This Row],[Ubicación]],SAP[],10,FALSE),"")</f>
        <v>612</v>
      </c>
      <c r="L300" s="48">
        <f>IFERROR(VLOOKUP(CANTIDAD[[#This Row],[Producto]],MARA[],5,FALSE),"")</f>
        <v>14</v>
      </c>
      <c r="M300" s="48" t="str">
        <f>IFERROR(VLOOKUP(CANTIDAD[[#This Row],[Producto]],MARA[],4,FALSE),"")</f>
        <v>CJA</v>
      </c>
      <c r="N300" s="136" t="s">
        <v>4645</v>
      </c>
    </row>
    <row r="301" spans="1:14" hidden="1">
      <c r="A301" s="139" t="str">
        <f t="shared" si="4"/>
        <v>PASILLO 10</v>
      </c>
      <c r="B301" s="93" t="s">
        <v>3481</v>
      </c>
      <c r="C301" s="11">
        <f>IFERROR(VLOOKUP(CANTIDAD[[#This Row],[Ubicación]],SAP[],3,FALSE),"")</f>
        <v>8312008</v>
      </c>
      <c r="D301" s="30">
        <f>IFERROR(VLOOKUP(CANTIDAD[[#This Row],[Producto]],MARA[],3,FALSE),"")</f>
        <v>17751851012932</v>
      </c>
      <c r="E301" s="13" t="str">
        <f>IFERROR(VLOOKUP(CANTIDAD[[#This Row],[Ubicación]],SAP[],4,FALSE),"")</f>
        <v>CERA SAPOL PASTA NEGRA 300ML 36UND</v>
      </c>
      <c r="F301" s="13">
        <f>IFERROR(VLOOKUP(CANTIDAD[[#This Row],[Ubicación]],SAP[],8,FALSE),"")</f>
        <v>42</v>
      </c>
      <c r="G301" s="13" t="str">
        <f>IFERROR(VLOOKUP(CANTIDAD[[#This Row],[Ubicación]],SAP[],9,FALSE),"")</f>
        <v>CJA</v>
      </c>
      <c r="H301" s="13">
        <f>IFERROR(VLOOKUP(CANTIDAD[[#This Row],[Ubicación]],SAP[],5,FALSE),"")</f>
        <v>2607225060</v>
      </c>
      <c r="I301" s="43" t="str">
        <f>IFERROR(VLOOKUP(CANTIDAD[[#This Row],[Ubicación]],SAP[],6,FALSE),"")</f>
        <v>22/07/2029</v>
      </c>
      <c r="J301" s="13" t="str">
        <f>IFERROR(VLOOKUP(CANTIDAD[[#This Row],[Ubicación]],SAP[],7,FALSE),"")</f>
        <v>1F</v>
      </c>
      <c r="K301" s="18">
        <f>IFERROR(VLOOKUP(CANTIDAD[[#This Row],[Ubicación]],SAP[],10,FALSE),"")</f>
        <v>1512</v>
      </c>
      <c r="L301" s="48">
        <f>IFERROR(VLOOKUP(CANTIDAD[[#This Row],[Producto]],MARA[],5,FALSE),"")</f>
        <v>14</v>
      </c>
      <c r="M301" s="48" t="str">
        <f>IFERROR(VLOOKUP(CANTIDAD[[#This Row],[Producto]],MARA[],4,FALSE),"")</f>
        <v>CJA</v>
      </c>
      <c r="N301" s="136" t="s">
        <v>4646</v>
      </c>
    </row>
    <row r="302" spans="1:14" hidden="1">
      <c r="A302" s="139" t="str">
        <f t="shared" si="4"/>
        <v>PASILLO 10</v>
      </c>
      <c r="B302" s="92" t="s">
        <v>4115</v>
      </c>
      <c r="C302" s="11">
        <f>IFERROR(VLOOKUP(CANTIDAD[[#This Row],[Ubicación]],SAP[],3,FALSE),"")</f>
        <v>8600142</v>
      </c>
      <c r="D302" s="29">
        <f>IFERROR(VLOOKUP(CANTIDAD[[#This Row],[Producto]],MARA[],3,FALSE),"")</f>
        <v>17750243080733</v>
      </c>
      <c r="E302" s="11" t="str">
        <f>IFERROR(VLOOKUP(CANTIDAD[[#This Row],[Ubicación]],SAP[],4,FALSE),"")</f>
        <v>JABON BOLIVAR C. TOTAL LIMÓN 380GR.24PQT</v>
      </c>
      <c r="F302" s="11">
        <f>IFERROR(VLOOKUP(CANTIDAD[[#This Row],[Ubicación]],SAP[],8,FALSE),"")</f>
        <v>6</v>
      </c>
      <c r="G302" s="11" t="str">
        <f>IFERROR(VLOOKUP(CANTIDAD[[#This Row],[Ubicación]],SAP[],9,FALSE),"")</f>
        <v>CJA</v>
      </c>
      <c r="H302" s="11">
        <f>IFERROR(VLOOKUP(CANTIDAD[[#This Row],[Ubicación]],SAP[],5,FALSE),"")</f>
        <v>2608130120</v>
      </c>
      <c r="I302" s="42" t="str">
        <f>IFERROR(VLOOKUP(CANTIDAD[[#This Row],[Ubicación]],SAP[],6,FALSE),"")</f>
        <v>13/08/2027</v>
      </c>
      <c r="J302" s="11" t="str">
        <f>IFERROR(VLOOKUP(CANTIDAD[[#This Row],[Ubicación]],SAP[],7,FALSE),"")</f>
        <v>1F</v>
      </c>
      <c r="K302" s="11">
        <f>IFERROR(VLOOKUP(CANTIDAD[[#This Row],[Ubicación]],SAP[],10,FALSE),"")</f>
        <v>144</v>
      </c>
      <c r="L302" s="48">
        <f>IFERROR(VLOOKUP(CANTIDAD[[#This Row],[Producto]],MARA[],5,FALSE),"")</f>
        <v>18</v>
      </c>
      <c r="M302" s="48" t="str">
        <f>IFERROR(VLOOKUP(CANTIDAD[[#This Row],[Producto]],MARA[],4,FALSE),"")</f>
        <v>CJA</v>
      </c>
      <c r="N302" s="136" t="s">
        <v>4647</v>
      </c>
    </row>
    <row r="303" spans="1:14" hidden="1">
      <c r="A303" s="139" t="str">
        <f t="shared" si="4"/>
        <v>PASILLO 10</v>
      </c>
      <c r="B303" s="93" t="s">
        <v>4117</v>
      </c>
      <c r="C303" s="11">
        <f>IFERROR(VLOOKUP(CANTIDAD[[#This Row],[Ubicación]],SAP[],3,FALSE),"")</f>
        <v>8600142</v>
      </c>
      <c r="D303" s="30">
        <f>IFERROR(VLOOKUP(CANTIDAD[[#This Row],[Producto]],MARA[],3,FALSE),"")</f>
        <v>17750243080733</v>
      </c>
      <c r="E303" s="13" t="str">
        <f>IFERROR(VLOOKUP(CANTIDAD[[#This Row],[Ubicación]],SAP[],4,FALSE),"")</f>
        <v>JABON BOLIVAR C. TOTAL LIMÓN 380GR.24PQT</v>
      </c>
      <c r="F303" s="13">
        <f>IFERROR(VLOOKUP(CANTIDAD[[#This Row],[Ubicación]],SAP[],8,FALSE),"")</f>
        <v>55</v>
      </c>
      <c r="G303" s="13" t="str">
        <f>IFERROR(VLOOKUP(CANTIDAD[[#This Row],[Ubicación]],SAP[],9,FALSE),"")</f>
        <v>CJA</v>
      </c>
      <c r="H303" s="13">
        <f>IFERROR(VLOOKUP(CANTIDAD[[#This Row],[Ubicación]],SAP[],5,FALSE),"")</f>
        <v>2608130120</v>
      </c>
      <c r="I303" s="43" t="str">
        <f>IFERROR(VLOOKUP(CANTIDAD[[#This Row],[Ubicación]],SAP[],6,FALSE),"")</f>
        <v>13/08/2027</v>
      </c>
      <c r="J303" s="13" t="str">
        <f>IFERROR(VLOOKUP(CANTIDAD[[#This Row],[Ubicación]],SAP[],7,FALSE),"")</f>
        <v>1F</v>
      </c>
      <c r="K303" s="14">
        <f>IFERROR(VLOOKUP(CANTIDAD[[#This Row],[Ubicación]],SAP[],10,FALSE),"")</f>
        <v>1320</v>
      </c>
      <c r="L303" s="48">
        <f>IFERROR(VLOOKUP(CANTIDAD[[#This Row],[Producto]],MARA[],5,FALSE),"")</f>
        <v>18</v>
      </c>
      <c r="M303" s="48" t="str">
        <f>IFERROR(VLOOKUP(CANTIDAD[[#This Row],[Producto]],MARA[],4,FALSE),"")</f>
        <v>CJA</v>
      </c>
      <c r="N303" s="136" t="s">
        <v>4648</v>
      </c>
    </row>
    <row r="304" spans="1:14" hidden="1">
      <c r="A304" s="139" t="str">
        <f t="shared" si="4"/>
        <v>PASILLO 10</v>
      </c>
      <c r="B304" s="92" t="s">
        <v>4102</v>
      </c>
      <c r="C304" s="11">
        <f>IFERROR(VLOOKUP(CANTIDAD[[#This Row],[Ubicación]],SAP[],3,FALSE),"")</f>
        <v>8600138</v>
      </c>
      <c r="D304" s="29">
        <f>IFERROR(VLOOKUP(CANTIDAD[[#This Row],[Producto]],MARA[],3,FALSE),"")</f>
        <v>17750243080481</v>
      </c>
      <c r="E304" s="11" t="str">
        <f>IFERROR(VLOOKUP(CANTIDAD[[#This Row],[Ubicación]],SAP[],4,FALSE),"")</f>
        <v>JABON BOLIVAR CUIDADO BEBES 380GR.24PQT</v>
      </c>
      <c r="F304" s="11">
        <f>IFERROR(VLOOKUP(CANTIDAD[[#This Row],[Ubicación]],SAP[],8,FALSE),"")</f>
        <v>43</v>
      </c>
      <c r="G304" s="11" t="str">
        <f>IFERROR(VLOOKUP(CANTIDAD[[#This Row],[Ubicación]],SAP[],9,FALSE),"")</f>
        <v>CJA</v>
      </c>
      <c r="H304" s="11">
        <f>IFERROR(VLOOKUP(CANTIDAD[[#This Row],[Ubicación]],SAP[],5,FALSE),"")</f>
        <v>2607220120</v>
      </c>
      <c r="I304" s="42" t="str">
        <f>IFERROR(VLOOKUP(CANTIDAD[[#This Row],[Ubicación]],SAP[],6,FALSE),"")</f>
        <v>22/07/2027</v>
      </c>
      <c r="J304" s="11" t="str">
        <f>IFERROR(VLOOKUP(CANTIDAD[[#This Row],[Ubicación]],SAP[],7,FALSE),"")</f>
        <v>1F</v>
      </c>
      <c r="K304" s="17">
        <f>IFERROR(VLOOKUP(CANTIDAD[[#This Row],[Ubicación]],SAP[],10,FALSE),"")</f>
        <v>1032</v>
      </c>
      <c r="L304" s="48">
        <f>IFERROR(VLOOKUP(CANTIDAD[[#This Row],[Producto]],MARA[],5,FALSE),"")</f>
        <v>18</v>
      </c>
      <c r="M304" s="48" t="str">
        <f>IFERROR(VLOOKUP(CANTIDAD[[#This Row],[Producto]],MARA[],4,FALSE),"")</f>
        <v>CJA</v>
      </c>
      <c r="N304" s="136" t="s">
        <v>4649</v>
      </c>
    </row>
    <row r="305" spans="1:14" hidden="1">
      <c r="A305" s="139" t="str">
        <f t="shared" si="4"/>
        <v>PASILLO 10</v>
      </c>
      <c r="B305" s="93" t="s">
        <v>4105</v>
      </c>
      <c r="C305" s="11">
        <f>IFERROR(VLOOKUP(CANTIDAD[[#This Row],[Ubicación]],SAP[],3,FALSE),"")</f>
        <v>8600138</v>
      </c>
      <c r="D305" s="30">
        <f>IFERROR(VLOOKUP(CANTIDAD[[#This Row],[Producto]],MARA[],3,FALSE),"")</f>
        <v>17750243080481</v>
      </c>
      <c r="E305" s="13" t="str">
        <f>IFERROR(VLOOKUP(CANTIDAD[[#This Row],[Ubicación]],SAP[],4,FALSE),"")</f>
        <v>JABON BOLIVAR CUIDADO BEBES 380GR.24PQT</v>
      </c>
      <c r="F305" s="13">
        <f>IFERROR(VLOOKUP(CANTIDAD[[#This Row],[Ubicación]],SAP[],8,FALSE),"")</f>
        <v>59</v>
      </c>
      <c r="G305" s="13" t="str">
        <f>IFERROR(VLOOKUP(CANTIDAD[[#This Row],[Ubicación]],SAP[],9,FALSE),"")</f>
        <v>CJA</v>
      </c>
      <c r="H305" s="13">
        <f>IFERROR(VLOOKUP(CANTIDAD[[#This Row],[Ubicación]],SAP[],5,FALSE),"")</f>
        <v>2607150120</v>
      </c>
      <c r="I305" s="43" t="str">
        <f>IFERROR(VLOOKUP(CANTIDAD[[#This Row],[Ubicación]],SAP[],6,FALSE),"")</f>
        <v>15/07/2027</v>
      </c>
      <c r="J305" s="13" t="str">
        <f>IFERROR(VLOOKUP(CANTIDAD[[#This Row],[Ubicación]],SAP[],7,FALSE),"")</f>
        <v>1F</v>
      </c>
      <c r="K305" s="18">
        <f>IFERROR(VLOOKUP(CANTIDAD[[#This Row],[Ubicación]],SAP[],10,FALSE),"")</f>
        <v>1416</v>
      </c>
      <c r="L305" s="48">
        <f>IFERROR(VLOOKUP(CANTIDAD[[#This Row],[Producto]],MARA[],5,FALSE),"")</f>
        <v>18</v>
      </c>
      <c r="M305" s="48" t="str">
        <f>IFERROR(VLOOKUP(CANTIDAD[[#This Row],[Producto]],MARA[],4,FALSE),"")</f>
        <v>CJA</v>
      </c>
      <c r="N305" s="136" t="s">
        <v>4650</v>
      </c>
    </row>
    <row r="306" spans="1:14" hidden="1">
      <c r="A306" s="139" t="str">
        <f t="shared" si="4"/>
        <v>PASILLO 10</v>
      </c>
      <c r="B306" s="92" t="s">
        <v>4094</v>
      </c>
      <c r="C306" s="11">
        <f>IFERROR(VLOOKUP(CANTIDAD[[#This Row],[Ubicación]],SAP[],3,FALSE),"")</f>
        <v>8600136</v>
      </c>
      <c r="D306" s="29">
        <f>IFERROR(VLOOKUP(CANTIDAD[[#This Row],[Producto]],MARA[],3,FALSE),"")</f>
        <v>17750243080467</v>
      </c>
      <c r="E306" s="11" t="str">
        <f>IFERROR(VLOOKUP(CANTIDAD[[#This Row],[Ubicación]],SAP[],4,FALSE),"")</f>
        <v>JABON BOLIVAR CUIDADO TOTAL 380GR.24PQT</v>
      </c>
      <c r="F306" s="11">
        <f>IFERROR(VLOOKUP(CANTIDAD[[#This Row],[Ubicación]],SAP[],8,FALSE),"")</f>
        <v>68</v>
      </c>
      <c r="G306" s="11" t="str">
        <f>IFERROR(VLOOKUP(CANTIDAD[[#This Row],[Ubicación]],SAP[],9,FALSE),"")</f>
        <v>CJA</v>
      </c>
      <c r="H306" s="11">
        <f>IFERROR(VLOOKUP(CANTIDAD[[#This Row],[Ubicación]],SAP[],5,FALSE),"")</f>
        <v>2608240120</v>
      </c>
      <c r="I306" s="42" t="str">
        <f>IFERROR(VLOOKUP(CANTIDAD[[#This Row],[Ubicación]],SAP[],6,FALSE),"")</f>
        <v>24/08/2027</v>
      </c>
      <c r="J306" s="11" t="str">
        <f>IFERROR(VLOOKUP(CANTIDAD[[#This Row],[Ubicación]],SAP[],7,FALSE),"")</f>
        <v>1F</v>
      </c>
      <c r="K306" s="17">
        <f>IFERROR(VLOOKUP(CANTIDAD[[#This Row],[Ubicación]],SAP[],10,FALSE),"")</f>
        <v>1632</v>
      </c>
      <c r="L306" s="48">
        <f>IFERROR(VLOOKUP(CANTIDAD[[#This Row],[Producto]],MARA[],5,FALSE),"")</f>
        <v>18</v>
      </c>
      <c r="M306" s="48" t="str">
        <f>IFERROR(VLOOKUP(CANTIDAD[[#This Row],[Producto]],MARA[],4,FALSE),"")</f>
        <v>CJA</v>
      </c>
      <c r="N306" s="136" t="s">
        <v>4651</v>
      </c>
    </row>
    <row r="307" spans="1:14" hidden="1">
      <c r="A307" s="139" t="str">
        <f t="shared" si="4"/>
        <v>PASILLO 10</v>
      </c>
      <c r="B307" s="93" t="s">
        <v>4096</v>
      </c>
      <c r="C307" s="11">
        <f>IFERROR(VLOOKUP(CANTIDAD[[#This Row],[Ubicación]],SAP[],3,FALSE),"")</f>
        <v>8600136</v>
      </c>
      <c r="D307" s="30">
        <f>IFERROR(VLOOKUP(CANTIDAD[[#This Row],[Producto]],MARA[],3,FALSE),"")</f>
        <v>17750243080467</v>
      </c>
      <c r="E307" s="13" t="str">
        <f>IFERROR(VLOOKUP(CANTIDAD[[#This Row],[Ubicación]],SAP[],4,FALSE),"")</f>
        <v>JABON BOLIVAR CUIDADO TOTAL 380GR.24PQT</v>
      </c>
      <c r="F307" s="13">
        <f>IFERROR(VLOOKUP(CANTIDAD[[#This Row],[Ubicación]],SAP[],8,FALSE),"")</f>
        <v>29</v>
      </c>
      <c r="G307" s="13" t="str">
        <f>IFERROR(VLOOKUP(CANTIDAD[[#This Row],[Ubicación]],SAP[],9,FALSE),"")</f>
        <v>CJA</v>
      </c>
      <c r="H307" s="13">
        <f>IFERROR(VLOOKUP(CANTIDAD[[#This Row],[Ubicación]],SAP[],5,FALSE),"")</f>
        <v>2608180120</v>
      </c>
      <c r="I307" s="43" t="str">
        <f>IFERROR(VLOOKUP(CANTIDAD[[#This Row],[Ubicación]],SAP[],6,FALSE),"")</f>
        <v>18/08/2027</v>
      </c>
      <c r="J307" s="13" t="str">
        <f>IFERROR(VLOOKUP(CANTIDAD[[#This Row],[Ubicación]],SAP[],7,FALSE),"")</f>
        <v>1F</v>
      </c>
      <c r="K307" s="18">
        <f>IFERROR(VLOOKUP(CANTIDAD[[#This Row],[Ubicación]],SAP[],10,FALSE),"")</f>
        <v>696</v>
      </c>
      <c r="L307" s="48">
        <f>IFERROR(VLOOKUP(CANTIDAD[[#This Row],[Producto]],MARA[],5,FALSE),"")</f>
        <v>18</v>
      </c>
      <c r="M307" s="48" t="str">
        <f>IFERROR(VLOOKUP(CANTIDAD[[#This Row],[Producto]],MARA[],4,FALSE),"")</f>
        <v>CJA</v>
      </c>
      <c r="N307" s="136" t="s">
        <v>4652</v>
      </c>
    </row>
    <row r="308" spans="1:14" hidden="1">
      <c r="A308" s="139" t="str">
        <f t="shared" si="4"/>
        <v>PASILLO 10</v>
      </c>
      <c r="B308" s="92" t="s">
        <v>4099</v>
      </c>
      <c r="C308" s="11">
        <f>IFERROR(VLOOKUP(CANTIDAD[[#This Row],[Ubicación]],SAP[],3,FALSE),"")</f>
        <v>8600137</v>
      </c>
      <c r="D308" s="29">
        <f>IFERROR(VLOOKUP(CANTIDAD[[#This Row],[Producto]],MARA[],3,FALSE),"")</f>
        <v>17750243080474</v>
      </c>
      <c r="E308" s="11" t="str">
        <f>IFERROR(VLOOKUP(CANTIDAD[[#This Row],[Ubicación]],SAP[],4,FALSE),"")</f>
        <v>JABON BOLIVAR CUIDADO BEBES 190GR.48BRR</v>
      </c>
      <c r="F308" s="11">
        <f>IFERROR(VLOOKUP(CANTIDAD[[#This Row],[Ubicación]],SAP[],8,FALSE),"")</f>
        <v>31</v>
      </c>
      <c r="G308" s="11" t="str">
        <f>IFERROR(VLOOKUP(CANTIDAD[[#This Row],[Ubicación]],SAP[],9,FALSE),"")</f>
        <v>CJA</v>
      </c>
      <c r="H308" s="11">
        <f>IFERROR(VLOOKUP(CANTIDAD[[#This Row],[Ubicación]],SAP[],5,FALSE),"")</f>
        <v>2607240120</v>
      </c>
      <c r="I308" s="42" t="str">
        <f>IFERROR(VLOOKUP(CANTIDAD[[#This Row],[Ubicación]],SAP[],6,FALSE),"")</f>
        <v>24/07/2027</v>
      </c>
      <c r="J308" s="11" t="str">
        <f>IFERROR(VLOOKUP(CANTIDAD[[#This Row],[Ubicación]],SAP[],7,FALSE),"")</f>
        <v>1F</v>
      </c>
      <c r="K308" s="17">
        <f>IFERROR(VLOOKUP(CANTIDAD[[#This Row],[Ubicación]],SAP[],10,FALSE),"")</f>
        <v>1488</v>
      </c>
      <c r="L308" s="48">
        <f>IFERROR(VLOOKUP(CANTIDAD[[#This Row],[Producto]],MARA[],5,FALSE),"")</f>
        <v>18</v>
      </c>
      <c r="M308" s="48" t="str">
        <f>IFERROR(VLOOKUP(CANTIDAD[[#This Row],[Producto]],MARA[],4,FALSE),"")</f>
        <v>CJA</v>
      </c>
      <c r="N308" s="136" t="s">
        <v>4653</v>
      </c>
    </row>
    <row r="309" spans="1:14" hidden="1">
      <c r="A309" s="139" t="str">
        <f t="shared" si="4"/>
        <v>PASILLO 10</v>
      </c>
      <c r="B309" s="93" t="s">
        <v>4119</v>
      </c>
      <c r="C309" s="11">
        <f>IFERROR(VLOOKUP(CANTIDAD[[#This Row],[Ubicación]],SAP[],3,FALSE),"")</f>
        <v>8600143</v>
      </c>
      <c r="D309" s="30">
        <f>IFERROR(VLOOKUP(CANTIDAD[[#This Row],[Producto]],MARA[],3,FALSE),"")</f>
        <v>17750243081563</v>
      </c>
      <c r="E309" s="13" t="str">
        <f>IFERROR(VLOOKUP(CANTIDAD[[#This Row],[Ubicación]],SAP[],4,FALSE),"")</f>
        <v>JABON BOLIVAR CUIDADO BEBES C/P 190G 48B</v>
      </c>
      <c r="F309" s="13">
        <f>IFERROR(VLOOKUP(CANTIDAD[[#This Row],[Ubicación]],SAP[],8,FALSE),"")</f>
        <v>54</v>
      </c>
      <c r="G309" s="13" t="str">
        <f>IFERROR(VLOOKUP(CANTIDAD[[#This Row],[Ubicación]],SAP[],9,FALSE),"")</f>
        <v>CJA</v>
      </c>
      <c r="H309" s="13">
        <f>IFERROR(VLOOKUP(CANTIDAD[[#This Row],[Ubicación]],SAP[],5,FALSE),"")</f>
        <v>2607230120</v>
      </c>
      <c r="I309" s="43" t="str">
        <f>IFERROR(VLOOKUP(CANTIDAD[[#This Row],[Ubicación]],SAP[],6,FALSE),"")</f>
        <v>23/07/2027</v>
      </c>
      <c r="J309" s="13" t="str">
        <f>IFERROR(VLOOKUP(CANTIDAD[[#This Row],[Ubicación]],SAP[],7,FALSE),"")</f>
        <v>1F</v>
      </c>
      <c r="K309" s="18">
        <f>IFERROR(VLOOKUP(CANTIDAD[[#This Row],[Ubicación]],SAP[],10,FALSE),"")</f>
        <v>2592</v>
      </c>
      <c r="L309" s="48">
        <f>IFERROR(VLOOKUP(CANTIDAD[[#This Row],[Producto]],MARA[],5,FALSE),"")</f>
        <v>18</v>
      </c>
      <c r="M309" s="48" t="str">
        <f>IFERROR(VLOOKUP(CANTIDAD[[#This Row],[Producto]],MARA[],4,FALSE),"")</f>
        <v>CJA</v>
      </c>
      <c r="N309" s="136" t="s">
        <v>4654</v>
      </c>
    </row>
    <row r="310" spans="1:14" hidden="1">
      <c r="A310" s="139" t="str">
        <f t="shared" si="4"/>
        <v>PASILLO 10</v>
      </c>
      <c r="B310" s="92" t="s">
        <v>4092</v>
      </c>
      <c r="C310" s="11">
        <f>IFERROR(VLOOKUP(CANTIDAD[[#This Row],[Ubicación]],SAP[],3,FALSE),"")</f>
        <v>8600135</v>
      </c>
      <c r="D310" s="29">
        <f>IFERROR(VLOOKUP(CANTIDAD[[#This Row],[Producto]],MARA[],3,FALSE),"")</f>
        <v>17750243080009</v>
      </c>
      <c r="E310" s="11" t="str">
        <f>IFERROR(VLOOKUP(CANTIDAD[[#This Row],[Ubicación]],SAP[],4,FALSE),"")</f>
        <v>JABON BOLIVAR FLORAL RENAC SP 190G 48BR</v>
      </c>
      <c r="F310" s="11">
        <f>IFERROR(VLOOKUP(CANTIDAD[[#This Row],[Ubicación]],SAP[],8,FALSE),"")</f>
        <v>36</v>
      </c>
      <c r="G310" s="11" t="str">
        <f>IFERROR(VLOOKUP(CANTIDAD[[#This Row],[Ubicación]],SAP[],9,FALSE),"")</f>
        <v>CJA</v>
      </c>
      <c r="H310" s="11">
        <f>IFERROR(VLOOKUP(CANTIDAD[[#This Row],[Ubicación]],SAP[],5,FALSE),"")</f>
        <v>2608130120</v>
      </c>
      <c r="I310" s="42" t="str">
        <f>IFERROR(VLOOKUP(CANTIDAD[[#This Row],[Ubicación]],SAP[],6,FALSE),"")</f>
        <v>13/08/2027</v>
      </c>
      <c r="J310" s="11" t="str">
        <f>IFERROR(VLOOKUP(CANTIDAD[[#This Row],[Ubicación]],SAP[],7,FALSE),"")</f>
        <v>1F</v>
      </c>
      <c r="K310" s="17">
        <f>IFERROR(VLOOKUP(CANTIDAD[[#This Row],[Ubicación]],SAP[],10,FALSE),"")</f>
        <v>1728</v>
      </c>
      <c r="L310" s="48">
        <f>IFERROR(VLOOKUP(CANTIDAD[[#This Row],[Producto]],MARA[],5,FALSE),"")</f>
        <v>18</v>
      </c>
      <c r="M310" s="48" t="str">
        <f>IFERROR(VLOOKUP(CANTIDAD[[#This Row],[Producto]],MARA[],4,FALSE),"")</f>
        <v>CJA</v>
      </c>
      <c r="N310" s="136" t="s">
        <v>4655</v>
      </c>
    </row>
    <row r="311" spans="1:14" hidden="1">
      <c r="A311" s="139" t="str">
        <f t="shared" si="4"/>
        <v>PASILLO 10</v>
      </c>
      <c r="B311" s="93" t="s">
        <v>4089</v>
      </c>
      <c r="C311" s="11">
        <f>IFERROR(VLOOKUP(CANTIDAD[[#This Row],[Ubicación]],SAP[],3,FALSE),"")</f>
        <v>8600134</v>
      </c>
      <c r="D311" s="30">
        <f>IFERROR(VLOOKUP(CANTIDAD[[#This Row],[Producto]],MARA[],3,FALSE),"")</f>
        <v>17750243079997</v>
      </c>
      <c r="E311" s="13" t="str">
        <f>IFERROR(VLOOKUP(CANTIDAD[[#This Row],[Ubicación]],SAP[],4,FALSE),"")</f>
        <v>JABON BOLIVAR FLORAL RENAC 190G 48BR</v>
      </c>
      <c r="F311" s="13">
        <f>IFERROR(VLOOKUP(CANTIDAD[[#This Row],[Ubicación]],SAP[],8,FALSE),"")</f>
        <v>41</v>
      </c>
      <c r="G311" s="13" t="str">
        <f>IFERROR(VLOOKUP(CANTIDAD[[#This Row],[Ubicación]],SAP[],9,FALSE),"")</f>
        <v>CJA</v>
      </c>
      <c r="H311" s="13">
        <f>IFERROR(VLOOKUP(CANTIDAD[[#This Row],[Ubicación]],SAP[],5,FALSE),"")</f>
        <v>2607180120</v>
      </c>
      <c r="I311" s="43" t="str">
        <f>IFERROR(VLOOKUP(CANTIDAD[[#This Row],[Ubicación]],SAP[],6,FALSE),"")</f>
        <v>18/07/2027</v>
      </c>
      <c r="J311" s="13" t="str">
        <f>IFERROR(VLOOKUP(CANTIDAD[[#This Row],[Ubicación]],SAP[],7,FALSE),"")</f>
        <v>1F</v>
      </c>
      <c r="K311" s="18">
        <f>IFERROR(VLOOKUP(CANTIDAD[[#This Row],[Ubicación]],SAP[],10,FALSE),"")</f>
        <v>1968</v>
      </c>
      <c r="L311" s="48">
        <f>IFERROR(VLOOKUP(CANTIDAD[[#This Row],[Producto]],MARA[],5,FALSE),"")</f>
        <v>18</v>
      </c>
      <c r="M311" s="48" t="str">
        <f>IFERROR(VLOOKUP(CANTIDAD[[#This Row],[Producto]],MARA[],4,FALSE),"")</f>
        <v>CJA</v>
      </c>
      <c r="N311" s="136" t="s">
        <v>4656</v>
      </c>
    </row>
    <row r="312" spans="1:14" hidden="1">
      <c r="A312" s="139" t="str">
        <f t="shared" si="4"/>
        <v>PASILLO 10</v>
      </c>
      <c r="B312" s="92" t="s">
        <v>4113</v>
      </c>
      <c r="C312" s="11">
        <f>IFERROR(VLOOKUP(CANTIDAD[[#This Row],[Ubicación]],SAP[],3,FALSE),"")</f>
        <v>8600141</v>
      </c>
      <c r="D312" s="29">
        <f>IFERROR(VLOOKUP(CANTIDAD[[#This Row],[Producto]],MARA[],3,FALSE),"")</f>
        <v>17750243080726</v>
      </c>
      <c r="E312" s="11" t="str">
        <f>IFERROR(VLOOKUP(CANTIDAD[[#This Row],[Ubicación]],SAP[],4,FALSE),"")</f>
        <v>JABON BOLIVAR C. TOTAL LIMÓN 190GR.48BRR</v>
      </c>
      <c r="F312" s="11">
        <f>IFERROR(VLOOKUP(CANTIDAD[[#This Row],[Ubicación]],SAP[],8,FALSE),"")</f>
        <v>35</v>
      </c>
      <c r="G312" s="11" t="str">
        <f>IFERROR(VLOOKUP(CANTIDAD[[#This Row],[Ubicación]],SAP[],9,FALSE),"")</f>
        <v>CJA</v>
      </c>
      <c r="H312" s="11">
        <f>IFERROR(VLOOKUP(CANTIDAD[[#This Row],[Ubicación]],SAP[],5,FALSE),"")</f>
        <v>2608130120</v>
      </c>
      <c r="I312" s="42" t="str">
        <f>IFERROR(VLOOKUP(CANTIDAD[[#This Row],[Ubicación]],SAP[],6,FALSE),"")</f>
        <v>13/08/2027</v>
      </c>
      <c r="J312" s="11" t="str">
        <f>IFERROR(VLOOKUP(CANTIDAD[[#This Row],[Ubicación]],SAP[],7,FALSE),"")</f>
        <v>1F</v>
      </c>
      <c r="K312" s="17">
        <f>IFERROR(VLOOKUP(CANTIDAD[[#This Row],[Ubicación]],SAP[],10,FALSE),"")</f>
        <v>1680</v>
      </c>
      <c r="L312" s="48">
        <f>IFERROR(VLOOKUP(CANTIDAD[[#This Row],[Producto]],MARA[],5,FALSE),"")</f>
        <v>18</v>
      </c>
      <c r="M312" s="48" t="str">
        <f>IFERROR(VLOOKUP(CANTIDAD[[#This Row],[Producto]],MARA[],4,FALSE),"")</f>
        <v>CJA</v>
      </c>
      <c r="N312" s="136" t="s">
        <v>4657</v>
      </c>
    </row>
    <row r="313" spans="1:14" hidden="1">
      <c r="A313" s="139" t="str">
        <f t="shared" si="4"/>
        <v>PASILLO 10</v>
      </c>
      <c r="B313" s="93" t="s">
        <v>3556</v>
      </c>
      <c r="C313" s="11">
        <f>IFERROR(VLOOKUP(CANTIDAD[[#This Row],[Ubicación]],SAP[],3,FALSE),"")</f>
        <v>8315061</v>
      </c>
      <c r="D313" s="30">
        <f>IFERROR(VLOOKUP(CANTIDAD[[#This Row],[Producto]],MARA[],3,FALSE),"")</f>
        <v>17751851020050</v>
      </c>
      <c r="E313" s="13" t="str">
        <f>IFERROR(VLOOKUP(CANTIDAD[[#This Row],[Ubicación]],SAP[],4,FALSE),"")</f>
        <v>LIMPIAMAYOLICA SAPOLIO GT 650ML 12UND</v>
      </c>
      <c r="F313" s="13">
        <f>IFERROR(VLOOKUP(CANTIDAD[[#This Row],[Ubicación]],SAP[],8,FALSE),"")</f>
        <v>24</v>
      </c>
      <c r="G313" s="13" t="str">
        <f>IFERROR(VLOOKUP(CANTIDAD[[#This Row],[Ubicación]],SAP[],9,FALSE),"")</f>
        <v>CJA</v>
      </c>
      <c r="H313" s="13">
        <f>IFERROR(VLOOKUP(CANTIDAD[[#This Row],[Ubicación]],SAP[],5,FALSE),"")</f>
        <v>2608245060</v>
      </c>
      <c r="I313" s="43" t="str">
        <f>IFERROR(VLOOKUP(CANTIDAD[[#This Row],[Ubicación]],SAP[],6,FALSE),"")</f>
        <v>24/08/2027</v>
      </c>
      <c r="J313" s="13" t="str">
        <f>IFERROR(VLOOKUP(CANTIDAD[[#This Row],[Ubicación]],SAP[],7,FALSE),"")</f>
        <v>1F</v>
      </c>
      <c r="K313" s="14">
        <f>IFERROR(VLOOKUP(CANTIDAD[[#This Row],[Ubicación]],SAP[],10,FALSE),"")</f>
        <v>288</v>
      </c>
      <c r="L313" s="48">
        <f>IFERROR(VLOOKUP(CANTIDAD[[#This Row],[Producto]],MARA[],5,FALSE),"")</f>
        <v>15</v>
      </c>
      <c r="M313" s="48" t="str">
        <f>IFERROR(VLOOKUP(CANTIDAD[[#This Row],[Producto]],MARA[],4,FALSE),"")</f>
        <v>CJA</v>
      </c>
      <c r="N313" s="136" t="s">
        <v>4658</v>
      </c>
    </row>
    <row r="314" spans="1:14" hidden="1">
      <c r="A314" s="139" t="str">
        <f t="shared" si="4"/>
        <v>PASILLO 10</v>
      </c>
      <c r="B314" s="92" t="s">
        <v>3541</v>
      </c>
      <c r="C314" s="11">
        <f>IFERROR(VLOOKUP(CANTIDAD[[#This Row],[Ubicación]],SAP[],3,FALSE),"")</f>
        <v>8315044</v>
      </c>
      <c r="D314" s="29">
        <f>IFERROR(VLOOKUP(CANTIDAD[[#This Row],[Producto]],MARA[],3,FALSE),"")</f>
        <v>17751851020067</v>
      </c>
      <c r="E314" s="11" t="str">
        <f>IFERROR(VLOOKUP(CANTIDAD[[#This Row],[Ubicación]],SAP[],4,FALSE),"")</f>
        <v>ANTIHONGO SAPOLIO GT 650ML 12UND</v>
      </c>
      <c r="F314" s="11">
        <f>IFERROR(VLOOKUP(CANTIDAD[[#This Row],[Ubicación]],SAP[],8,FALSE),"")</f>
        <v>37</v>
      </c>
      <c r="G314" s="11" t="str">
        <f>IFERROR(VLOOKUP(CANTIDAD[[#This Row],[Ubicación]],SAP[],9,FALSE),"")</f>
        <v>CJA</v>
      </c>
      <c r="H314" s="11">
        <f>IFERROR(VLOOKUP(CANTIDAD[[#This Row],[Ubicación]],SAP[],5,FALSE),"")</f>
        <v>2608275060</v>
      </c>
      <c r="I314" s="42" t="str">
        <f>IFERROR(VLOOKUP(CANTIDAD[[#This Row],[Ubicación]],SAP[],6,FALSE),"")</f>
        <v>27/08/2027</v>
      </c>
      <c r="J314" s="11" t="str">
        <f>IFERROR(VLOOKUP(CANTIDAD[[#This Row],[Ubicación]],SAP[],7,FALSE),"")</f>
        <v>1F</v>
      </c>
      <c r="K314" s="11">
        <f>IFERROR(VLOOKUP(CANTIDAD[[#This Row],[Ubicación]],SAP[],10,FALSE),"")</f>
        <v>444</v>
      </c>
      <c r="L314" s="48">
        <f>IFERROR(VLOOKUP(CANTIDAD[[#This Row],[Producto]],MARA[],5,FALSE),"")</f>
        <v>15</v>
      </c>
      <c r="M314" s="48" t="str">
        <f>IFERROR(VLOOKUP(CANTIDAD[[#This Row],[Producto]],MARA[],4,FALSE),"")</f>
        <v>CJA</v>
      </c>
      <c r="N314" s="136" t="s">
        <v>4659</v>
      </c>
    </row>
    <row r="315" spans="1:14" hidden="1">
      <c r="A315" s="139" t="str">
        <f t="shared" si="4"/>
        <v>PASILLO 10</v>
      </c>
      <c r="B315" s="93" t="s">
        <v>3595</v>
      </c>
      <c r="C315" s="11">
        <f>IFERROR(VLOOKUP(CANTIDAD[[#This Row],[Ubicación]],SAP[],3,FALSE),"")</f>
        <v>8316036</v>
      </c>
      <c r="D315" s="30">
        <f>IFERROR(VLOOKUP(CANTIDAD[[#This Row],[Producto]],MARA[],3,FALSE),"")</f>
        <v>17751851008591</v>
      </c>
      <c r="E315" s="13" t="str">
        <f>IFERROR(VLOOKUP(CANTIDAD[[#This Row],[Ubicación]],SAP[],4,FALSE),"")</f>
        <v>LIMPIADOR CREMOSO SAPOLIO 750GR 12UND</v>
      </c>
      <c r="F315" s="13">
        <f>IFERROR(VLOOKUP(CANTIDAD[[#This Row],[Ubicación]],SAP[],8,FALSE),"")</f>
        <v>24</v>
      </c>
      <c r="G315" s="13" t="str">
        <f>IFERROR(VLOOKUP(CANTIDAD[[#This Row],[Ubicación]],SAP[],9,FALSE),"")</f>
        <v>CJA</v>
      </c>
      <c r="H315" s="13">
        <f>IFERROR(VLOOKUP(CANTIDAD[[#This Row],[Ubicación]],SAP[],5,FALSE),"")</f>
        <v>2604255060</v>
      </c>
      <c r="I315" s="43" t="str">
        <f>IFERROR(VLOOKUP(CANTIDAD[[#This Row],[Ubicación]],SAP[],6,FALSE),"")</f>
        <v>25/04/2029</v>
      </c>
      <c r="J315" s="13" t="str">
        <f>IFERROR(VLOOKUP(CANTIDAD[[#This Row],[Ubicación]],SAP[],7,FALSE),"")</f>
        <v>1F</v>
      </c>
      <c r="K315" s="14">
        <f>IFERROR(VLOOKUP(CANTIDAD[[#This Row],[Ubicación]],SAP[],10,FALSE),"")</f>
        <v>288</v>
      </c>
      <c r="L315" s="48">
        <f>IFERROR(VLOOKUP(CANTIDAD[[#This Row],[Producto]],MARA[],5,FALSE),"")</f>
        <v>20</v>
      </c>
      <c r="M315" s="48" t="str">
        <f>IFERROR(VLOOKUP(CANTIDAD[[#This Row],[Producto]],MARA[],4,FALSE),"")</f>
        <v>CJA</v>
      </c>
      <c r="N315" s="136" t="s">
        <v>4660</v>
      </c>
    </row>
    <row r="316" spans="1:14" hidden="1">
      <c r="A316" s="139" t="str">
        <f t="shared" si="4"/>
        <v>PASILLO 10</v>
      </c>
      <c r="B316" s="92" t="s">
        <v>3410</v>
      </c>
      <c r="C316" s="11">
        <f>IFERROR(VLOOKUP(CANTIDAD[[#This Row],[Ubicación]],SAP[],3,FALSE),"")</f>
        <v>8305366</v>
      </c>
      <c r="D316" s="29">
        <f>IFERROR(VLOOKUP(CANTIDAD[[#This Row],[Producto]],MARA[],3,FALSE),"")</f>
        <v>27750243087043</v>
      </c>
      <c r="E316" s="11" t="str">
        <f>IFERROR(VLOOKUP(CANTIDAD[[#This Row],[Ubicación]],SAP[],4,FALSE),"")</f>
        <v>LAVAV. LIQ. PATITO LIMÓM 750ML 12 FCO SM</v>
      </c>
      <c r="F316" s="11">
        <f>IFERROR(VLOOKUP(CANTIDAD[[#This Row],[Ubicación]],SAP[],8,FALSE),"")</f>
        <v>18</v>
      </c>
      <c r="G316" s="11" t="str">
        <f>IFERROR(VLOOKUP(CANTIDAD[[#This Row],[Ubicación]],SAP[],9,FALSE),"")</f>
        <v>CJA</v>
      </c>
      <c r="H316" s="11">
        <f>IFERROR(VLOOKUP(CANTIDAD[[#This Row],[Ubicación]],SAP[],5,FALSE),"")</f>
        <v>2603185060</v>
      </c>
      <c r="I316" s="42" t="str">
        <f>IFERROR(VLOOKUP(CANTIDAD[[#This Row],[Ubicación]],SAP[],6,FALSE),"")</f>
        <v>18/03/2029</v>
      </c>
      <c r="J316" s="11" t="str">
        <f>IFERROR(VLOOKUP(CANTIDAD[[#This Row],[Ubicación]],SAP[],7,FALSE),"")</f>
        <v>1F</v>
      </c>
      <c r="K316" s="11">
        <f>IFERROR(VLOOKUP(CANTIDAD[[#This Row],[Ubicación]],SAP[],10,FALSE),"")</f>
        <v>216</v>
      </c>
      <c r="L316" s="48">
        <f>IFERROR(VLOOKUP(CANTIDAD[[#This Row],[Producto]],MARA[],5,FALSE),"")</f>
        <v>16</v>
      </c>
      <c r="M316" s="48" t="str">
        <f>IFERROR(VLOOKUP(CANTIDAD[[#This Row],[Producto]],MARA[],4,FALSE),"")</f>
        <v>CJA</v>
      </c>
      <c r="N316" s="136" t="s">
        <v>4661</v>
      </c>
    </row>
    <row r="317" spans="1:14" hidden="1">
      <c r="A317" s="139" t="str">
        <f t="shared" si="4"/>
        <v>PASILLO 10</v>
      </c>
      <c r="B317" s="93" t="s">
        <v>3355</v>
      </c>
      <c r="C317" s="11">
        <f>IFERROR(VLOOKUP(CANTIDAD[[#This Row],[Ubicación]],SAP[],3,FALSE),"")</f>
        <v>8305337</v>
      </c>
      <c r="D317" s="30">
        <f>IFERROR(VLOOKUP(CANTIDAD[[#This Row],[Producto]],MARA[],3,FALSE),"")</f>
        <v>17750243085431</v>
      </c>
      <c r="E317" s="13" t="str">
        <f>IFERROR(VLOOKUP(CANTIDAD[[#This Row],[Ubicación]],SAP[],4,FALSE),"")</f>
        <v>LAVAV. LIQ. PATITO LIMÓM 750ML 12 FCO</v>
      </c>
      <c r="F317" s="13">
        <f>IFERROR(VLOOKUP(CANTIDAD[[#This Row],[Ubicación]],SAP[],8,FALSE),"")</f>
        <v>42</v>
      </c>
      <c r="G317" s="13" t="str">
        <f>IFERROR(VLOOKUP(CANTIDAD[[#This Row],[Ubicación]],SAP[],9,FALSE),"")</f>
        <v>CJA</v>
      </c>
      <c r="H317" s="13">
        <f>IFERROR(VLOOKUP(CANTIDAD[[#This Row],[Ubicación]],SAP[],5,FALSE),"")</f>
        <v>2606165060</v>
      </c>
      <c r="I317" s="43" t="str">
        <f>IFERROR(VLOOKUP(CANTIDAD[[#This Row],[Ubicación]],SAP[],6,FALSE),"")</f>
        <v>16/06/2029</v>
      </c>
      <c r="J317" s="13" t="str">
        <f>IFERROR(VLOOKUP(CANTIDAD[[#This Row],[Ubicación]],SAP[],7,FALSE),"")</f>
        <v>1F</v>
      </c>
      <c r="K317" s="14">
        <f>IFERROR(VLOOKUP(CANTIDAD[[#This Row],[Ubicación]],SAP[],10,FALSE),"")</f>
        <v>504</v>
      </c>
      <c r="L317" s="48">
        <f>IFERROR(VLOOKUP(CANTIDAD[[#This Row],[Producto]],MARA[],5,FALSE),"")</f>
        <v>16</v>
      </c>
      <c r="M317" s="48" t="str">
        <f>IFERROR(VLOOKUP(CANTIDAD[[#This Row],[Producto]],MARA[],4,FALSE),"")</f>
        <v>CJA</v>
      </c>
      <c r="N317" s="136" t="s">
        <v>4662</v>
      </c>
    </row>
    <row r="318" spans="1:14" hidden="1">
      <c r="A318" s="139" t="str">
        <f t="shared" si="4"/>
        <v>PASILLO 10</v>
      </c>
      <c r="B318" s="92" t="s">
        <v>3303</v>
      </c>
      <c r="C318" s="11">
        <f>IFERROR(VLOOKUP(CANTIDAD[[#This Row],[Ubicación]],SAP[],3,FALSE),"")</f>
        <v>8305274</v>
      </c>
      <c r="D318" s="29">
        <f>IFERROR(VLOOKUP(CANTIDAD[[#This Row],[Producto]],MARA[],3,FALSE),"")</f>
        <v>37751851010765</v>
      </c>
      <c r="E318" s="11" t="str">
        <f>IFERROR(VLOOKUP(CANTIDAD[[#This Row],[Ubicación]],SAP[],4,FALSE),"")</f>
        <v>LAVAV. LIQ.SAPOLIO LIMÓN 750ML 12FCO PE.</v>
      </c>
      <c r="F318" s="11">
        <f>IFERROR(VLOOKUP(CANTIDAD[[#This Row],[Ubicación]],SAP[],8,FALSE),"")</f>
        <v>60</v>
      </c>
      <c r="G318" s="11" t="str">
        <f>IFERROR(VLOOKUP(CANTIDAD[[#This Row],[Ubicación]],SAP[],9,FALSE),"")</f>
        <v>CJA</v>
      </c>
      <c r="H318" s="11">
        <f>IFERROR(VLOOKUP(CANTIDAD[[#This Row],[Ubicación]],SAP[],5,FALSE),"")</f>
        <v>2608125060</v>
      </c>
      <c r="I318" s="42">
        <f>IFERROR(VLOOKUP(CANTIDAD[[#This Row],[Ubicación]],SAP[],6,FALSE),"")</f>
        <v>47460</v>
      </c>
      <c r="J318" s="11" t="str">
        <f>IFERROR(VLOOKUP(CANTIDAD[[#This Row],[Ubicación]],SAP[],7,FALSE),"")</f>
        <v>1F</v>
      </c>
      <c r="K318" s="11">
        <f>IFERROR(VLOOKUP(CANTIDAD[[#This Row],[Ubicación]],SAP[],10,FALSE),"")</f>
        <v>720</v>
      </c>
      <c r="L318" s="48">
        <f>IFERROR(VLOOKUP(CANTIDAD[[#This Row],[Producto]],MARA[],5,FALSE),"")</f>
        <v>16</v>
      </c>
      <c r="M318" s="48" t="str">
        <f>IFERROR(VLOOKUP(CANTIDAD[[#This Row],[Producto]],MARA[],4,FALSE),"")</f>
        <v>CJA</v>
      </c>
      <c r="N318" s="136" t="s">
        <v>4663</v>
      </c>
    </row>
    <row r="319" spans="1:14" hidden="1">
      <c r="A319" s="139" t="str">
        <f t="shared" si="4"/>
        <v>PASILLO 10</v>
      </c>
      <c r="B319" s="93" t="s">
        <v>3306</v>
      </c>
      <c r="C319" s="11">
        <f>IFERROR(VLOOKUP(CANTIDAD[[#This Row],[Ubicación]],SAP[],3,FALSE),"")</f>
        <v>8305274</v>
      </c>
      <c r="D319" s="30">
        <f>IFERROR(VLOOKUP(CANTIDAD[[#This Row],[Producto]],MARA[],3,FALSE),"")</f>
        <v>37751851010765</v>
      </c>
      <c r="E319" s="13" t="str">
        <f>IFERROR(VLOOKUP(CANTIDAD[[#This Row],[Ubicación]],SAP[],4,FALSE),"")</f>
        <v>LAVAV. LIQ.SAPOLIO LIMÓN 750ML 12FCO PE.</v>
      </c>
      <c r="F319" s="13">
        <f>IFERROR(VLOOKUP(CANTIDAD[[#This Row],[Ubicación]],SAP[],8,FALSE),"")</f>
        <v>4</v>
      </c>
      <c r="G319" s="13" t="str">
        <f>IFERROR(VLOOKUP(CANTIDAD[[#This Row],[Ubicación]],SAP[],9,FALSE),"")</f>
        <v>CJA</v>
      </c>
      <c r="H319" s="13">
        <f>IFERROR(VLOOKUP(CANTIDAD[[#This Row],[Ubicación]],SAP[],5,FALSE),"")</f>
        <v>2608125060</v>
      </c>
      <c r="I319" s="43">
        <f>IFERROR(VLOOKUP(CANTIDAD[[#This Row],[Ubicación]],SAP[],6,FALSE),"")</f>
        <v>47460</v>
      </c>
      <c r="J319" s="13" t="str">
        <f>IFERROR(VLOOKUP(CANTIDAD[[#This Row],[Ubicación]],SAP[],7,FALSE),"")</f>
        <v>1F</v>
      </c>
      <c r="K319" s="14">
        <f>IFERROR(VLOOKUP(CANTIDAD[[#This Row],[Ubicación]],SAP[],10,FALSE),"")</f>
        <v>48</v>
      </c>
      <c r="L319" s="48">
        <f>IFERROR(VLOOKUP(CANTIDAD[[#This Row],[Producto]],MARA[],5,FALSE),"")</f>
        <v>16</v>
      </c>
      <c r="M319" s="48" t="str">
        <f>IFERROR(VLOOKUP(CANTIDAD[[#This Row],[Producto]],MARA[],4,FALSE),"")</f>
        <v>CJA</v>
      </c>
      <c r="N319" s="136" t="s">
        <v>4664</v>
      </c>
    </row>
    <row r="320" spans="1:14" hidden="1">
      <c r="A320" s="139" t="str">
        <f t="shared" si="4"/>
        <v>PASILLO 10</v>
      </c>
      <c r="B320" s="92" t="s">
        <v>3317</v>
      </c>
      <c r="C320" s="11">
        <f>IFERROR(VLOOKUP(CANTIDAD[[#This Row],[Ubicación]],SAP[],3,FALSE),"")</f>
        <v>8305290</v>
      </c>
      <c r="D320" s="29">
        <f>IFERROR(VLOOKUP(CANTIDAD[[#This Row],[Producto]],MARA[],3,FALSE),"")</f>
        <v>37751851010789</v>
      </c>
      <c r="E320" s="11" t="str">
        <f>IFERROR(VLOOKUP(CANTIDAD[[#This Row],[Ubicación]],SAP[],4,FALSE),"")</f>
        <v>LAVAV.LIQ. MANZANA SAPOLIO 750ML 12FC PE</v>
      </c>
      <c r="F320" s="11">
        <f>IFERROR(VLOOKUP(CANTIDAD[[#This Row],[Ubicación]],SAP[],8,FALSE),"")</f>
        <v>38</v>
      </c>
      <c r="G320" s="11" t="str">
        <f>IFERROR(VLOOKUP(CANTIDAD[[#This Row],[Ubicación]],SAP[],9,FALSE),"")</f>
        <v>CJA</v>
      </c>
      <c r="H320" s="11">
        <f>IFERROR(VLOOKUP(CANTIDAD[[#This Row],[Ubicación]],SAP[],5,FALSE),"")</f>
        <v>2606135060</v>
      </c>
      <c r="I320" s="42" t="str">
        <f>IFERROR(VLOOKUP(CANTIDAD[[#This Row],[Ubicación]],SAP[],6,FALSE),"")</f>
        <v>13/06/2029</v>
      </c>
      <c r="J320" s="11" t="str">
        <f>IFERROR(VLOOKUP(CANTIDAD[[#This Row],[Ubicación]],SAP[],7,FALSE),"")</f>
        <v>1F</v>
      </c>
      <c r="K320" s="11">
        <f>IFERROR(VLOOKUP(CANTIDAD[[#This Row],[Ubicación]],SAP[],10,FALSE),"")</f>
        <v>456</v>
      </c>
      <c r="L320" s="48">
        <f>IFERROR(VLOOKUP(CANTIDAD[[#This Row],[Producto]],MARA[],5,FALSE),"")</f>
        <v>16</v>
      </c>
      <c r="M320" s="48" t="str">
        <f>IFERROR(VLOOKUP(CANTIDAD[[#This Row],[Producto]],MARA[],4,FALSE),"")</f>
        <v>CJA</v>
      </c>
      <c r="N320" s="136" t="s">
        <v>4665</v>
      </c>
    </row>
    <row r="321" spans="1:14" hidden="1">
      <c r="A321" s="139" t="str">
        <f t="shared" si="4"/>
        <v>PASILLO 10</v>
      </c>
      <c r="B321" s="93" t="s">
        <v>3634</v>
      </c>
      <c r="C321" s="11">
        <f>IFERROR(VLOOKUP(CANTIDAD[[#This Row],[Ubicación]],SAP[],3,FALSE),"")</f>
        <v>8317048</v>
      </c>
      <c r="D321" s="30">
        <f>IFERROR(VLOOKUP(CANTIDAD[[#This Row],[Producto]],MARA[],3,FALSE),"")</f>
        <v>17751851033340</v>
      </c>
      <c r="E321" s="13" t="str">
        <f>IFERROR(VLOOKUP(CANTIDAD[[#This Row],[Ubicación]],SAP[],4,FALSE),"")</f>
        <v>LIMPIATODO BEBE SAPOLIO 648ML 15UND</v>
      </c>
      <c r="F321" s="13">
        <f>IFERROR(VLOOKUP(CANTIDAD[[#This Row],[Ubicación]],SAP[],8,FALSE),"")</f>
        <v>32</v>
      </c>
      <c r="G321" s="13" t="str">
        <f>IFERROR(VLOOKUP(CANTIDAD[[#This Row],[Ubicación]],SAP[],9,FALSE),"")</f>
        <v>CJA</v>
      </c>
      <c r="H321" s="13">
        <f>IFERROR(VLOOKUP(CANTIDAD[[#This Row],[Ubicación]],SAP[],5,FALSE),"")</f>
        <v>2608085060</v>
      </c>
      <c r="I321" s="43">
        <f>IFERROR(VLOOKUP(CANTIDAD[[#This Row],[Ubicación]],SAP[],6,FALSE),"")</f>
        <v>47338</v>
      </c>
      <c r="J321" s="13" t="str">
        <f>IFERROR(VLOOKUP(CANTIDAD[[#This Row],[Ubicación]],SAP[],7,FALSE),"")</f>
        <v>1F</v>
      </c>
      <c r="K321" s="14">
        <f>IFERROR(VLOOKUP(CANTIDAD[[#This Row],[Ubicación]],SAP[],10,FALSE),"")</f>
        <v>480</v>
      </c>
      <c r="L321" s="48">
        <f>IFERROR(VLOOKUP(CANTIDAD[[#This Row],[Producto]],MARA[],5,FALSE),"")</f>
        <v>13</v>
      </c>
      <c r="M321" s="48" t="str">
        <f>IFERROR(VLOOKUP(CANTIDAD[[#This Row],[Producto]],MARA[],4,FALSE),"")</f>
        <v>CJA</v>
      </c>
      <c r="N321" s="136" t="s">
        <v>4666</v>
      </c>
    </row>
    <row r="322" spans="1:14" hidden="1">
      <c r="A322" s="139" t="str">
        <f t="shared" ref="A322:A385" si="5">"PASILLO " &amp; VALUE(MID(B322, 4, 2))</f>
        <v>PASILLO 10</v>
      </c>
      <c r="B322" s="92" t="s">
        <v>3632</v>
      </c>
      <c r="C322" s="11">
        <f>IFERROR(VLOOKUP(CANTIDAD[[#This Row],[Ubicación]],SAP[],3,FALSE),"")</f>
        <v>8317047</v>
      </c>
      <c r="D322" s="29">
        <f>IFERROR(VLOOKUP(CANTIDAD[[#This Row],[Producto]],MARA[],3,FALSE),"")</f>
        <v>17751851033333</v>
      </c>
      <c r="E322" s="11" t="str">
        <f>IFERROR(VLOOKUP(CANTIDAD[[#This Row],[Ubicación]],SAP[],4,FALSE),"")</f>
        <v>LIMPIATODO FLORAL SAPOLIO 648ML 15UND</v>
      </c>
      <c r="F322" s="11">
        <f>IFERROR(VLOOKUP(CANTIDAD[[#This Row],[Ubicación]],SAP[],8,FALSE),"")</f>
        <v>1</v>
      </c>
      <c r="G322" s="11" t="str">
        <f>IFERROR(VLOOKUP(CANTIDAD[[#This Row],[Ubicación]],SAP[],9,FALSE),"")</f>
        <v>CJA</v>
      </c>
      <c r="H322" s="11">
        <f>IFERROR(VLOOKUP(CANTIDAD[[#This Row],[Ubicación]],SAP[],5,FALSE),"")</f>
        <v>2608115060</v>
      </c>
      <c r="I322" s="42">
        <f>IFERROR(VLOOKUP(CANTIDAD[[#This Row],[Ubicación]],SAP[],6,FALSE),"")</f>
        <v>47430</v>
      </c>
      <c r="J322" s="11" t="str">
        <f>IFERROR(VLOOKUP(CANTIDAD[[#This Row],[Ubicación]],SAP[],7,FALSE),"")</f>
        <v>1F</v>
      </c>
      <c r="K322" s="11">
        <f>IFERROR(VLOOKUP(CANTIDAD[[#This Row],[Ubicación]],SAP[],10,FALSE),"")</f>
        <v>15</v>
      </c>
      <c r="L322" s="48">
        <f>IFERROR(VLOOKUP(CANTIDAD[[#This Row],[Producto]],MARA[],5,FALSE),"")</f>
        <v>13</v>
      </c>
      <c r="M322" s="48" t="str">
        <f>IFERROR(VLOOKUP(CANTIDAD[[#This Row],[Producto]],MARA[],4,FALSE),"")</f>
        <v>CJA</v>
      </c>
      <c r="N322" s="136" t="s">
        <v>4667</v>
      </c>
    </row>
    <row r="323" spans="1:14" hidden="1">
      <c r="A323" s="139" t="str">
        <f t="shared" si="5"/>
        <v>PASILLO 10</v>
      </c>
      <c r="B323" s="93" t="s">
        <v>3630</v>
      </c>
      <c r="C323" s="11">
        <f>IFERROR(VLOOKUP(CANTIDAD[[#This Row],[Ubicación]],SAP[],3,FALSE),"")</f>
        <v>8317046</v>
      </c>
      <c r="D323" s="30">
        <f>IFERROR(VLOOKUP(CANTIDAD[[#This Row],[Producto]],MARA[],3,FALSE),"")</f>
        <v>17751851033326</v>
      </c>
      <c r="E323" s="13" t="str">
        <f>IFERROR(VLOOKUP(CANTIDAD[[#This Row],[Ubicación]],SAP[],4,FALSE),"")</f>
        <v>LIMPIATODO LAVANDA SAPOLIO 648ML 15UND</v>
      </c>
      <c r="F323" s="13">
        <f>IFERROR(VLOOKUP(CANTIDAD[[#This Row],[Ubicación]],SAP[],8,FALSE),"")</f>
        <v>36</v>
      </c>
      <c r="G323" s="13" t="str">
        <f>IFERROR(VLOOKUP(CANTIDAD[[#This Row],[Ubicación]],SAP[],9,FALSE),"")</f>
        <v>CJA</v>
      </c>
      <c r="H323" s="13">
        <f>IFERROR(VLOOKUP(CANTIDAD[[#This Row],[Ubicación]],SAP[],5,FALSE),"")</f>
        <v>2608105060</v>
      </c>
      <c r="I323" s="43">
        <f>IFERROR(VLOOKUP(CANTIDAD[[#This Row],[Ubicación]],SAP[],6,FALSE),"")</f>
        <v>47399</v>
      </c>
      <c r="J323" s="13" t="str">
        <f>IFERROR(VLOOKUP(CANTIDAD[[#This Row],[Ubicación]],SAP[],7,FALSE),"")</f>
        <v>1F</v>
      </c>
      <c r="K323" s="14">
        <f>IFERROR(VLOOKUP(CANTIDAD[[#This Row],[Ubicación]],SAP[],10,FALSE),"")</f>
        <v>540</v>
      </c>
      <c r="L323" s="48">
        <f>IFERROR(VLOOKUP(CANTIDAD[[#This Row],[Producto]],MARA[],5,FALSE),"")</f>
        <v>13</v>
      </c>
      <c r="M323" s="48" t="str">
        <f>IFERROR(VLOOKUP(CANTIDAD[[#This Row],[Producto]],MARA[],4,FALSE),"")</f>
        <v>CJA</v>
      </c>
      <c r="N323" s="136" t="s">
        <v>4668</v>
      </c>
    </row>
    <row r="324" spans="1:14" hidden="1">
      <c r="A324" s="139" t="str">
        <f t="shared" si="5"/>
        <v>PASILLO 10</v>
      </c>
      <c r="B324" s="92" t="s">
        <v>3850</v>
      </c>
      <c r="C324" s="11">
        <f>IFERROR(VLOOKUP(CANTIDAD[[#This Row],[Ubicación]],SAP[],3,FALSE),"")</f>
        <v>8400701</v>
      </c>
      <c r="D324" s="29">
        <f>IFERROR(VLOOKUP(CANTIDAD[[#This Row],[Producto]],MARA[],3,FALSE),"")</f>
        <v>27750243085018</v>
      </c>
      <c r="E324" s="11" t="str">
        <f>IFERROR(VLOOKUP(CANTIDAD[[#This Row],[Ubicación]],SAP[],4,FALSE),"")</f>
        <v>DET.LIQ BOLIVAR FLORAL FLUYE 1.2L 8DPK</v>
      </c>
      <c r="F324" s="11">
        <f>IFERROR(VLOOKUP(CANTIDAD[[#This Row],[Ubicación]],SAP[],8,FALSE),"")</f>
        <v>36</v>
      </c>
      <c r="G324" s="11" t="str">
        <f>IFERROR(VLOOKUP(CANTIDAD[[#This Row],[Ubicación]],SAP[],9,FALSE),"")</f>
        <v>CJA</v>
      </c>
      <c r="H324" s="11" t="str">
        <f>IFERROR(VLOOKUP(CANTIDAD[[#This Row],[Ubicación]],SAP[],5,FALSE),"")</f>
        <v>20722506M</v>
      </c>
      <c r="I324" s="42">
        <f>IFERROR(VLOOKUP(CANTIDAD[[#This Row],[Ubicación]],SAP[],6,FALSE),"")</f>
        <v>46972</v>
      </c>
      <c r="J324" s="11" t="str">
        <f>IFERROR(VLOOKUP(CANTIDAD[[#This Row],[Ubicación]],SAP[],7,FALSE),"")</f>
        <v>1F</v>
      </c>
      <c r="K324" s="11">
        <f>IFERROR(VLOOKUP(CANTIDAD[[#This Row],[Ubicación]],SAP[],10,FALSE),"")</f>
        <v>288</v>
      </c>
      <c r="L324" s="48">
        <f>IFERROR(VLOOKUP(CANTIDAD[[#This Row],[Producto]],MARA[],5,FALSE),"")</f>
        <v>10</v>
      </c>
      <c r="M324" s="48" t="str">
        <f>IFERROR(VLOOKUP(CANTIDAD[[#This Row],[Producto]],MARA[],4,FALSE),"")</f>
        <v>CJA</v>
      </c>
      <c r="N324" s="136" t="s">
        <v>4669</v>
      </c>
    </row>
    <row r="325" spans="1:14" hidden="1">
      <c r="A325" s="139" t="str">
        <f t="shared" si="5"/>
        <v>PASILLO 10</v>
      </c>
      <c r="B325" s="93" t="s">
        <v>3514</v>
      </c>
      <c r="C325" s="11">
        <f>IFERROR(VLOOKUP(CANTIDAD[[#This Row],[Ubicación]],SAP[],3,FALSE),"")</f>
        <v>8315014</v>
      </c>
      <c r="D325" s="30">
        <f>IFERROR(VLOOKUP(CANTIDAD[[#This Row],[Producto]],MARA[],3,FALSE),"")</f>
        <v>17751851024324</v>
      </c>
      <c r="E325" s="13" t="str">
        <f>IFERROR(VLOOKUP(CANTIDAD[[#This Row],[Ubicación]],SAP[],4,FALSE),"")</f>
        <v>WC POWER PLUS AZUL SAPOLIO 750ML 12UND</v>
      </c>
      <c r="F325" s="13">
        <f>IFERROR(VLOOKUP(CANTIDAD[[#This Row],[Ubicación]],SAP[],8,FALSE),"")</f>
        <v>6</v>
      </c>
      <c r="G325" s="13" t="str">
        <f>IFERROR(VLOOKUP(CANTIDAD[[#This Row],[Ubicación]],SAP[],9,FALSE),"")</f>
        <v>CJA</v>
      </c>
      <c r="H325" s="13">
        <f>IFERROR(VLOOKUP(CANTIDAD[[#This Row],[Ubicación]],SAP[],5,FALSE),"")</f>
        <v>2608215070</v>
      </c>
      <c r="I325" s="43" t="str">
        <f>IFERROR(VLOOKUP(CANTIDAD[[#This Row],[Ubicación]],SAP[],6,FALSE),"")</f>
        <v>21/08/2027</v>
      </c>
      <c r="J325" s="13" t="str">
        <f>IFERROR(VLOOKUP(CANTIDAD[[#This Row],[Ubicación]],SAP[],7,FALSE),"")</f>
        <v>1F</v>
      </c>
      <c r="K325" s="14">
        <f>IFERROR(VLOOKUP(CANTIDAD[[#This Row],[Ubicación]],SAP[],10,FALSE),"")</f>
        <v>72</v>
      </c>
      <c r="L325" s="48">
        <f>IFERROR(VLOOKUP(CANTIDAD[[#This Row],[Producto]],MARA[],5,FALSE),"")</f>
        <v>12</v>
      </c>
      <c r="M325" s="48" t="str">
        <f>IFERROR(VLOOKUP(CANTIDAD[[#This Row],[Producto]],MARA[],4,FALSE),"")</f>
        <v>CJA</v>
      </c>
      <c r="N325" s="136" t="s">
        <v>4670</v>
      </c>
    </row>
    <row r="326" spans="1:14" hidden="1">
      <c r="A326" s="139" t="str">
        <f t="shared" si="5"/>
        <v>PASILLO 10</v>
      </c>
      <c r="B326" s="92" t="s">
        <v>3516</v>
      </c>
      <c r="C326" s="11">
        <f>IFERROR(VLOOKUP(CANTIDAD[[#This Row],[Ubicación]],SAP[],3,FALSE),"")</f>
        <v>8315017</v>
      </c>
      <c r="D326" s="29">
        <f>IFERROR(VLOOKUP(CANTIDAD[[#This Row],[Producto]],MARA[],3,FALSE),"")</f>
        <v>17751851024010</v>
      </c>
      <c r="E326" s="11" t="str">
        <f>IFERROR(VLOOKUP(CANTIDAD[[#This Row],[Ubicación]],SAP[],4,FALSE),"")</f>
        <v>WC POWER MAX NEGRO SAPOLIO 750ML 12UND</v>
      </c>
      <c r="F326" s="11">
        <f>IFERROR(VLOOKUP(CANTIDAD[[#This Row],[Ubicación]],SAP[],8,FALSE),"")</f>
        <v>40</v>
      </c>
      <c r="G326" s="11" t="str">
        <f>IFERROR(VLOOKUP(CANTIDAD[[#This Row],[Ubicación]],SAP[],9,FALSE),"")</f>
        <v>CJA</v>
      </c>
      <c r="H326" s="11">
        <f>IFERROR(VLOOKUP(CANTIDAD[[#This Row],[Ubicación]],SAP[],5,FALSE),"")</f>
        <v>2608195070</v>
      </c>
      <c r="I326" s="42" t="str">
        <f>IFERROR(VLOOKUP(CANTIDAD[[#This Row],[Ubicación]],SAP[],6,FALSE),"")</f>
        <v>19/08/2027</v>
      </c>
      <c r="J326" s="11" t="str">
        <f>IFERROR(VLOOKUP(CANTIDAD[[#This Row],[Ubicación]],SAP[],7,FALSE),"")</f>
        <v>1F</v>
      </c>
      <c r="K326" s="11">
        <f>IFERROR(VLOOKUP(CANTIDAD[[#This Row],[Ubicación]],SAP[],10,FALSE),"")</f>
        <v>480</v>
      </c>
      <c r="L326" s="48">
        <f>IFERROR(VLOOKUP(CANTIDAD[[#This Row],[Producto]],MARA[],5,FALSE),"")</f>
        <v>12</v>
      </c>
      <c r="M326" s="48" t="str">
        <f>IFERROR(VLOOKUP(CANTIDAD[[#This Row],[Producto]],MARA[],4,FALSE),"")</f>
        <v>CJA</v>
      </c>
      <c r="N326" s="136" t="s">
        <v>4671</v>
      </c>
    </row>
    <row r="327" spans="1:14" hidden="1">
      <c r="A327" s="139" t="str">
        <f t="shared" si="5"/>
        <v>PASILLO 10</v>
      </c>
      <c r="B327" s="93" t="s">
        <v>3568</v>
      </c>
      <c r="C327" s="11">
        <f>IFERROR(VLOOKUP(CANTIDAD[[#This Row],[Ubicación]],SAP[],3,FALSE),"")</f>
        <v>8315151</v>
      </c>
      <c r="D327" s="30">
        <f>IFERROR(VLOOKUP(CANTIDAD[[#This Row],[Producto]],MARA[],3,FALSE),"")</f>
        <v>27750243086695</v>
      </c>
      <c r="E327" s="13" t="str">
        <f>IFERROR(VLOOKUP(CANTIDAD[[#This Row],[Ubicación]],SAP[],4,FALSE),"")</f>
        <v>SAP PROF EVOLUTION MULTIQUAT 1.8L 6UND</v>
      </c>
      <c r="F327" s="13">
        <f>IFERROR(VLOOKUP(CANTIDAD[[#This Row],[Ubicación]],SAP[],8,FALSE),"")</f>
        <v>31</v>
      </c>
      <c r="G327" s="13" t="str">
        <f>IFERROR(VLOOKUP(CANTIDAD[[#This Row],[Ubicación]],SAP[],9,FALSE),"")</f>
        <v>CJA</v>
      </c>
      <c r="H327" s="13">
        <f>IFERROR(VLOOKUP(CANTIDAD[[#This Row],[Ubicación]],SAP[],5,FALSE),"")</f>
        <v>2607215060</v>
      </c>
      <c r="I327" s="43" t="str">
        <f>IFERROR(VLOOKUP(CANTIDAD[[#This Row],[Ubicación]],SAP[],6,FALSE),"")</f>
        <v>21/07/2028</v>
      </c>
      <c r="J327" s="13" t="str">
        <f>IFERROR(VLOOKUP(CANTIDAD[[#This Row],[Ubicación]],SAP[],7,FALSE),"")</f>
        <v>1F</v>
      </c>
      <c r="K327" s="14">
        <f>IFERROR(VLOOKUP(CANTIDAD[[#This Row],[Ubicación]],SAP[],10,FALSE),"")</f>
        <v>186</v>
      </c>
      <c r="L327" s="48">
        <f>IFERROR(VLOOKUP(CANTIDAD[[#This Row],[Producto]],MARA[],5,FALSE),"")</f>
        <v>10</v>
      </c>
      <c r="M327" s="48" t="str">
        <f>IFERROR(VLOOKUP(CANTIDAD[[#This Row],[Producto]],MARA[],4,FALSE),"")</f>
        <v>CJA</v>
      </c>
      <c r="N327" s="136" t="s">
        <v>4672</v>
      </c>
    </row>
    <row r="328" spans="1:14" hidden="1">
      <c r="A328" s="139" t="str">
        <f t="shared" si="5"/>
        <v>PASILLO 10</v>
      </c>
      <c r="B328" s="92" t="s">
        <v>4195</v>
      </c>
      <c r="C328" s="11">
        <f>IFERROR(VLOOKUP(CANTIDAD[[#This Row],[Ubicación]],SAP[],3,FALSE),"")</f>
        <v>9350421</v>
      </c>
      <c r="D328" s="29">
        <f>IFERROR(VLOOKUP(CANTIDAD[[#This Row],[Producto]],MARA[],3,FALSE),"")</f>
        <v>17750243084342</v>
      </c>
      <c r="E328" s="11" t="str">
        <f>IFERROR(VLOOKUP(CANTIDAD[[#This Row],[Ubicación]],SAP[],4,FALSE),"")</f>
        <v>SUA.BOL.PLUS.LAV 800ML.12FCO NV</v>
      </c>
      <c r="F328" s="11">
        <f>IFERROR(VLOOKUP(CANTIDAD[[#This Row],[Ubicación]],SAP[],8,FALSE),"")</f>
        <v>29</v>
      </c>
      <c r="G328" s="11" t="str">
        <f>IFERROR(VLOOKUP(CANTIDAD[[#This Row],[Ubicación]],SAP[],9,FALSE),"")</f>
        <v>CJA</v>
      </c>
      <c r="H328" s="11" t="str">
        <f>IFERROR(VLOOKUP(CANTIDAD[[#This Row],[Ubicación]],SAP[],5,FALSE),"")</f>
        <v>20744126S</v>
      </c>
      <c r="I328" s="42">
        <f>IFERROR(VLOOKUP(CANTIDAD[[#This Row],[Ubicación]],SAP[],6,FALSE),"")</f>
        <v>46640</v>
      </c>
      <c r="J328" s="11" t="str">
        <f>IFERROR(VLOOKUP(CANTIDAD[[#This Row],[Ubicación]],SAP[],7,FALSE),"")</f>
        <v>1F</v>
      </c>
      <c r="K328" s="11">
        <f>IFERROR(VLOOKUP(CANTIDAD[[#This Row],[Ubicación]],SAP[],10,FALSE),"")</f>
        <v>348</v>
      </c>
      <c r="L328" s="48">
        <f>IFERROR(VLOOKUP(CANTIDAD[[#This Row],[Producto]],MARA[],5,FALSE),"")</f>
        <v>14</v>
      </c>
      <c r="M328" s="48" t="str">
        <f>IFERROR(VLOOKUP(CANTIDAD[[#This Row],[Producto]],MARA[],4,FALSE),"")</f>
        <v>CJA</v>
      </c>
      <c r="N328" s="136" t="s">
        <v>4673</v>
      </c>
    </row>
    <row r="329" spans="1:14" hidden="1">
      <c r="A329" s="139" t="str">
        <f t="shared" si="5"/>
        <v>PASILLO 10</v>
      </c>
      <c r="B329" s="93" t="s">
        <v>4147</v>
      </c>
      <c r="C329" s="11">
        <f>IFERROR(VLOOKUP(CANTIDAD[[#This Row],[Ubicación]],SAP[],3,FALSE),"")</f>
        <v>9350406</v>
      </c>
      <c r="D329" s="30">
        <f>IFERROR(VLOOKUP(CANTIDAD[[#This Row],[Producto]],MARA[],3,FALSE),"")</f>
        <v>17750243083031</v>
      </c>
      <c r="E329" s="13" t="str">
        <f>IFERROR(VLOOKUP(CANTIDAD[[#This Row],[Ubicación]],SAP[],4,FALSE),"")</f>
        <v>SUA.BOL.FLORAL 800ML.12FCO</v>
      </c>
      <c r="F329" s="13">
        <f>IFERROR(VLOOKUP(CANTIDAD[[#This Row],[Ubicación]],SAP[],8,FALSE),"")</f>
        <v>39</v>
      </c>
      <c r="G329" s="13" t="str">
        <f>IFERROR(VLOOKUP(CANTIDAD[[#This Row],[Ubicación]],SAP[],9,FALSE),"")</f>
        <v>CJA</v>
      </c>
      <c r="H329" s="13" t="str">
        <f>IFERROR(VLOOKUP(CANTIDAD[[#This Row],[Ubicación]],SAP[],5,FALSE),"")</f>
        <v>20744036S</v>
      </c>
      <c r="I329" s="43" t="str">
        <f>IFERROR(VLOOKUP(CANTIDAD[[#This Row],[Ubicación]],SAP[],6,FALSE),"")</f>
        <v>16/10/2027</v>
      </c>
      <c r="J329" s="13" t="str">
        <f>IFERROR(VLOOKUP(CANTIDAD[[#This Row],[Ubicación]],SAP[],7,FALSE),"")</f>
        <v>1F</v>
      </c>
      <c r="K329" s="14">
        <f>IFERROR(VLOOKUP(CANTIDAD[[#This Row],[Ubicación]],SAP[],10,FALSE),"")</f>
        <v>468</v>
      </c>
      <c r="L329" s="48">
        <f>IFERROR(VLOOKUP(CANTIDAD[[#This Row],[Producto]],MARA[],5,FALSE),"")</f>
        <v>14</v>
      </c>
      <c r="M329" s="48" t="str">
        <f>IFERROR(VLOOKUP(CANTIDAD[[#This Row],[Producto]],MARA[],4,FALSE),"")</f>
        <v>CJA</v>
      </c>
      <c r="N329" s="136" t="s">
        <v>4674</v>
      </c>
    </row>
    <row r="330" spans="1:14" hidden="1">
      <c r="A330" s="139" t="str">
        <f t="shared" si="5"/>
        <v>PASILLO 10</v>
      </c>
      <c r="B330" s="92" t="s">
        <v>4151</v>
      </c>
      <c r="C330" s="11">
        <f>IFERROR(VLOOKUP(CANTIDAD[[#This Row],[Ubicación]],SAP[],3,FALSE),"")</f>
        <v>9350406</v>
      </c>
      <c r="D330" s="29">
        <f>IFERROR(VLOOKUP(CANTIDAD[[#This Row],[Producto]],MARA[],3,FALSE),"")</f>
        <v>17750243083031</v>
      </c>
      <c r="E330" s="11" t="str">
        <f>IFERROR(VLOOKUP(CANTIDAD[[#This Row],[Ubicación]],SAP[],4,FALSE),"")</f>
        <v>SUA.BOL.FLORAL 800ML.12FCO</v>
      </c>
      <c r="F330" s="11">
        <f>IFERROR(VLOOKUP(CANTIDAD[[#This Row],[Ubicación]],SAP[],8,FALSE),"")</f>
        <v>24</v>
      </c>
      <c r="G330" s="11" t="str">
        <f>IFERROR(VLOOKUP(CANTIDAD[[#This Row],[Ubicación]],SAP[],9,FALSE),"")</f>
        <v>CJA</v>
      </c>
      <c r="H330" s="11" t="str">
        <f>IFERROR(VLOOKUP(CANTIDAD[[#This Row],[Ubicación]],SAP[],5,FALSE),"")</f>
        <v>20744036S</v>
      </c>
      <c r="I330" s="42" t="str">
        <f>IFERROR(VLOOKUP(CANTIDAD[[#This Row],[Ubicación]],SAP[],6,FALSE),"")</f>
        <v>16/10/2027</v>
      </c>
      <c r="J330" s="11" t="str">
        <f>IFERROR(VLOOKUP(CANTIDAD[[#This Row],[Ubicación]],SAP[],7,FALSE),"")</f>
        <v>1F</v>
      </c>
      <c r="K330" s="11">
        <f>IFERROR(VLOOKUP(CANTIDAD[[#This Row],[Ubicación]],SAP[],10,FALSE),"")</f>
        <v>288</v>
      </c>
      <c r="L330" s="48">
        <f>IFERROR(VLOOKUP(CANTIDAD[[#This Row],[Producto]],MARA[],5,FALSE),"")</f>
        <v>14</v>
      </c>
      <c r="M330" s="48" t="str">
        <f>IFERROR(VLOOKUP(CANTIDAD[[#This Row],[Producto]],MARA[],4,FALSE),"")</f>
        <v>CJA</v>
      </c>
      <c r="N330" s="136" t="s">
        <v>4675</v>
      </c>
    </row>
    <row r="331" spans="1:14" hidden="1">
      <c r="A331" s="139" t="str">
        <f t="shared" si="5"/>
        <v>PASILLO 10</v>
      </c>
      <c r="B331" s="93" t="s">
        <v>3398</v>
      </c>
      <c r="C331" s="11">
        <f>IFERROR(VLOOKUP(CANTIDAD[[#This Row],[Ubicación]],SAP[],3,FALSE),"")</f>
        <v>8305360</v>
      </c>
      <c r="D331" s="30">
        <f>IFERROR(VLOOKUP(CANTIDAD[[#This Row],[Producto]],MARA[],3,FALSE),"")</f>
        <v>17861036793676</v>
      </c>
      <c r="E331" s="13" t="str">
        <f>IFERROR(VLOOKUP(CANTIDAD[[#This Row],[Ubicación]],SAP[],4,FALSE),"")</f>
        <v>CREMA LAVAVAJILLA LAVAX LIMON 850G X 12U</v>
      </c>
      <c r="F331" s="13">
        <f>IFERROR(VLOOKUP(CANTIDAD[[#This Row],[Ubicación]],SAP[],8,FALSE),"")</f>
        <v>30</v>
      </c>
      <c r="G331" s="13" t="str">
        <f>IFERROR(VLOOKUP(CANTIDAD[[#This Row],[Ubicación]],SAP[],9,FALSE),"")</f>
        <v>CJA</v>
      </c>
      <c r="H331" s="13">
        <f>IFERROR(VLOOKUP(CANTIDAD[[#This Row],[Ubicación]],SAP[],5,FALSE),"")</f>
        <v>220685</v>
      </c>
      <c r="I331" s="43" t="str">
        <f>IFERROR(VLOOKUP(CANTIDAD[[#This Row],[Ubicación]],SAP[],6,FALSE),"")</f>
        <v>16/01/2028</v>
      </c>
      <c r="J331" s="13" t="str">
        <f>IFERROR(VLOOKUP(CANTIDAD[[#This Row],[Ubicación]],SAP[],7,FALSE),"")</f>
        <v>1F</v>
      </c>
      <c r="K331" s="14">
        <f>IFERROR(VLOOKUP(CANTIDAD[[#This Row],[Ubicación]],SAP[],10,FALSE),"")</f>
        <v>360</v>
      </c>
      <c r="L331" s="48">
        <f>IFERROR(VLOOKUP(CANTIDAD[[#This Row],[Producto]],MARA[],5,FALSE),"")</f>
        <v>8</v>
      </c>
      <c r="M331" s="48" t="str">
        <f>IFERROR(VLOOKUP(CANTIDAD[[#This Row],[Producto]],MARA[],4,FALSE),"")</f>
        <v>CJA</v>
      </c>
      <c r="N331" s="136" t="s">
        <v>4676</v>
      </c>
    </row>
    <row r="332" spans="1:14" hidden="1">
      <c r="A332" s="139" t="str">
        <f t="shared" si="5"/>
        <v>PASILLO 10</v>
      </c>
      <c r="B332" s="92" t="s">
        <v>3369</v>
      </c>
      <c r="C332" s="11">
        <f>IFERROR(VLOOKUP(CANTIDAD[[#This Row],[Ubicación]],SAP[],3,FALSE),"")</f>
        <v>8305345</v>
      </c>
      <c r="D332" s="29">
        <f>IFERROR(VLOOKUP(CANTIDAD[[#This Row],[Producto]],MARA[],3,FALSE),"")</f>
        <v>17861036793089</v>
      </c>
      <c r="E332" s="11" t="str">
        <f>IFERROR(VLOOKUP(CANTIDAD[[#This Row],[Ubicación]],SAP[],4,FALSE),"")</f>
        <v>CREMA LAVAVAJILLA LAVAX ALOE 850 G X 12U</v>
      </c>
      <c r="F332" s="11">
        <f>IFERROR(VLOOKUP(CANTIDAD[[#This Row],[Ubicación]],SAP[],8,FALSE),"")</f>
        <v>22</v>
      </c>
      <c r="G332" s="11" t="str">
        <f>IFERROR(VLOOKUP(CANTIDAD[[#This Row],[Ubicación]],SAP[],9,FALSE),"")</f>
        <v>CJA</v>
      </c>
      <c r="H332" s="11">
        <f>IFERROR(VLOOKUP(CANTIDAD[[#This Row],[Ubicación]],SAP[],5,FALSE),"")</f>
        <v>231073</v>
      </c>
      <c r="I332" s="42">
        <f>IFERROR(VLOOKUP(CANTIDAD[[#This Row],[Ubicación]],SAP[],6,FALSE),"")</f>
        <v>46759</v>
      </c>
      <c r="J332" s="11" t="str">
        <f>IFERROR(VLOOKUP(CANTIDAD[[#This Row],[Ubicación]],SAP[],7,FALSE),"")</f>
        <v>1F</v>
      </c>
      <c r="K332" s="11">
        <f>IFERROR(VLOOKUP(CANTIDAD[[#This Row],[Ubicación]],SAP[],10,FALSE),"")</f>
        <v>264</v>
      </c>
      <c r="L332" s="48">
        <f>IFERROR(VLOOKUP(CANTIDAD[[#This Row],[Producto]],MARA[],5,FALSE),"")</f>
        <v>8</v>
      </c>
      <c r="M332" s="48" t="str">
        <f>IFERROR(VLOOKUP(CANTIDAD[[#This Row],[Producto]],MARA[],4,FALSE),"")</f>
        <v>CJA</v>
      </c>
      <c r="N332" s="136" t="s">
        <v>4677</v>
      </c>
    </row>
    <row r="333" spans="1:14" hidden="1">
      <c r="A333" s="139" t="str">
        <f t="shared" si="5"/>
        <v>PASILLO 10</v>
      </c>
      <c r="B333" s="93" t="s">
        <v>3374</v>
      </c>
      <c r="C333" s="11">
        <f>IFERROR(VLOOKUP(CANTIDAD[[#This Row],[Ubicación]],SAP[],3,FALSE),"")</f>
        <v>8305349</v>
      </c>
      <c r="D333" s="30">
        <f>IFERROR(VLOOKUP(CANTIDAD[[#This Row],[Producto]],MARA[],3,FALSE),"")</f>
        <v>17861036793126</v>
      </c>
      <c r="E333" s="13" t="str">
        <f>IFERROR(VLOOKUP(CANTIDAD[[#This Row],[Ubicación]],SAP[],4,FALSE),"")</f>
        <v>CREMA LAVAVAJILLA LAVAX AVENA 850G X 12U</v>
      </c>
      <c r="F333" s="13">
        <f>IFERROR(VLOOKUP(CANTIDAD[[#This Row],[Ubicación]],SAP[],8,FALSE),"")</f>
        <v>22</v>
      </c>
      <c r="G333" s="13" t="str">
        <f>IFERROR(VLOOKUP(CANTIDAD[[#This Row],[Ubicación]],SAP[],9,FALSE),"")</f>
        <v>CJA</v>
      </c>
      <c r="H333" s="13">
        <f>IFERROR(VLOOKUP(CANTIDAD[[#This Row],[Ubicación]],SAP[],5,FALSE),"")</f>
        <v>228834</v>
      </c>
      <c r="I333" s="43">
        <f>IFERROR(VLOOKUP(CANTIDAD[[#This Row],[Ubicación]],SAP[],6,FALSE),"")</f>
        <v>47062</v>
      </c>
      <c r="J333" s="13" t="str">
        <f>IFERROR(VLOOKUP(CANTIDAD[[#This Row],[Ubicación]],SAP[],7,FALSE),"")</f>
        <v>1F</v>
      </c>
      <c r="K333" s="14">
        <f>IFERROR(VLOOKUP(CANTIDAD[[#This Row],[Ubicación]],SAP[],10,FALSE),"")</f>
        <v>264</v>
      </c>
      <c r="L333" s="48">
        <f>IFERROR(VLOOKUP(CANTIDAD[[#This Row],[Producto]],MARA[],5,FALSE),"")</f>
        <v>8</v>
      </c>
      <c r="M333" s="48" t="str">
        <f>IFERROR(VLOOKUP(CANTIDAD[[#This Row],[Producto]],MARA[],4,FALSE),"")</f>
        <v>CJA</v>
      </c>
      <c r="N333" s="136" t="s">
        <v>4678</v>
      </c>
    </row>
    <row r="334" spans="1:14" hidden="1">
      <c r="A334" s="139" t="str">
        <f t="shared" si="5"/>
        <v>PASILLO 10</v>
      </c>
      <c r="B334" s="92" t="s">
        <v>3372</v>
      </c>
      <c r="C334" s="11">
        <f>IFERROR(VLOOKUP(CANTIDAD[[#This Row],[Ubicación]],SAP[],3,FALSE),"")</f>
        <v>8305347</v>
      </c>
      <c r="D334" s="29">
        <f>IFERROR(VLOOKUP(CANTIDAD[[#This Row],[Producto]],MARA[],3,FALSE),"")</f>
        <v>17861036793102</v>
      </c>
      <c r="E334" s="11" t="str">
        <f>IFERROR(VLOOKUP(CANTIDAD[[#This Row],[Ubicación]],SAP[],4,FALSE),"")</f>
        <v>CREMA LAVAVAJILLA LAVAX ROSADO 850 GX12U</v>
      </c>
      <c r="F334" s="11">
        <f>IFERROR(VLOOKUP(CANTIDAD[[#This Row],[Ubicación]],SAP[],8,FALSE),"")</f>
        <v>40</v>
      </c>
      <c r="G334" s="11" t="str">
        <f>IFERROR(VLOOKUP(CANTIDAD[[#This Row],[Ubicación]],SAP[],9,FALSE),"")</f>
        <v>CJA</v>
      </c>
      <c r="H334" s="11">
        <f>IFERROR(VLOOKUP(CANTIDAD[[#This Row],[Ubicación]],SAP[],5,FALSE),"")</f>
        <v>228781</v>
      </c>
      <c r="I334" s="42">
        <f>IFERROR(VLOOKUP(CANTIDAD[[#This Row],[Ubicación]],SAP[],6,FALSE),"")</f>
        <v>46970</v>
      </c>
      <c r="J334" s="11" t="str">
        <f>IFERROR(VLOOKUP(CANTIDAD[[#This Row],[Ubicación]],SAP[],7,FALSE),"")</f>
        <v>1F</v>
      </c>
      <c r="K334" s="11">
        <f>IFERROR(VLOOKUP(CANTIDAD[[#This Row],[Ubicación]],SAP[],10,FALSE),"")</f>
        <v>480</v>
      </c>
      <c r="L334" s="48">
        <f>IFERROR(VLOOKUP(CANTIDAD[[#This Row],[Producto]],MARA[],5,FALSE),"")</f>
        <v>8</v>
      </c>
      <c r="M334" s="48" t="str">
        <f>IFERROR(VLOOKUP(CANTIDAD[[#This Row],[Producto]],MARA[],4,FALSE),"")</f>
        <v>CJA</v>
      </c>
      <c r="N334" s="136" t="s">
        <v>4679</v>
      </c>
    </row>
    <row r="335" spans="1:14" hidden="1">
      <c r="A335" s="139" t="str">
        <f t="shared" si="5"/>
        <v>PASILLO 10</v>
      </c>
      <c r="B335" s="93" t="s">
        <v>4680</v>
      </c>
      <c r="C335" s="11" t="str">
        <f>IFERROR(VLOOKUP(CANTIDAD[[#This Row],[Ubicación]],SAP[],3,FALSE),"")</f>
        <v/>
      </c>
      <c r="D335" s="30" t="str">
        <f>IFERROR(VLOOKUP(CANTIDAD[[#This Row],[Producto]],MARA[],3,FALSE),"")</f>
        <v/>
      </c>
      <c r="E335" s="13" t="str">
        <f>IFERROR(VLOOKUP(CANTIDAD[[#This Row],[Ubicación]],SAP[],4,FALSE),"")</f>
        <v/>
      </c>
      <c r="F335" s="13" t="str">
        <f>IFERROR(VLOOKUP(CANTIDAD[[#This Row],[Ubicación]],SAP[],8,FALSE),"")</f>
        <v/>
      </c>
      <c r="G335" s="13" t="str">
        <f>IFERROR(VLOOKUP(CANTIDAD[[#This Row],[Ubicación]],SAP[],9,FALSE),"")</f>
        <v/>
      </c>
      <c r="H335" s="13" t="str">
        <f>IFERROR(VLOOKUP(CANTIDAD[[#This Row],[Ubicación]],SAP[],5,FALSE),"")</f>
        <v/>
      </c>
      <c r="I335" s="43" t="str">
        <f>IFERROR(VLOOKUP(CANTIDAD[[#This Row],[Ubicación]],SAP[],6,FALSE),"")</f>
        <v/>
      </c>
      <c r="J335" s="13" t="str">
        <f>IFERROR(VLOOKUP(CANTIDAD[[#This Row],[Ubicación]],SAP[],7,FALSE),"")</f>
        <v/>
      </c>
      <c r="K335" s="14" t="str">
        <f>IFERROR(VLOOKUP(CANTIDAD[[#This Row],[Ubicación]],SAP[],10,FALSE),"")</f>
        <v/>
      </c>
      <c r="L335" s="48" t="str">
        <f>IFERROR(VLOOKUP(CANTIDAD[[#This Row],[Producto]],MARA[],5,FALSE),"")</f>
        <v/>
      </c>
      <c r="M335" s="48" t="str">
        <f>IFERROR(VLOOKUP(CANTIDAD[[#This Row],[Producto]],MARA[],4,FALSE),"")</f>
        <v/>
      </c>
      <c r="N335" s="136" t="s">
        <v>4681</v>
      </c>
    </row>
    <row r="336" spans="1:14" hidden="1">
      <c r="A336" s="139" t="str">
        <f t="shared" si="5"/>
        <v>PASILLO 10</v>
      </c>
      <c r="B336" s="92" t="s">
        <v>4682</v>
      </c>
      <c r="C336" s="11" t="str">
        <f>IFERROR(VLOOKUP(CANTIDAD[[#This Row],[Ubicación]],SAP[],3,FALSE),"")</f>
        <v/>
      </c>
      <c r="D336" s="29" t="str">
        <f>IFERROR(VLOOKUP(CANTIDAD[[#This Row],[Producto]],MARA[],3,FALSE),"")</f>
        <v/>
      </c>
      <c r="E336" s="11" t="str">
        <f>IFERROR(VLOOKUP(CANTIDAD[[#This Row],[Ubicación]],SAP[],4,FALSE),"")</f>
        <v/>
      </c>
      <c r="F336" s="11" t="str">
        <f>IFERROR(VLOOKUP(CANTIDAD[[#This Row],[Ubicación]],SAP[],8,FALSE),"")</f>
        <v/>
      </c>
      <c r="G336" s="11" t="str">
        <f>IFERROR(VLOOKUP(CANTIDAD[[#This Row],[Ubicación]],SAP[],9,FALSE),"")</f>
        <v/>
      </c>
      <c r="H336" s="11" t="str">
        <f>IFERROR(VLOOKUP(CANTIDAD[[#This Row],[Ubicación]],SAP[],5,FALSE),"")</f>
        <v/>
      </c>
      <c r="I336" s="42" t="str">
        <f>IFERROR(VLOOKUP(CANTIDAD[[#This Row],[Ubicación]],SAP[],6,FALSE),"")</f>
        <v/>
      </c>
      <c r="J336" s="11" t="str">
        <f>IFERROR(VLOOKUP(CANTIDAD[[#This Row],[Ubicación]],SAP[],7,FALSE),"")</f>
        <v/>
      </c>
      <c r="K336" s="11" t="str">
        <f>IFERROR(VLOOKUP(CANTIDAD[[#This Row],[Ubicación]],SAP[],10,FALSE),"")</f>
        <v/>
      </c>
      <c r="L336" s="48" t="str">
        <f>IFERROR(VLOOKUP(CANTIDAD[[#This Row],[Producto]],MARA[],5,FALSE),"")</f>
        <v/>
      </c>
      <c r="M336" s="48" t="str">
        <f>IFERROR(VLOOKUP(CANTIDAD[[#This Row],[Producto]],MARA[],4,FALSE),"")</f>
        <v/>
      </c>
      <c r="N336" s="136" t="s">
        <v>4683</v>
      </c>
    </row>
    <row r="337" spans="1:14" hidden="1">
      <c r="A337" s="139" t="str">
        <f t="shared" si="5"/>
        <v>PASILLO 10</v>
      </c>
      <c r="B337" s="93" t="s">
        <v>4190</v>
      </c>
      <c r="C337" s="11">
        <f>IFERROR(VLOOKUP(CANTIDAD[[#This Row],[Ubicación]],SAP[],3,FALSE),"")</f>
        <v>9350420</v>
      </c>
      <c r="D337" s="30">
        <f>IFERROR(VLOOKUP(CANTIDAD[[#This Row],[Producto]],MARA[],3,FALSE),"")</f>
        <v>17750243084335</v>
      </c>
      <c r="E337" s="13" t="str">
        <f>IFERROR(VLOOKUP(CANTIDAD[[#This Row],[Ubicación]],SAP[],4,FALSE),"")</f>
        <v>SUAV.BOLIVAR BEBESYNINOS 800ML.12FCO NV</v>
      </c>
      <c r="F337" s="13">
        <f>IFERROR(VLOOKUP(CANTIDAD[[#This Row],[Ubicación]],SAP[],8,FALSE),"")</f>
        <v>49</v>
      </c>
      <c r="G337" s="13" t="str">
        <f>IFERROR(VLOOKUP(CANTIDAD[[#This Row],[Ubicación]],SAP[],9,FALSE),"")</f>
        <v>CJA</v>
      </c>
      <c r="H337" s="13" t="str">
        <f>IFERROR(VLOOKUP(CANTIDAD[[#This Row],[Ubicación]],SAP[],5,FALSE),"")</f>
        <v>20824956M</v>
      </c>
      <c r="I337" s="43">
        <f>IFERROR(VLOOKUP(CANTIDAD[[#This Row],[Ubicación]],SAP[],6,FALSE),"")</f>
        <v>46485</v>
      </c>
      <c r="J337" s="13" t="str">
        <f>IFERROR(VLOOKUP(CANTIDAD[[#This Row],[Ubicación]],SAP[],7,FALSE),"")</f>
        <v>1F</v>
      </c>
      <c r="K337" s="14">
        <f>IFERROR(VLOOKUP(CANTIDAD[[#This Row],[Ubicación]],SAP[],10,FALSE),"")</f>
        <v>588</v>
      </c>
      <c r="L337" s="48">
        <f>IFERROR(VLOOKUP(CANTIDAD[[#This Row],[Producto]],MARA[],5,FALSE),"")</f>
        <v>14</v>
      </c>
      <c r="M337" s="48" t="str">
        <f>IFERROR(VLOOKUP(CANTIDAD[[#This Row],[Producto]],MARA[],4,FALSE),"")</f>
        <v>CJA</v>
      </c>
      <c r="N337" s="136" t="s">
        <v>4684</v>
      </c>
    </row>
    <row r="338" spans="1:14" hidden="1">
      <c r="A338" s="139" t="str">
        <f t="shared" si="5"/>
        <v>PASILLO 10</v>
      </c>
      <c r="B338" s="92" t="s">
        <v>4193</v>
      </c>
      <c r="C338" s="11">
        <f>IFERROR(VLOOKUP(CANTIDAD[[#This Row],[Ubicación]],SAP[],3,FALSE),"")</f>
        <v>9350420</v>
      </c>
      <c r="D338" s="29">
        <f>IFERROR(VLOOKUP(CANTIDAD[[#This Row],[Producto]],MARA[],3,FALSE),"")</f>
        <v>17750243084335</v>
      </c>
      <c r="E338" s="11" t="str">
        <f>IFERROR(VLOOKUP(CANTIDAD[[#This Row],[Ubicación]],SAP[],4,FALSE),"")</f>
        <v>SUAV.BOLIVAR BEBESYNINOS 800ML.12FCO NV</v>
      </c>
      <c r="F338" s="11">
        <f>IFERROR(VLOOKUP(CANTIDAD[[#This Row],[Ubicación]],SAP[],8,FALSE),"")</f>
        <v>56</v>
      </c>
      <c r="G338" s="11" t="str">
        <f>IFERROR(VLOOKUP(CANTIDAD[[#This Row],[Ubicación]],SAP[],9,FALSE),"")</f>
        <v>CJA</v>
      </c>
      <c r="H338" s="11" t="str">
        <f>IFERROR(VLOOKUP(CANTIDAD[[#This Row],[Ubicación]],SAP[],5,FALSE),"")</f>
        <v>20824956M</v>
      </c>
      <c r="I338" s="42">
        <f>IFERROR(VLOOKUP(CANTIDAD[[#This Row],[Ubicación]],SAP[],6,FALSE),"")</f>
        <v>46485</v>
      </c>
      <c r="J338" s="11" t="str">
        <f>IFERROR(VLOOKUP(CANTIDAD[[#This Row],[Ubicación]],SAP[],7,FALSE),"")</f>
        <v>1F</v>
      </c>
      <c r="K338" s="11">
        <f>IFERROR(VLOOKUP(CANTIDAD[[#This Row],[Ubicación]],SAP[],10,FALSE),"")</f>
        <v>672</v>
      </c>
      <c r="L338" s="48">
        <f>IFERROR(VLOOKUP(CANTIDAD[[#This Row],[Producto]],MARA[],5,FALSE),"")</f>
        <v>14</v>
      </c>
      <c r="M338" s="48" t="str">
        <f>IFERROR(VLOOKUP(CANTIDAD[[#This Row],[Producto]],MARA[],4,FALSE),"")</f>
        <v>CJA</v>
      </c>
      <c r="N338" s="136" t="s">
        <v>4685</v>
      </c>
    </row>
    <row r="339" spans="1:14" hidden="1">
      <c r="A339" s="139" t="str">
        <f t="shared" si="5"/>
        <v>PASILLO 10</v>
      </c>
      <c r="B339" s="93" t="s">
        <v>3560</v>
      </c>
      <c r="C339" s="11">
        <f>IFERROR(VLOOKUP(CANTIDAD[[#This Row],[Ubicación]],SAP[],3,FALSE),"")</f>
        <v>8315138</v>
      </c>
      <c r="D339" s="30">
        <f>IFERROR(VLOOKUP(CANTIDAD[[#This Row],[Producto]],MARA[],3,FALSE),"")</f>
        <v>17750243065754</v>
      </c>
      <c r="E339" s="13" t="str">
        <f>IFERROR(VLOOKUP(CANTIDAD[[#This Row],[Ubicación]],SAP[],4,FALSE),"")</f>
        <v>SACAGRASA SAPOL.PROF.LIMON 1800ML 6UND</v>
      </c>
      <c r="F339" s="13">
        <f>IFERROR(VLOOKUP(CANTIDAD[[#This Row],[Ubicación]],SAP[],8,FALSE),"")</f>
        <v>35</v>
      </c>
      <c r="G339" s="13" t="str">
        <f>IFERROR(VLOOKUP(CANTIDAD[[#This Row],[Ubicación]],SAP[],9,FALSE),"")</f>
        <v>CJA</v>
      </c>
      <c r="H339" s="13">
        <f>IFERROR(VLOOKUP(CANTIDAD[[#This Row],[Ubicación]],SAP[],5,FALSE),"")</f>
        <v>2608135060</v>
      </c>
      <c r="I339" s="43" t="str">
        <f>IFERROR(VLOOKUP(CANTIDAD[[#This Row],[Ubicación]],SAP[],6,FALSE),"")</f>
        <v>13/08/2029</v>
      </c>
      <c r="J339" s="13" t="str">
        <f>IFERROR(VLOOKUP(CANTIDAD[[#This Row],[Ubicación]],SAP[],7,FALSE),"")</f>
        <v>1F</v>
      </c>
      <c r="K339" s="14">
        <f>IFERROR(VLOOKUP(CANTIDAD[[#This Row],[Ubicación]],SAP[],10,FALSE),"")</f>
        <v>210</v>
      </c>
      <c r="L339" s="48">
        <f>IFERROR(VLOOKUP(CANTIDAD[[#This Row],[Producto]],MARA[],5,FALSE),"")</f>
        <v>16</v>
      </c>
      <c r="M339" s="48" t="str">
        <f>IFERROR(VLOOKUP(CANTIDAD[[#This Row],[Producto]],MARA[],4,FALSE),"")</f>
        <v>CJA</v>
      </c>
      <c r="N339" s="136" t="s">
        <v>4686</v>
      </c>
    </row>
    <row r="340" spans="1:14" hidden="1">
      <c r="A340" s="139" t="str">
        <f t="shared" si="5"/>
        <v>PASILLO 10</v>
      </c>
      <c r="B340" s="92" t="s">
        <v>3413</v>
      </c>
      <c r="C340" s="11">
        <f>IFERROR(VLOOKUP(CANTIDAD[[#This Row],[Ubicación]],SAP[],3,FALSE),"")</f>
        <v>8305373</v>
      </c>
      <c r="D340" s="29">
        <f>IFERROR(VLOOKUP(CANTIDAD[[#This Row],[Producto]],MARA[],3,FALSE),"")</f>
        <v>2000431649814</v>
      </c>
      <c r="E340" s="11" t="str">
        <f>IFERROR(VLOOKUP(CANTIDAD[[#This Row],[Ubicación]],SAP[],4,FALSE),"")</f>
        <v>CREMA LAVAVAJILLA TOTTUS LIMÓN 900GX 12U</v>
      </c>
      <c r="F340" s="11">
        <f>IFERROR(VLOOKUP(CANTIDAD[[#This Row],[Ubicación]],SAP[],8,FALSE),"")</f>
        <v>3</v>
      </c>
      <c r="G340" s="11" t="str">
        <f>IFERROR(VLOOKUP(CANTIDAD[[#This Row],[Ubicación]],SAP[],9,FALSE),"")</f>
        <v>CJA</v>
      </c>
      <c r="H340" s="11">
        <f>IFERROR(VLOOKUP(CANTIDAD[[#This Row],[Ubicación]],SAP[],5,FALSE),"")</f>
        <v>221574</v>
      </c>
      <c r="I340" s="42">
        <f>IFERROR(VLOOKUP(CANTIDAD[[#This Row],[Ubicación]],SAP[],6,FALSE),"")</f>
        <v>46936</v>
      </c>
      <c r="J340" s="11" t="str">
        <f>IFERROR(VLOOKUP(CANTIDAD[[#This Row],[Ubicación]],SAP[],7,FALSE),"")</f>
        <v>1F</v>
      </c>
      <c r="K340" s="11">
        <f>IFERROR(VLOOKUP(CANTIDAD[[#This Row],[Ubicación]],SAP[],10,FALSE),"")</f>
        <v>3</v>
      </c>
      <c r="L340" s="48">
        <f>IFERROR(VLOOKUP(CANTIDAD[[#This Row],[Producto]],MARA[],5,FALSE),"")</f>
        <v>8</v>
      </c>
      <c r="M340" s="48" t="str">
        <f>IFERROR(VLOOKUP(CANTIDAD[[#This Row],[Producto]],MARA[],4,FALSE),"")</f>
        <v>CJA</v>
      </c>
      <c r="N340" s="136" t="s">
        <v>4687</v>
      </c>
    </row>
    <row r="341" spans="1:14" hidden="1">
      <c r="A341" s="139" t="str">
        <f t="shared" si="5"/>
        <v>PASILLO 10</v>
      </c>
      <c r="B341" s="93" t="s">
        <v>3638</v>
      </c>
      <c r="C341" s="11">
        <f>IFERROR(VLOOKUP(CANTIDAD[[#This Row],[Ubicación]],SAP[],3,FALSE),"")</f>
        <v>8317103</v>
      </c>
      <c r="D341" s="30">
        <f>IFERROR(VLOOKUP(CANTIDAD[[#This Row],[Producto]],MARA[],3,FALSE),"")</f>
        <v>17750243081174</v>
      </c>
      <c r="E341" s="13" t="str">
        <f>IFERROR(VLOOKUP(CANTIDAD[[#This Row],[Ubicación]],SAP[],4,FALSE),"")</f>
        <v>SAP. LIMPIA TODO FLORAL AB 900ML 12UND</v>
      </c>
      <c r="F341" s="13">
        <f>IFERROR(VLOOKUP(CANTIDAD[[#This Row],[Ubicación]],SAP[],8,FALSE),"")</f>
        <v>55</v>
      </c>
      <c r="G341" s="13" t="str">
        <f>IFERROR(VLOOKUP(CANTIDAD[[#This Row],[Ubicación]],SAP[],9,FALSE),"")</f>
        <v>CJA</v>
      </c>
      <c r="H341" s="13">
        <f>IFERROR(VLOOKUP(CANTIDAD[[#This Row],[Ubicación]],SAP[],5,FALSE),"")</f>
        <v>2607315060</v>
      </c>
      <c r="I341" s="43" t="str">
        <f>IFERROR(VLOOKUP(CANTIDAD[[#This Row],[Ubicación]],SAP[],6,FALSE),"")</f>
        <v>31/07/2029</v>
      </c>
      <c r="J341" s="13" t="str">
        <f>IFERROR(VLOOKUP(CANTIDAD[[#This Row],[Ubicación]],SAP[],7,FALSE),"")</f>
        <v>1F</v>
      </c>
      <c r="K341" s="14">
        <f>IFERROR(VLOOKUP(CANTIDAD[[#This Row],[Ubicación]],SAP[],10,FALSE),"")</f>
        <v>660</v>
      </c>
      <c r="L341" s="48">
        <f>IFERROR(VLOOKUP(CANTIDAD[[#This Row],[Producto]],MARA[],5,FALSE),"")</f>
        <v>15</v>
      </c>
      <c r="M341" s="48" t="str">
        <f>IFERROR(VLOOKUP(CANTIDAD[[#This Row],[Producto]],MARA[],4,FALSE),"")</f>
        <v>CJA</v>
      </c>
      <c r="N341" s="136" t="s">
        <v>4688</v>
      </c>
    </row>
    <row r="342" spans="1:14" hidden="1">
      <c r="A342" s="139" t="str">
        <f t="shared" si="5"/>
        <v>PASILLO 10</v>
      </c>
      <c r="B342" s="92" t="s">
        <v>3644</v>
      </c>
      <c r="C342" s="11">
        <f>IFERROR(VLOOKUP(CANTIDAD[[#This Row],[Ubicación]],SAP[],3,FALSE),"")</f>
        <v>8317113</v>
      </c>
      <c r="D342" s="29">
        <f>IFERROR(VLOOKUP(CANTIDAD[[#This Row],[Producto]],MARA[],3,FALSE),"")</f>
        <v>17750243081198</v>
      </c>
      <c r="E342" s="11" t="str">
        <f>IFERROR(VLOOKUP(CANTIDAD[[#This Row],[Ubicación]],SAP[],4,FALSE),"")</f>
        <v>SAP. LIMPIA TODO AB COCO 900ML 12UND</v>
      </c>
      <c r="F342" s="11">
        <f>IFERROR(VLOOKUP(CANTIDAD[[#This Row],[Ubicación]],SAP[],8,FALSE),"")</f>
        <v>27</v>
      </c>
      <c r="G342" s="11" t="str">
        <f>IFERROR(VLOOKUP(CANTIDAD[[#This Row],[Ubicación]],SAP[],9,FALSE),"")</f>
        <v>CJA</v>
      </c>
      <c r="H342" s="11">
        <f>IFERROR(VLOOKUP(CANTIDAD[[#This Row],[Ubicación]],SAP[],5,FALSE),"")</f>
        <v>2608065060</v>
      </c>
      <c r="I342" s="42">
        <f>IFERROR(VLOOKUP(CANTIDAD[[#This Row],[Ubicación]],SAP[],6,FALSE),"")</f>
        <v>47277</v>
      </c>
      <c r="J342" s="11" t="str">
        <f>IFERROR(VLOOKUP(CANTIDAD[[#This Row],[Ubicación]],SAP[],7,FALSE),"")</f>
        <v>1F</v>
      </c>
      <c r="K342" s="11">
        <f>IFERROR(VLOOKUP(CANTIDAD[[#This Row],[Ubicación]],SAP[],10,FALSE),"")</f>
        <v>324</v>
      </c>
      <c r="L342" s="48">
        <f>IFERROR(VLOOKUP(CANTIDAD[[#This Row],[Producto]],MARA[],5,FALSE),"")</f>
        <v>15</v>
      </c>
      <c r="M342" s="48" t="str">
        <f>IFERROR(VLOOKUP(CANTIDAD[[#This Row],[Producto]],MARA[],4,FALSE),"")</f>
        <v>CJA</v>
      </c>
      <c r="N342" s="136" t="s">
        <v>4689</v>
      </c>
    </row>
    <row r="343" spans="1:14" hidden="1">
      <c r="A343" s="139" t="str">
        <f t="shared" si="5"/>
        <v>PASILLO 10</v>
      </c>
      <c r="B343" s="93" t="s">
        <v>3640</v>
      </c>
      <c r="C343" s="11">
        <f>IFERROR(VLOOKUP(CANTIDAD[[#This Row],[Ubicación]],SAP[],3,FALSE),"")</f>
        <v>8317104</v>
      </c>
      <c r="D343" s="30">
        <f>IFERROR(VLOOKUP(CANTIDAD[[#This Row],[Producto]],MARA[],3,FALSE),"")</f>
        <v>17750243081181</v>
      </c>
      <c r="E343" s="13" t="str">
        <f>IFERROR(VLOOKUP(CANTIDAD[[#This Row],[Ubicación]],SAP[],4,FALSE),"")</f>
        <v>SAP. LIMPIA TODO LAVANDA AB 900ML 12UND</v>
      </c>
      <c r="F343" s="13">
        <f>IFERROR(VLOOKUP(CANTIDAD[[#This Row],[Ubicación]],SAP[],8,FALSE),"")</f>
        <v>18</v>
      </c>
      <c r="G343" s="13" t="str">
        <f>IFERROR(VLOOKUP(CANTIDAD[[#This Row],[Ubicación]],SAP[],9,FALSE),"")</f>
        <v>CJA</v>
      </c>
      <c r="H343" s="13">
        <f>IFERROR(VLOOKUP(CANTIDAD[[#This Row],[Ubicación]],SAP[],5,FALSE),"")</f>
        <v>2608075060</v>
      </c>
      <c r="I343" s="43">
        <f>IFERROR(VLOOKUP(CANTIDAD[[#This Row],[Ubicación]],SAP[],6,FALSE),"")</f>
        <v>47307</v>
      </c>
      <c r="J343" s="13" t="str">
        <f>IFERROR(VLOOKUP(CANTIDAD[[#This Row],[Ubicación]],SAP[],7,FALSE),"")</f>
        <v>1F</v>
      </c>
      <c r="K343" s="14">
        <f>IFERROR(VLOOKUP(CANTIDAD[[#This Row],[Ubicación]],SAP[],10,FALSE),"")</f>
        <v>216</v>
      </c>
      <c r="L343" s="48">
        <f>IFERROR(VLOOKUP(CANTIDAD[[#This Row],[Producto]],MARA[],5,FALSE),"")</f>
        <v>15</v>
      </c>
      <c r="M343" s="48" t="str">
        <f>IFERROR(VLOOKUP(CANTIDAD[[#This Row],[Producto]],MARA[],4,FALSE),"")</f>
        <v>CJA</v>
      </c>
      <c r="N343" s="136" t="s">
        <v>4690</v>
      </c>
    </row>
    <row r="344" spans="1:14" hidden="1">
      <c r="A344" s="139" t="str">
        <f t="shared" si="5"/>
        <v>PASILLO 10</v>
      </c>
      <c r="B344" s="92" t="s">
        <v>3577</v>
      </c>
      <c r="C344" s="11">
        <f>IFERROR(VLOOKUP(CANTIDAD[[#This Row],[Ubicación]],SAP[],3,FALSE),"")</f>
        <v>8316017</v>
      </c>
      <c r="D344" s="29">
        <f>IFERROR(VLOOKUP(CANTIDAD[[#This Row],[Producto]],MARA[],3,FALSE),"")</f>
        <v>17751851012307</v>
      </c>
      <c r="E344" s="11" t="str">
        <f>IFERROR(VLOOKUP(CANTIDAD[[#This Row],[Ubicación]],SAP[],4,FALSE),"")</f>
        <v>DESINF.PINO NATURAL SAPOLIO 1800ML 6UND</v>
      </c>
      <c r="F344" s="11">
        <f>IFERROR(VLOOKUP(CANTIDAD[[#This Row],[Ubicación]],SAP[],8,FALSE),"")</f>
        <v>8</v>
      </c>
      <c r="G344" s="11" t="str">
        <f>IFERROR(VLOOKUP(CANTIDAD[[#This Row],[Ubicación]],SAP[],9,FALSE),"")</f>
        <v>CJA</v>
      </c>
      <c r="H344" s="11">
        <f>IFERROR(VLOOKUP(CANTIDAD[[#This Row],[Ubicación]],SAP[],5,FALSE),"")</f>
        <v>2608115060</v>
      </c>
      <c r="I344" s="42">
        <f>IFERROR(VLOOKUP(CANTIDAD[[#This Row],[Ubicación]],SAP[],6,FALSE),"")</f>
        <v>47430</v>
      </c>
      <c r="J344" s="11" t="str">
        <f>IFERROR(VLOOKUP(CANTIDAD[[#This Row],[Ubicación]],SAP[],7,FALSE),"")</f>
        <v>1F</v>
      </c>
      <c r="K344" s="11">
        <f>IFERROR(VLOOKUP(CANTIDAD[[#This Row],[Ubicación]],SAP[],10,FALSE),"")</f>
        <v>48</v>
      </c>
      <c r="L344" s="48">
        <f>IFERROR(VLOOKUP(CANTIDAD[[#This Row],[Producto]],MARA[],5,FALSE),"")</f>
        <v>16</v>
      </c>
      <c r="M344" s="48" t="str">
        <f>IFERROR(VLOOKUP(CANTIDAD[[#This Row],[Producto]],MARA[],4,FALSE),"")</f>
        <v>CJA</v>
      </c>
      <c r="N344" s="136" t="s">
        <v>4691</v>
      </c>
    </row>
    <row r="345" spans="1:14" hidden="1">
      <c r="A345" s="139" t="str">
        <f t="shared" si="5"/>
        <v>PASILLO 10</v>
      </c>
      <c r="B345" s="93" t="s">
        <v>3483</v>
      </c>
      <c r="C345" s="11">
        <f>IFERROR(VLOOKUP(CANTIDAD[[#This Row],[Ubicación]],SAP[],3,FALSE),"")</f>
        <v>8312015</v>
      </c>
      <c r="D345" s="30">
        <f>IFERROR(VLOOKUP(CANTIDAD[[#This Row],[Producto]],MARA[],3,FALSE),"")</f>
        <v>17751851012949</v>
      </c>
      <c r="E345" s="13" t="str">
        <f>IFERROR(VLOOKUP(CANTIDAD[[#This Row],[Ubicación]],SAP[],4,FALSE),"")</f>
        <v>CERA AUTOB. AMAR. SAPOLIO 300ML 36UND</v>
      </c>
      <c r="F345" s="13">
        <f>IFERROR(VLOOKUP(CANTIDAD[[#This Row],[Ubicación]],SAP[],8,FALSE),"")</f>
        <v>1</v>
      </c>
      <c r="G345" s="13" t="str">
        <f>IFERROR(VLOOKUP(CANTIDAD[[#This Row],[Ubicación]],SAP[],9,FALSE),"")</f>
        <v>CJA</v>
      </c>
      <c r="H345" s="13">
        <f>IFERROR(VLOOKUP(CANTIDAD[[#This Row],[Ubicación]],SAP[],5,FALSE),"")</f>
        <v>2608035060</v>
      </c>
      <c r="I345" s="43">
        <f>IFERROR(VLOOKUP(CANTIDAD[[#This Row],[Ubicación]],SAP[],6,FALSE),"")</f>
        <v>47185</v>
      </c>
      <c r="J345" s="13" t="str">
        <f>IFERROR(VLOOKUP(CANTIDAD[[#This Row],[Ubicación]],SAP[],7,FALSE),"")</f>
        <v>1F</v>
      </c>
      <c r="K345" s="14">
        <f>IFERROR(VLOOKUP(CANTIDAD[[#This Row],[Ubicación]],SAP[],10,FALSE),"")</f>
        <v>36</v>
      </c>
      <c r="L345" s="48">
        <f>IFERROR(VLOOKUP(CANTIDAD[[#This Row],[Producto]],MARA[],5,FALSE),"")</f>
        <v>14</v>
      </c>
      <c r="M345" s="48" t="str">
        <f>IFERROR(VLOOKUP(CANTIDAD[[#This Row],[Producto]],MARA[],4,FALSE),"")</f>
        <v>CJA</v>
      </c>
      <c r="N345" s="136" t="s">
        <v>4692</v>
      </c>
    </row>
    <row r="346" spans="1:14" hidden="1">
      <c r="A346" s="139" t="str">
        <f t="shared" si="5"/>
        <v>PASILLO 11</v>
      </c>
      <c r="B346" s="92" t="s">
        <v>3933</v>
      </c>
      <c r="C346" s="11">
        <f>IFERROR(VLOOKUP(CANTIDAD[[#This Row],[Ubicación]],SAP[],3,FALSE),"")</f>
        <v>8406144</v>
      </c>
      <c r="D346" s="29">
        <f>IFERROR(VLOOKUP(CANTIDAD[[#This Row],[Producto]],MARA[],3,FALSE),"")</f>
        <v>17750243080610</v>
      </c>
      <c r="E346" s="11" t="str">
        <f>IFERROR(VLOOKUP(CANTIDAD[[#This Row],[Ubicación]],SAP[],4,FALSE),"")</f>
        <v>DETER. OPAL ULTRA 5.6KG 3BOL</v>
      </c>
      <c r="F346" s="11">
        <f>IFERROR(VLOOKUP(CANTIDAD[[#This Row],[Ubicación]],SAP[],8,FALSE),"")</f>
        <v>9</v>
      </c>
      <c r="G346" s="11" t="str">
        <f>IFERROR(VLOOKUP(CANTIDAD[[#This Row],[Ubicación]],SAP[],9,FALSE),"")</f>
        <v>PQT</v>
      </c>
      <c r="H346" s="11">
        <f>IFERROR(VLOOKUP(CANTIDAD[[#This Row],[Ubicación]],SAP[],5,FALSE),"")</f>
        <v>2608120120</v>
      </c>
      <c r="I346" s="42">
        <f>IFERROR(VLOOKUP(CANTIDAD[[#This Row],[Ubicación]],SAP[],6,FALSE),"")</f>
        <v>47095</v>
      </c>
      <c r="J346" s="11" t="str">
        <f>IFERROR(VLOOKUP(CANTIDAD[[#This Row],[Ubicación]],SAP[],7,FALSE),"")</f>
        <v>1F</v>
      </c>
      <c r="K346" s="11">
        <f>IFERROR(VLOOKUP(CANTIDAD[[#This Row],[Ubicación]],SAP[],10,FALSE),"")</f>
        <v>27</v>
      </c>
      <c r="L346" s="48">
        <f>IFERROR(VLOOKUP(CANTIDAD[[#This Row],[Producto]],MARA[],5,FALSE),"")</f>
        <v>5</v>
      </c>
      <c r="M346" s="48" t="str">
        <f>IFERROR(VLOOKUP(CANTIDAD[[#This Row],[Producto]],MARA[],4,FALSE),"")</f>
        <v>PQT</v>
      </c>
      <c r="N346" s="136" t="s">
        <v>4693</v>
      </c>
    </row>
    <row r="347" spans="1:14" hidden="1">
      <c r="A347" s="139" t="str">
        <f t="shared" si="5"/>
        <v>PASILLO 11</v>
      </c>
      <c r="B347" s="93" t="s">
        <v>3816</v>
      </c>
      <c r="C347" s="11">
        <f>IFERROR(VLOOKUP(CANTIDAD[[#This Row],[Ubicación]],SAP[],3,FALSE),"")</f>
        <v>8400642</v>
      </c>
      <c r="D347" s="30">
        <f>IFERROR(VLOOKUP(CANTIDAD[[#This Row],[Producto]],MARA[],3,FALSE),"")</f>
        <v>17750243078976</v>
      </c>
      <c r="E347" s="13" t="str">
        <f>IFERROR(VLOOKUP(CANTIDAD[[#This Row],[Ubicación]],SAP[],4,FALSE),"")</f>
        <v>DET. BOLIVAR CUIDADO TOTAL 5.6KG 3BOL</v>
      </c>
      <c r="F347" s="13">
        <f>IFERROR(VLOOKUP(CANTIDAD[[#This Row],[Ubicación]],SAP[],8,FALSE),"")</f>
        <v>10</v>
      </c>
      <c r="G347" s="13" t="str">
        <f>IFERROR(VLOOKUP(CANTIDAD[[#This Row],[Ubicación]],SAP[],9,FALSE),"")</f>
        <v>PQT</v>
      </c>
      <c r="H347" s="13">
        <f>IFERROR(VLOOKUP(CANTIDAD[[#This Row],[Ubicación]],SAP[],5,FALSE),"")</f>
        <v>2607210120</v>
      </c>
      <c r="I347" s="43" t="str">
        <f>IFERROR(VLOOKUP(CANTIDAD[[#This Row],[Ubicación]],SAP[],6,FALSE),"")</f>
        <v>21/07/2028</v>
      </c>
      <c r="J347" s="13" t="str">
        <f>IFERROR(VLOOKUP(CANTIDAD[[#This Row],[Ubicación]],SAP[],7,FALSE),"")</f>
        <v>1F</v>
      </c>
      <c r="K347" s="14">
        <f>IFERROR(VLOOKUP(CANTIDAD[[#This Row],[Ubicación]],SAP[],10,FALSE),"")</f>
        <v>30</v>
      </c>
      <c r="L347" s="48">
        <f>IFERROR(VLOOKUP(CANTIDAD[[#This Row],[Producto]],MARA[],5,FALSE),"")</f>
        <v>5</v>
      </c>
      <c r="M347" s="48" t="str">
        <f>IFERROR(VLOOKUP(CANTIDAD[[#This Row],[Producto]],MARA[],4,FALSE),"")</f>
        <v>PQT</v>
      </c>
      <c r="N347" s="136" t="s">
        <v>4694</v>
      </c>
    </row>
    <row r="348" spans="1:14" hidden="1">
      <c r="A348" s="139" t="str">
        <f t="shared" si="5"/>
        <v>PASILLO 11</v>
      </c>
      <c r="B348" s="92" t="s">
        <v>3980</v>
      </c>
      <c r="C348" s="11">
        <f>IFERROR(VLOOKUP(CANTIDAD[[#This Row],[Ubicación]],SAP[],3,FALSE),"")</f>
        <v>8408044</v>
      </c>
      <c r="D348" s="29">
        <f>IFERROR(VLOOKUP(CANTIDAD[[#This Row],[Producto]],MARA[],3,FALSE),"")</f>
        <v>17750243083888</v>
      </c>
      <c r="E348" s="11" t="str">
        <f>IFERROR(VLOOKUP(CANTIDAD[[#This Row],[Ubicación]],SAP[],4,FALSE),"")</f>
        <v>DET. TROME ENCANTO FLORAL 4Kg.4BOL</v>
      </c>
      <c r="F348" s="11">
        <f>IFERROR(VLOOKUP(CANTIDAD[[#This Row],[Ubicación]],SAP[],8,FALSE),"")</f>
        <v>7</v>
      </c>
      <c r="G348" s="11" t="str">
        <f>IFERROR(VLOOKUP(CANTIDAD[[#This Row],[Ubicación]],SAP[],9,FALSE),"")</f>
        <v>PQT</v>
      </c>
      <c r="H348" s="11">
        <f>IFERROR(VLOOKUP(CANTIDAD[[#This Row],[Ubicación]],SAP[],5,FALSE),"")</f>
        <v>2608065030</v>
      </c>
      <c r="I348" s="42">
        <f>IFERROR(VLOOKUP(CANTIDAD[[#This Row],[Ubicación]],SAP[],6,FALSE),"")</f>
        <v>46912</v>
      </c>
      <c r="J348" s="11" t="str">
        <f>IFERROR(VLOOKUP(CANTIDAD[[#This Row],[Ubicación]],SAP[],7,FALSE),"")</f>
        <v>1F</v>
      </c>
      <c r="K348" s="11">
        <f>IFERROR(VLOOKUP(CANTIDAD[[#This Row],[Ubicación]],SAP[],10,FALSE),"")</f>
        <v>28</v>
      </c>
      <c r="L348" s="48">
        <f>IFERROR(VLOOKUP(CANTIDAD[[#This Row],[Producto]],MARA[],5,FALSE),"")</f>
        <v>5</v>
      </c>
      <c r="M348" s="48" t="str">
        <f>IFERROR(VLOOKUP(CANTIDAD[[#This Row],[Producto]],MARA[],4,FALSE),"")</f>
        <v>PQT</v>
      </c>
      <c r="N348" s="136" t="s">
        <v>4695</v>
      </c>
    </row>
    <row r="349" spans="1:14" hidden="1">
      <c r="A349" s="139" t="str">
        <f t="shared" si="5"/>
        <v>PASILLO 11</v>
      </c>
      <c r="B349" s="93" t="s">
        <v>3236</v>
      </c>
      <c r="C349" s="11">
        <f>IFERROR(VLOOKUP(CANTIDAD[[#This Row],[Ubicación]],SAP[],3,FALSE),"")</f>
        <v>8303025</v>
      </c>
      <c r="D349" s="30">
        <f>IFERROR(VLOOKUP(CANTIDAD[[#This Row],[Producto]],MARA[],3,FALSE),"")</f>
        <v>17751851012154</v>
      </c>
      <c r="E349" s="13" t="str">
        <f>IFERROR(VLOOKUP(CANTIDAD[[#This Row],[Ubicación]],SAP[],4,FALSE),"")</f>
        <v>DETERG.AMDC/ASALIMON SAPOLIO 4000GR 4UND</v>
      </c>
      <c r="F349" s="13">
        <f>IFERROR(VLOOKUP(CANTIDAD[[#This Row],[Ubicación]],SAP[],8,FALSE),"")</f>
        <v>28</v>
      </c>
      <c r="G349" s="13" t="str">
        <f>IFERROR(VLOOKUP(CANTIDAD[[#This Row],[Ubicación]],SAP[],9,FALSE),"")</f>
        <v>PQT</v>
      </c>
      <c r="H349" s="13">
        <f>IFERROR(VLOOKUP(CANTIDAD[[#This Row],[Ubicación]],SAP[],5,FALSE),"")</f>
        <v>2608030120</v>
      </c>
      <c r="I349" s="43">
        <f>IFERROR(VLOOKUP(CANTIDAD[[#This Row],[Ubicación]],SAP[],6,FALSE),"")</f>
        <v>47185</v>
      </c>
      <c r="J349" s="13" t="str">
        <f>IFERROR(VLOOKUP(CANTIDAD[[#This Row],[Ubicación]],SAP[],7,FALSE),"")</f>
        <v>1F</v>
      </c>
      <c r="K349" s="14">
        <f>IFERROR(VLOOKUP(CANTIDAD[[#This Row],[Ubicación]],SAP[],10,FALSE),"")</f>
        <v>112</v>
      </c>
      <c r="L349" s="48">
        <f>IFERROR(VLOOKUP(CANTIDAD[[#This Row],[Producto]],MARA[],5,FALSE),"")</f>
        <v>5</v>
      </c>
      <c r="M349" s="48" t="str">
        <f>IFERROR(VLOOKUP(CANTIDAD[[#This Row],[Producto]],MARA[],4,FALSE),"")</f>
        <v>PQT</v>
      </c>
      <c r="N349" s="136" t="s">
        <v>4696</v>
      </c>
    </row>
    <row r="350" spans="1:14" hidden="1">
      <c r="A350" s="139" t="str">
        <f t="shared" si="5"/>
        <v>PASILLO 11</v>
      </c>
      <c r="B350" s="92" t="s">
        <v>3239</v>
      </c>
      <c r="C350" s="11">
        <f>IFERROR(VLOOKUP(CANTIDAD[[#This Row],[Ubicación]],SAP[],3,FALSE),"")</f>
        <v>8303028</v>
      </c>
      <c r="D350" s="29">
        <f>IFERROR(VLOOKUP(CANTIDAD[[#This Row],[Producto]],MARA[],3,FALSE),"")</f>
        <v>17751851013250</v>
      </c>
      <c r="E350" s="11" t="str">
        <f>IFERROR(VLOOKUP(CANTIDAD[[#This Row],[Ubicación]],SAP[],4,FALSE),"")</f>
        <v>DETER.SAPOLIO AMD C/ASA BEBE 4000GR 4UND</v>
      </c>
      <c r="F350" s="11">
        <f>IFERROR(VLOOKUP(CANTIDAD[[#This Row],[Ubicación]],SAP[],8,FALSE),"")</f>
        <v>13</v>
      </c>
      <c r="G350" s="11" t="str">
        <f>IFERROR(VLOOKUP(CANTIDAD[[#This Row],[Ubicación]],SAP[],9,FALSE),"")</f>
        <v>PQT</v>
      </c>
      <c r="H350" s="11">
        <f>IFERROR(VLOOKUP(CANTIDAD[[#This Row],[Ubicación]],SAP[],5,FALSE),"")</f>
        <v>2608285030</v>
      </c>
      <c r="I350" s="42" t="str">
        <f>IFERROR(VLOOKUP(CANTIDAD[[#This Row],[Ubicación]],SAP[],6,FALSE),"")</f>
        <v>28/08/2029</v>
      </c>
      <c r="J350" s="11" t="str">
        <f>IFERROR(VLOOKUP(CANTIDAD[[#This Row],[Ubicación]],SAP[],7,FALSE),"")</f>
        <v>1F</v>
      </c>
      <c r="K350" s="11">
        <f>IFERROR(VLOOKUP(CANTIDAD[[#This Row],[Ubicación]],SAP[],10,FALSE),"")</f>
        <v>52</v>
      </c>
      <c r="L350" s="48">
        <f>IFERROR(VLOOKUP(CANTIDAD[[#This Row],[Producto]],MARA[],5,FALSE),"")</f>
        <v>5</v>
      </c>
      <c r="M350" s="48" t="str">
        <f>IFERROR(VLOOKUP(CANTIDAD[[#This Row],[Producto]],MARA[],4,FALSE),"")</f>
        <v>PQT</v>
      </c>
      <c r="N350" s="136" t="s">
        <v>4697</v>
      </c>
    </row>
    <row r="351" spans="1:14" hidden="1">
      <c r="A351" s="139" t="str">
        <f t="shared" si="5"/>
        <v>PASILLO 11</v>
      </c>
      <c r="B351" s="93" t="s">
        <v>4042</v>
      </c>
      <c r="C351" s="11">
        <f>IFERROR(VLOOKUP(CANTIDAD[[#This Row],[Ubicación]],SAP[],3,FALSE),"")</f>
        <v>8412043</v>
      </c>
      <c r="D351" s="30">
        <f>IFERROR(VLOOKUP(CANTIDAD[[#This Row],[Producto]],MARA[],3,FALSE),"")</f>
        <v>17750243079737</v>
      </c>
      <c r="E351" s="13" t="str">
        <f>IFERROR(VLOOKUP(CANTIDAD[[#This Row],[Ubicación]],SAP[],4,FALSE),"")</f>
        <v>DETER.PATITO BICARB. FLORAL 4KG.4BOL PE</v>
      </c>
      <c r="F351" s="13">
        <f>IFERROR(VLOOKUP(CANTIDAD[[#This Row],[Ubicación]],SAP[],8,FALSE),"")</f>
        <v>35</v>
      </c>
      <c r="G351" s="13" t="str">
        <f>IFERROR(VLOOKUP(CANTIDAD[[#This Row],[Ubicación]],SAP[],9,FALSE),"")</f>
        <v>PQT</v>
      </c>
      <c r="H351" s="13">
        <f>IFERROR(VLOOKUP(CANTIDAD[[#This Row],[Ubicación]],SAP[],5,FALSE),"")</f>
        <v>2608135030</v>
      </c>
      <c r="I351" s="43" t="str">
        <f>IFERROR(VLOOKUP(CANTIDAD[[#This Row],[Ubicación]],SAP[],6,FALSE),"")</f>
        <v>13/08/2029</v>
      </c>
      <c r="J351" s="13" t="str">
        <f>IFERROR(VLOOKUP(CANTIDAD[[#This Row],[Ubicación]],SAP[],7,FALSE),"")</f>
        <v>1F</v>
      </c>
      <c r="K351" s="14">
        <f>IFERROR(VLOOKUP(CANTIDAD[[#This Row],[Ubicación]],SAP[],10,FALSE),"")</f>
        <v>140</v>
      </c>
      <c r="L351" s="48">
        <f>IFERROR(VLOOKUP(CANTIDAD[[#This Row],[Producto]],MARA[],5,FALSE),"")</f>
        <v>5</v>
      </c>
      <c r="M351" s="48" t="str">
        <f>IFERROR(VLOOKUP(CANTIDAD[[#This Row],[Producto]],MARA[],4,FALSE),"")</f>
        <v>PQT</v>
      </c>
      <c r="N351" s="136" t="s">
        <v>4698</v>
      </c>
    </row>
    <row r="352" spans="1:14" hidden="1">
      <c r="A352" s="139" t="str">
        <f t="shared" si="5"/>
        <v>PASILLO 11</v>
      </c>
      <c r="B352" s="92" t="s">
        <v>3929</v>
      </c>
      <c r="C352" s="11">
        <f>IFERROR(VLOOKUP(CANTIDAD[[#This Row],[Ubicación]],SAP[],3,FALSE),"")</f>
        <v>8406143</v>
      </c>
      <c r="D352" s="29">
        <f>IFERROR(VLOOKUP(CANTIDAD[[#This Row],[Producto]],MARA[],3,FALSE),"")</f>
        <v>17750243080603</v>
      </c>
      <c r="E352" s="11" t="str">
        <f>IFERROR(VLOOKUP(CANTIDAD[[#This Row],[Ubicación]],SAP[],4,FALSE),"")</f>
        <v>DET. OPAL FLORAL 4.0KG.4BOL</v>
      </c>
      <c r="F352" s="11">
        <f>IFERROR(VLOOKUP(CANTIDAD[[#This Row],[Ubicación]],SAP[],8,FALSE),"")</f>
        <v>17</v>
      </c>
      <c r="G352" s="11" t="str">
        <f>IFERROR(VLOOKUP(CANTIDAD[[#This Row],[Ubicación]],SAP[],9,FALSE),"")</f>
        <v>PQT</v>
      </c>
      <c r="H352" s="11">
        <f>IFERROR(VLOOKUP(CANTIDAD[[#This Row],[Ubicación]],SAP[],5,FALSE),"")</f>
        <v>2608220120</v>
      </c>
      <c r="I352" s="42" t="str">
        <f>IFERROR(VLOOKUP(CANTIDAD[[#This Row],[Ubicación]],SAP[],6,FALSE),"")</f>
        <v>22/08/2028</v>
      </c>
      <c r="J352" s="11" t="str">
        <f>IFERROR(VLOOKUP(CANTIDAD[[#This Row],[Ubicación]],SAP[],7,FALSE),"")</f>
        <v>1F</v>
      </c>
      <c r="K352" s="11">
        <f>IFERROR(VLOOKUP(CANTIDAD[[#This Row],[Ubicación]],SAP[],10,FALSE),"")</f>
        <v>68</v>
      </c>
      <c r="L352" s="48">
        <f>IFERROR(VLOOKUP(CANTIDAD[[#This Row],[Producto]],MARA[],5,FALSE),"")</f>
        <v>5</v>
      </c>
      <c r="M352" s="48" t="str">
        <f>IFERROR(VLOOKUP(CANTIDAD[[#This Row],[Producto]],MARA[],4,FALSE),"")</f>
        <v>PQT</v>
      </c>
      <c r="N352" s="136" t="s">
        <v>4699</v>
      </c>
    </row>
    <row r="353" spans="1:14" hidden="1">
      <c r="A353" s="139" t="str">
        <f t="shared" si="5"/>
        <v>PASILLO 11</v>
      </c>
      <c r="B353" s="93" t="s">
        <v>3931</v>
      </c>
      <c r="C353" s="11">
        <f>IFERROR(VLOOKUP(CANTIDAD[[#This Row],[Ubicación]],SAP[],3,FALSE),"")</f>
        <v>8406143</v>
      </c>
      <c r="D353" s="30">
        <f>IFERROR(VLOOKUP(CANTIDAD[[#This Row],[Producto]],MARA[],3,FALSE),"")</f>
        <v>17750243080603</v>
      </c>
      <c r="E353" s="13" t="str">
        <f>IFERROR(VLOOKUP(CANTIDAD[[#This Row],[Ubicación]],SAP[],4,FALSE),"")</f>
        <v>DET. OPAL FLORAL 4.0KG.4BOL</v>
      </c>
      <c r="F353" s="13">
        <f>IFERROR(VLOOKUP(CANTIDAD[[#This Row],[Ubicación]],SAP[],8,FALSE),"")</f>
        <v>25</v>
      </c>
      <c r="G353" s="13" t="str">
        <f>IFERROR(VLOOKUP(CANTIDAD[[#This Row],[Ubicación]],SAP[],9,FALSE),"")</f>
        <v>PQT</v>
      </c>
      <c r="H353" s="13">
        <f>IFERROR(VLOOKUP(CANTIDAD[[#This Row],[Ubicación]],SAP[],5,FALSE),"")</f>
        <v>2608220120</v>
      </c>
      <c r="I353" s="43" t="str">
        <f>IFERROR(VLOOKUP(CANTIDAD[[#This Row],[Ubicación]],SAP[],6,FALSE),"")</f>
        <v>22/08/2028</v>
      </c>
      <c r="J353" s="13" t="str">
        <f>IFERROR(VLOOKUP(CANTIDAD[[#This Row],[Ubicación]],SAP[],7,FALSE),"")</f>
        <v>1F</v>
      </c>
      <c r="K353" s="14">
        <f>IFERROR(VLOOKUP(CANTIDAD[[#This Row],[Ubicación]],SAP[],10,FALSE),"")</f>
        <v>100</v>
      </c>
      <c r="L353" s="48">
        <f>IFERROR(VLOOKUP(CANTIDAD[[#This Row],[Producto]],MARA[],5,FALSE),"")</f>
        <v>5</v>
      </c>
      <c r="M353" s="48" t="str">
        <f>IFERROR(VLOOKUP(CANTIDAD[[#This Row],[Producto]],MARA[],4,FALSE),"")</f>
        <v>PQT</v>
      </c>
      <c r="N353" s="136" t="s">
        <v>4700</v>
      </c>
    </row>
    <row r="354" spans="1:14" hidden="1">
      <c r="A354" s="139" t="str">
        <f t="shared" si="5"/>
        <v>PASILLO 11</v>
      </c>
      <c r="B354" s="92" t="s">
        <v>3824</v>
      </c>
      <c r="C354" s="11">
        <f>IFERROR(VLOOKUP(CANTIDAD[[#This Row],[Ubicación]],SAP[],3,FALSE),"")</f>
        <v>8400644</v>
      </c>
      <c r="D354" s="29">
        <f>IFERROR(VLOOKUP(CANTIDAD[[#This Row],[Producto]],MARA[],3,FALSE),"")</f>
        <v>17750243078969</v>
      </c>
      <c r="E354" s="11" t="str">
        <f>IFERROR(VLOOKUP(CANTIDAD[[#This Row],[Ubicación]],SAP[],4,FALSE),"")</f>
        <v>DET. BOLIVAR CUIDADO TOTAL 4.0KG.4BOL</v>
      </c>
      <c r="F354" s="11">
        <f>IFERROR(VLOOKUP(CANTIDAD[[#This Row],[Ubicación]],SAP[],8,FALSE),"")</f>
        <v>17</v>
      </c>
      <c r="G354" s="11" t="str">
        <f>IFERROR(VLOOKUP(CANTIDAD[[#This Row],[Ubicación]],SAP[],9,FALSE),"")</f>
        <v>PQT</v>
      </c>
      <c r="H354" s="11">
        <f>IFERROR(VLOOKUP(CANTIDAD[[#This Row],[Ubicación]],SAP[],5,FALSE),"")</f>
        <v>2608240120</v>
      </c>
      <c r="I354" s="42" t="str">
        <f>IFERROR(VLOOKUP(CANTIDAD[[#This Row],[Ubicación]],SAP[],6,FALSE),"")</f>
        <v>24/08/2028</v>
      </c>
      <c r="J354" s="11" t="str">
        <f>IFERROR(VLOOKUP(CANTIDAD[[#This Row],[Ubicación]],SAP[],7,FALSE),"")</f>
        <v>1F</v>
      </c>
      <c r="K354" s="11">
        <f>IFERROR(VLOOKUP(CANTIDAD[[#This Row],[Ubicación]],SAP[],10,FALSE),"")</f>
        <v>68</v>
      </c>
      <c r="L354" s="48">
        <f>IFERROR(VLOOKUP(CANTIDAD[[#This Row],[Producto]],MARA[],5,FALSE),"")</f>
        <v>5</v>
      </c>
      <c r="M354" s="48" t="str">
        <f>IFERROR(VLOOKUP(CANTIDAD[[#This Row],[Producto]],MARA[],4,FALSE),"")</f>
        <v>PQT</v>
      </c>
      <c r="N354" s="136" t="s">
        <v>4701</v>
      </c>
    </row>
    <row r="355" spans="1:14" hidden="1">
      <c r="A355" s="139" t="str">
        <f t="shared" si="5"/>
        <v>PASILLO 11</v>
      </c>
      <c r="B355" s="93" t="s">
        <v>3826</v>
      </c>
      <c r="C355" s="11">
        <f>IFERROR(VLOOKUP(CANTIDAD[[#This Row],[Ubicación]],SAP[],3,FALSE),"")</f>
        <v>8400644</v>
      </c>
      <c r="D355" s="30">
        <f>IFERROR(VLOOKUP(CANTIDAD[[#This Row],[Producto]],MARA[],3,FALSE),"")</f>
        <v>17750243078969</v>
      </c>
      <c r="E355" s="13" t="str">
        <f>IFERROR(VLOOKUP(CANTIDAD[[#This Row],[Ubicación]],SAP[],4,FALSE),"")</f>
        <v>DET. BOLIVAR CUIDADO TOTAL 4.0KG.4BOL</v>
      </c>
      <c r="F355" s="13">
        <f>IFERROR(VLOOKUP(CANTIDAD[[#This Row],[Ubicación]],SAP[],8,FALSE),"")</f>
        <v>30</v>
      </c>
      <c r="G355" s="13" t="str">
        <f>IFERROR(VLOOKUP(CANTIDAD[[#This Row],[Ubicación]],SAP[],9,FALSE),"")</f>
        <v>PQT</v>
      </c>
      <c r="H355" s="13">
        <f>IFERROR(VLOOKUP(CANTIDAD[[#This Row],[Ubicación]],SAP[],5,FALSE),"")</f>
        <v>2608240120</v>
      </c>
      <c r="I355" s="43" t="str">
        <f>IFERROR(VLOOKUP(CANTIDAD[[#This Row],[Ubicación]],SAP[],6,FALSE),"")</f>
        <v>24/08/2028</v>
      </c>
      <c r="J355" s="13" t="str">
        <f>IFERROR(VLOOKUP(CANTIDAD[[#This Row],[Ubicación]],SAP[],7,FALSE),"")</f>
        <v>1F</v>
      </c>
      <c r="K355" s="14">
        <f>IFERROR(VLOOKUP(CANTIDAD[[#This Row],[Ubicación]],SAP[],10,FALSE),"")</f>
        <v>120</v>
      </c>
      <c r="L355" s="48">
        <f>IFERROR(VLOOKUP(CANTIDAD[[#This Row],[Producto]],MARA[],5,FALSE),"")</f>
        <v>5</v>
      </c>
      <c r="M355" s="48" t="str">
        <f>IFERROR(VLOOKUP(CANTIDAD[[#This Row],[Producto]],MARA[],4,FALSE),"")</f>
        <v>PQT</v>
      </c>
      <c r="N355" s="136" t="s">
        <v>4702</v>
      </c>
    </row>
    <row r="356" spans="1:14" hidden="1">
      <c r="A356" s="139" t="str">
        <f t="shared" si="5"/>
        <v>PASILLO 11</v>
      </c>
      <c r="B356" s="92" t="s">
        <v>3785</v>
      </c>
      <c r="C356" s="11">
        <f>IFERROR(VLOOKUP(CANTIDAD[[#This Row],[Ubicación]],SAP[],3,FALSE),"")</f>
        <v>8400634</v>
      </c>
      <c r="D356" s="29">
        <f>IFERROR(VLOOKUP(CANTIDAD[[#This Row],[Producto]],MARA[],3,FALSE),"")</f>
        <v>17750243079010</v>
      </c>
      <c r="E356" s="11" t="str">
        <f>IFERROR(VLOOKUP(CANTIDAD[[#This Row],[Ubicación]],SAP[],4,FALSE),"")</f>
        <v>DET.BOLIVAR CUIDADO SUAVIDAD 4.0KG.4BOL</v>
      </c>
      <c r="F356" s="11">
        <f>IFERROR(VLOOKUP(CANTIDAD[[#This Row],[Ubicación]],SAP[],8,FALSE),"")</f>
        <v>13</v>
      </c>
      <c r="G356" s="11" t="str">
        <f>IFERROR(VLOOKUP(CANTIDAD[[#This Row],[Ubicación]],SAP[],9,FALSE),"")</f>
        <v>PQT</v>
      </c>
      <c r="H356" s="11">
        <f>IFERROR(VLOOKUP(CANTIDAD[[#This Row],[Ubicación]],SAP[],5,FALSE),"")</f>
        <v>2608250120</v>
      </c>
      <c r="I356" s="42" t="str">
        <f>IFERROR(VLOOKUP(CANTIDAD[[#This Row],[Ubicación]],SAP[],6,FALSE),"")</f>
        <v>25/08/2028</v>
      </c>
      <c r="J356" s="11" t="str">
        <f>IFERROR(VLOOKUP(CANTIDAD[[#This Row],[Ubicación]],SAP[],7,FALSE),"")</f>
        <v>1F</v>
      </c>
      <c r="K356" s="11">
        <f>IFERROR(VLOOKUP(CANTIDAD[[#This Row],[Ubicación]],SAP[],10,FALSE),"")</f>
        <v>52</v>
      </c>
      <c r="L356" s="48">
        <f>IFERROR(VLOOKUP(CANTIDAD[[#This Row],[Producto]],MARA[],5,FALSE),"")</f>
        <v>5</v>
      </c>
      <c r="M356" s="48" t="str">
        <f>IFERROR(VLOOKUP(CANTIDAD[[#This Row],[Producto]],MARA[],4,FALSE),"")</f>
        <v>PQT</v>
      </c>
      <c r="N356" s="136" t="s">
        <v>4703</v>
      </c>
    </row>
    <row r="357" spans="1:14" hidden="1">
      <c r="A357" s="139" t="str">
        <f t="shared" si="5"/>
        <v>PASILLO 11</v>
      </c>
      <c r="B357" s="93" t="s">
        <v>3793</v>
      </c>
      <c r="C357" s="11">
        <f>IFERROR(VLOOKUP(CANTIDAD[[#This Row],[Ubicación]],SAP[],3,FALSE),"")</f>
        <v>8400636</v>
      </c>
      <c r="D357" s="30">
        <f>IFERROR(VLOOKUP(CANTIDAD[[#This Row],[Producto]],MARA[],3,FALSE),"")</f>
        <v>17750243078990</v>
      </c>
      <c r="E357" s="13" t="str">
        <f>IFERROR(VLOOKUP(CANTIDAD[[#This Row],[Ubicación]],SAP[],4,FALSE),"")</f>
        <v>DET. BOLIVAR CUIDADO MICELAR 4.0KG.4BOL</v>
      </c>
      <c r="F357" s="13">
        <f>IFERROR(VLOOKUP(CANTIDAD[[#This Row],[Ubicación]],SAP[],8,FALSE),"")</f>
        <v>19</v>
      </c>
      <c r="G357" s="13" t="str">
        <f>IFERROR(VLOOKUP(CANTIDAD[[#This Row],[Ubicación]],SAP[],9,FALSE),"")</f>
        <v>PQT</v>
      </c>
      <c r="H357" s="13">
        <f>IFERROR(VLOOKUP(CANTIDAD[[#This Row],[Ubicación]],SAP[],5,FALSE),"")</f>
        <v>2608220120</v>
      </c>
      <c r="I357" s="43" t="str">
        <f>IFERROR(VLOOKUP(CANTIDAD[[#This Row],[Ubicación]],SAP[],6,FALSE),"")</f>
        <v>22/08/2028</v>
      </c>
      <c r="J357" s="13" t="str">
        <f>IFERROR(VLOOKUP(CANTIDAD[[#This Row],[Ubicación]],SAP[],7,FALSE),"")</f>
        <v>1F</v>
      </c>
      <c r="K357" s="14">
        <f>IFERROR(VLOOKUP(CANTIDAD[[#This Row],[Ubicación]],SAP[],10,FALSE),"")</f>
        <v>76</v>
      </c>
      <c r="L357" s="48">
        <f>IFERROR(VLOOKUP(CANTIDAD[[#This Row],[Producto]],MARA[],5,FALSE),"")</f>
        <v>5</v>
      </c>
      <c r="M357" s="48" t="str">
        <f>IFERROR(VLOOKUP(CANTIDAD[[#This Row],[Producto]],MARA[],4,FALSE),"")</f>
        <v>PQT</v>
      </c>
      <c r="N357" s="136" t="s">
        <v>4704</v>
      </c>
    </row>
    <row r="358" spans="1:14" hidden="1">
      <c r="A358" s="139" t="str">
        <f t="shared" si="5"/>
        <v>PASILLO 11</v>
      </c>
      <c r="B358" s="92" t="s">
        <v>3945</v>
      </c>
      <c r="C358" s="11">
        <f>IFERROR(VLOOKUP(CANTIDAD[[#This Row],[Ubicación]],SAP[],3,FALSE),"")</f>
        <v>8406150</v>
      </c>
      <c r="D358" s="29">
        <f>IFERROR(VLOOKUP(CANTIDAD[[#This Row],[Producto]],MARA[],3,FALSE),"")</f>
        <v>17750243080665</v>
      </c>
      <c r="E358" s="11" t="str">
        <f>IFERROR(VLOOKUP(CANTIDAD[[#This Row],[Ubicación]],SAP[],4,FALSE),"")</f>
        <v>DET.OPAL ANTIBAC 4.0KG.4BOL</v>
      </c>
      <c r="F358" s="11">
        <f>IFERROR(VLOOKUP(CANTIDAD[[#This Row],[Ubicación]],SAP[],8,FALSE),"")</f>
        <v>13</v>
      </c>
      <c r="G358" s="11" t="str">
        <f>IFERROR(VLOOKUP(CANTIDAD[[#This Row],[Ubicación]],SAP[],9,FALSE),"")</f>
        <v>PQT</v>
      </c>
      <c r="H358" s="11">
        <f>IFERROR(VLOOKUP(CANTIDAD[[#This Row],[Ubicación]],SAP[],5,FALSE),"")</f>
        <v>2608120120</v>
      </c>
      <c r="I358" s="42">
        <f>IFERROR(VLOOKUP(CANTIDAD[[#This Row],[Ubicación]],SAP[],6,FALSE),"")</f>
        <v>47095</v>
      </c>
      <c r="J358" s="11" t="str">
        <f>IFERROR(VLOOKUP(CANTIDAD[[#This Row],[Ubicación]],SAP[],7,FALSE),"")</f>
        <v>1F</v>
      </c>
      <c r="K358" s="11">
        <f>IFERROR(VLOOKUP(CANTIDAD[[#This Row],[Ubicación]],SAP[],10,FALSE),"")</f>
        <v>52</v>
      </c>
      <c r="L358" s="48">
        <f>IFERROR(VLOOKUP(CANTIDAD[[#This Row],[Producto]],MARA[],5,FALSE),"")</f>
        <v>5</v>
      </c>
      <c r="M358" s="48" t="str">
        <f>IFERROR(VLOOKUP(CANTIDAD[[#This Row],[Producto]],MARA[],4,FALSE),"")</f>
        <v>PQT</v>
      </c>
      <c r="N358" s="136" t="s">
        <v>4705</v>
      </c>
    </row>
    <row r="359" spans="1:14" hidden="1">
      <c r="A359" s="139" t="str">
        <f t="shared" si="5"/>
        <v>PASILLO 11</v>
      </c>
      <c r="B359" s="93" t="s">
        <v>3843</v>
      </c>
      <c r="C359" s="11">
        <f>IFERROR(VLOOKUP(CANTIDAD[[#This Row],[Ubicación]],SAP[],3,FALSE),"")</f>
        <v>8400690</v>
      </c>
      <c r="D359" s="30">
        <f>IFERROR(VLOOKUP(CANTIDAD[[#This Row],[Producto]],MARA[],3,FALSE),"")</f>
        <v>37750243078963</v>
      </c>
      <c r="E359" s="13" t="str">
        <f>IFERROR(VLOOKUP(CANTIDAD[[#This Row],[Ubicación]],SAP[],4,FALSE),"")</f>
        <v>DET. BOLIVAR CUIDADO TOTAL 4.0KG.4BOL CP</v>
      </c>
      <c r="F359" s="13">
        <f>IFERROR(VLOOKUP(CANTIDAD[[#This Row],[Ubicación]],SAP[],8,FALSE),"")</f>
        <v>6</v>
      </c>
      <c r="G359" s="13" t="str">
        <f>IFERROR(VLOOKUP(CANTIDAD[[#This Row],[Ubicación]],SAP[],9,FALSE),"")</f>
        <v>PQT</v>
      </c>
      <c r="H359" s="13">
        <f>IFERROR(VLOOKUP(CANTIDAD[[#This Row],[Ubicación]],SAP[],5,FALSE),"")</f>
        <v>2608100120</v>
      </c>
      <c r="I359" s="43">
        <f>IFERROR(VLOOKUP(CANTIDAD[[#This Row],[Ubicación]],SAP[],6,FALSE),"")</f>
        <v>47034</v>
      </c>
      <c r="J359" s="13" t="str">
        <f>IFERROR(VLOOKUP(CANTIDAD[[#This Row],[Ubicación]],SAP[],7,FALSE),"")</f>
        <v>1F</v>
      </c>
      <c r="K359" s="14">
        <f>IFERROR(VLOOKUP(CANTIDAD[[#This Row],[Ubicación]],SAP[],10,FALSE),"")</f>
        <v>24</v>
      </c>
      <c r="L359" s="48">
        <f>IFERROR(VLOOKUP(CANTIDAD[[#This Row],[Producto]],MARA[],5,FALSE),"")</f>
        <v>5</v>
      </c>
      <c r="M359" s="48" t="str">
        <f>IFERROR(VLOOKUP(CANTIDAD[[#This Row],[Producto]],MARA[],4,FALSE),"")</f>
        <v>PQT</v>
      </c>
      <c r="N359" s="136" t="s">
        <v>4706</v>
      </c>
    </row>
    <row r="360" spans="1:14" hidden="1">
      <c r="A360" s="139" t="str">
        <f t="shared" si="5"/>
        <v>PASILLO 11</v>
      </c>
      <c r="B360" s="92" t="s">
        <v>3953</v>
      </c>
      <c r="C360" s="11">
        <f>IFERROR(VLOOKUP(CANTIDAD[[#This Row],[Ubicación]],SAP[],3,FALSE),"")</f>
        <v>8406155</v>
      </c>
      <c r="D360" s="29">
        <f>IFERROR(VLOOKUP(CANTIDAD[[#This Row],[Producto]],MARA[],3,FALSE),"")</f>
        <v>17750243080702</v>
      </c>
      <c r="E360" s="11" t="str">
        <f>IFERROR(VLOOKUP(CANTIDAD[[#This Row],[Ubicación]],SAP[],4,FALSE),"")</f>
        <v>DET. OPAL BLANCOS 4.0KG 4BOL</v>
      </c>
      <c r="F360" s="11">
        <f>IFERROR(VLOOKUP(CANTIDAD[[#This Row],[Ubicación]],SAP[],8,FALSE),"")</f>
        <v>15</v>
      </c>
      <c r="G360" s="11" t="str">
        <f>IFERROR(VLOOKUP(CANTIDAD[[#This Row],[Ubicación]],SAP[],9,FALSE),"")</f>
        <v>PQT</v>
      </c>
      <c r="H360" s="11">
        <f>IFERROR(VLOOKUP(CANTIDAD[[#This Row],[Ubicación]],SAP[],5,FALSE),"")</f>
        <v>2608120120</v>
      </c>
      <c r="I360" s="42">
        <f>IFERROR(VLOOKUP(CANTIDAD[[#This Row],[Ubicación]],SAP[],6,FALSE),"")</f>
        <v>47095</v>
      </c>
      <c r="J360" s="11" t="str">
        <f>IFERROR(VLOOKUP(CANTIDAD[[#This Row],[Ubicación]],SAP[],7,FALSE),"")</f>
        <v>1F</v>
      </c>
      <c r="K360" s="11">
        <f>IFERROR(VLOOKUP(CANTIDAD[[#This Row],[Ubicación]],SAP[],10,FALSE),"")</f>
        <v>60</v>
      </c>
      <c r="L360" s="48">
        <f>IFERROR(VLOOKUP(CANTIDAD[[#This Row],[Producto]],MARA[],5,FALSE),"")</f>
        <v>5</v>
      </c>
      <c r="M360" s="48" t="str">
        <f>IFERROR(VLOOKUP(CANTIDAD[[#This Row],[Producto]],MARA[],4,FALSE),"")</f>
        <v>PQT</v>
      </c>
      <c r="N360" s="136" t="s">
        <v>4707</v>
      </c>
    </row>
    <row r="361" spans="1:14" hidden="1">
      <c r="A361" s="139" t="str">
        <f t="shared" si="5"/>
        <v>PASILLO 11</v>
      </c>
      <c r="B361" s="93" t="s">
        <v>4038</v>
      </c>
      <c r="C361" s="11">
        <f>IFERROR(VLOOKUP(CANTIDAD[[#This Row],[Ubicación]],SAP[],3,FALSE),"")</f>
        <v>8412042</v>
      </c>
      <c r="D361" s="30">
        <f>IFERROR(VLOOKUP(CANTIDAD[[#This Row],[Producto]],MARA[],3,FALSE),"")</f>
        <v>17750243079720</v>
      </c>
      <c r="E361" s="13" t="str">
        <f>IFERROR(VLOOKUP(CANTIDAD[[#This Row],[Ubicación]],SAP[],4,FALSE),"")</f>
        <v>DETER.PATITO BICAR. LIMON 4KG.4BOL PE</v>
      </c>
      <c r="F361" s="13">
        <f>IFERROR(VLOOKUP(CANTIDAD[[#This Row],[Ubicación]],SAP[],8,FALSE),"")</f>
        <v>18</v>
      </c>
      <c r="G361" s="13" t="str">
        <f>IFERROR(VLOOKUP(CANTIDAD[[#This Row],[Ubicación]],SAP[],9,FALSE),"")</f>
        <v>PQT</v>
      </c>
      <c r="H361" s="13">
        <f>IFERROR(VLOOKUP(CANTIDAD[[#This Row],[Ubicación]],SAP[],5,FALSE),"")</f>
        <v>2608160120</v>
      </c>
      <c r="I361" s="43" t="str">
        <f>IFERROR(VLOOKUP(CANTIDAD[[#This Row],[Ubicación]],SAP[],6,FALSE),"")</f>
        <v>16/08/2029</v>
      </c>
      <c r="J361" s="13" t="str">
        <f>IFERROR(VLOOKUP(CANTIDAD[[#This Row],[Ubicación]],SAP[],7,FALSE),"")</f>
        <v>1F</v>
      </c>
      <c r="K361" s="14">
        <f>IFERROR(VLOOKUP(CANTIDAD[[#This Row],[Ubicación]],SAP[],10,FALSE),"")</f>
        <v>72</v>
      </c>
      <c r="L361" s="48">
        <f>IFERROR(VLOOKUP(CANTIDAD[[#This Row],[Producto]],MARA[],5,FALSE),"")</f>
        <v>5</v>
      </c>
      <c r="M361" s="48" t="str">
        <f>IFERROR(VLOOKUP(CANTIDAD[[#This Row],[Producto]],MARA[],4,FALSE),"")</f>
        <v>PQT</v>
      </c>
      <c r="N361" s="136" t="s">
        <v>4708</v>
      </c>
    </row>
    <row r="362" spans="1:14" hidden="1">
      <c r="A362" s="139" t="str">
        <f t="shared" si="5"/>
        <v>PASILLO 11</v>
      </c>
      <c r="B362" s="92" t="s">
        <v>4040</v>
      </c>
      <c r="C362" s="11">
        <f>IFERROR(VLOOKUP(CANTIDAD[[#This Row],[Ubicación]],SAP[],3,FALSE),"")</f>
        <v>8412042</v>
      </c>
      <c r="D362" s="29">
        <f>IFERROR(VLOOKUP(CANTIDAD[[#This Row],[Producto]],MARA[],3,FALSE),"")</f>
        <v>17750243079720</v>
      </c>
      <c r="E362" s="11" t="str">
        <f>IFERROR(VLOOKUP(CANTIDAD[[#This Row],[Ubicación]],SAP[],4,FALSE),"")</f>
        <v>DETER.PATITO BICAR. LIMON 4KG.4BOL PE</v>
      </c>
      <c r="F362" s="11">
        <f>IFERROR(VLOOKUP(CANTIDAD[[#This Row],[Ubicación]],SAP[],8,FALSE),"")</f>
        <v>20</v>
      </c>
      <c r="G362" s="11" t="str">
        <f>IFERROR(VLOOKUP(CANTIDAD[[#This Row],[Ubicación]],SAP[],9,FALSE),"")</f>
        <v>PQT</v>
      </c>
      <c r="H362" s="11">
        <f>IFERROR(VLOOKUP(CANTIDAD[[#This Row],[Ubicación]],SAP[],5,FALSE),"")</f>
        <v>2608160120</v>
      </c>
      <c r="I362" s="42" t="str">
        <f>IFERROR(VLOOKUP(CANTIDAD[[#This Row],[Ubicación]],SAP[],6,FALSE),"")</f>
        <v>16/08/2029</v>
      </c>
      <c r="J362" s="11" t="str">
        <f>IFERROR(VLOOKUP(CANTIDAD[[#This Row],[Ubicación]],SAP[],7,FALSE),"")</f>
        <v>1F</v>
      </c>
      <c r="K362" s="11">
        <f>IFERROR(VLOOKUP(CANTIDAD[[#This Row],[Ubicación]],SAP[],10,FALSE),"")</f>
        <v>80</v>
      </c>
      <c r="L362" s="48">
        <f>IFERROR(VLOOKUP(CANTIDAD[[#This Row],[Producto]],MARA[],5,FALSE),"")</f>
        <v>5</v>
      </c>
      <c r="M362" s="48" t="str">
        <f>IFERROR(VLOOKUP(CANTIDAD[[#This Row],[Producto]],MARA[],4,FALSE),"")</f>
        <v>PQT</v>
      </c>
      <c r="N362" s="136" t="s">
        <v>4709</v>
      </c>
    </row>
    <row r="363" spans="1:14" hidden="1">
      <c r="A363" s="139" t="str">
        <f t="shared" si="5"/>
        <v>PASILLO 11</v>
      </c>
      <c r="B363" s="93" t="s">
        <v>4710</v>
      </c>
      <c r="C363" s="11" t="str">
        <f>IFERROR(VLOOKUP(CANTIDAD[[#This Row],[Ubicación]],SAP[],3,FALSE),"")</f>
        <v/>
      </c>
      <c r="D363" s="30" t="str">
        <f>IFERROR(VLOOKUP(CANTIDAD[[#This Row],[Producto]],MARA[],3,FALSE),"")</f>
        <v/>
      </c>
      <c r="E363" s="13" t="str">
        <f>IFERROR(VLOOKUP(CANTIDAD[[#This Row],[Ubicación]],SAP[],4,FALSE),"")</f>
        <v/>
      </c>
      <c r="F363" s="13" t="str">
        <f>IFERROR(VLOOKUP(CANTIDAD[[#This Row],[Ubicación]],SAP[],8,FALSE),"")</f>
        <v/>
      </c>
      <c r="G363" s="13" t="str">
        <f>IFERROR(VLOOKUP(CANTIDAD[[#This Row],[Ubicación]],SAP[],9,FALSE),"")</f>
        <v/>
      </c>
      <c r="H363" s="13" t="str">
        <f>IFERROR(VLOOKUP(CANTIDAD[[#This Row],[Ubicación]],SAP[],5,FALSE),"")</f>
        <v/>
      </c>
      <c r="I363" s="43" t="str">
        <f>IFERROR(VLOOKUP(CANTIDAD[[#This Row],[Ubicación]],SAP[],6,FALSE),"")</f>
        <v/>
      </c>
      <c r="J363" s="13" t="str">
        <f>IFERROR(VLOOKUP(CANTIDAD[[#This Row],[Ubicación]],SAP[],7,FALSE),"")</f>
        <v/>
      </c>
      <c r="K363" s="14" t="str">
        <f>IFERROR(VLOOKUP(CANTIDAD[[#This Row],[Ubicación]],SAP[],10,FALSE),"")</f>
        <v/>
      </c>
      <c r="L363" s="48" t="str">
        <f>IFERROR(VLOOKUP(CANTIDAD[[#This Row],[Producto]],MARA[],5,FALSE),"")</f>
        <v/>
      </c>
      <c r="M363" s="48" t="str">
        <f>IFERROR(VLOOKUP(CANTIDAD[[#This Row],[Producto]],MARA[],4,FALSE),"")</f>
        <v/>
      </c>
      <c r="N363" s="136" t="s">
        <v>4711</v>
      </c>
    </row>
    <row r="364" spans="1:14" hidden="1">
      <c r="A364" s="139" t="str">
        <f t="shared" si="5"/>
        <v>PASILLO 11</v>
      </c>
      <c r="B364" s="92" t="s">
        <v>3234</v>
      </c>
      <c r="C364" s="11">
        <f>IFERROR(VLOOKUP(CANTIDAD[[#This Row],[Ubicación]],SAP[],3,FALSE),"")</f>
        <v>8303023</v>
      </c>
      <c r="D364" s="29">
        <f>IFERROR(VLOOKUP(CANTIDAD[[#This Row],[Producto]],MARA[],3,FALSE),"")</f>
        <v>17751851025307</v>
      </c>
      <c r="E364" s="11" t="str">
        <f>IFERROR(VLOOKUP(CANTIDAD[[#This Row],[Ubicación]],SAP[],4,FALSE),"")</f>
        <v>DETER.SAPOLIO AMD C/ASA BEBE 8KG 2UND</v>
      </c>
      <c r="F364" s="11">
        <f>IFERROR(VLOOKUP(CANTIDAD[[#This Row],[Ubicación]],SAP[],8,FALSE),"")</f>
        <v>13</v>
      </c>
      <c r="G364" s="11" t="str">
        <f>IFERROR(VLOOKUP(CANTIDAD[[#This Row],[Ubicación]],SAP[],9,FALSE),"")</f>
        <v>PQT</v>
      </c>
      <c r="H364" s="11">
        <f>IFERROR(VLOOKUP(CANTIDAD[[#This Row],[Ubicación]],SAP[],5,FALSE),"")</f>
        <v>2604115030</v>
      </c>
      <c r="I364" s="42">
        <f>IFERROR(VLOOKUP(CANTIDAD[[#This Row],[Ubicación]],SAP[],6,FALSE),"")</f>
        <v>47426</v>
      </c>
      <c r="J364" s="11" t="str">
        <f>IFERROR(VLOOKUP(CANTIDAD[[#This Row],[Ubicación]],SAP[],7,FALSE),"")</f>
        <v>1F</v>
      </c>
      <c r="K364" s="11">
        <f>IFERROR(VLOOKUP(CANTIDAD[[#This Row],[Ubicación]],SAP[],10,FALSE),"")</f>
        <v>26</v>
      </c>
      <c r="L364" s="48">
        <f>IFERROR(VLOOKUP(CANTIDAD[[#This Row],[Producto]],MARA[],5,FALSE),"")</f>
        <v>4</v>
      </c>
      <c r="M364" s="48" t="str">
        <f>IFERROR(VLOOKUP(CANTIDAD[[#This Row],[Producto]],MARA[],4,FALSE),"")</f>
        <v>PQT</v>
      </c>
      <c r="N364" s="136" t="s">
        <v>4712</v>
      </c>
    </row>
    <row r="365" spans="1:14" hidden="1">
      <c r="A365" s="139" t="str">
        <f t="shared" si="5"/>
        <v>PASILLO 11</v>
      </c>
      <c r="B365" s="93" t="s">
        <v>3886</v>
      </c>
      <c r="C365" s="11">
        <f>IFERROR(VLOOKUP(CANTIDAD[[#This Row],[Ubicación]],SAP[],3,FALSE),"")</f>
        <v>8404716</v>
      </c>
      <c r="D365" s="30">
        <f>IFERROR(VLOOKUP(CANTIDAD[[#This Row],[Producto]],MARA[],3,FALSE),"")</f>
        <v>17750243079843</v>
      </c>
      <c r="E365" s="13" t="str">
        <f>IFERROR(VLOOKUP(CANTIDAD[[#This Row],[Ubicación]],SAP[],4,FALSE),"")</f>
        <v>DET. MARSELLA LAVANDA ROSAS 4KG 4BOL</v>
      </c>
      <c r="F365" s="13">
        <f>IFERROR(VLOOKUP(CANTIDAD[[#This Row],[Ubicación]],SAP[],8,FALSE),"")</f>
        <v>35</v>
      </c>
      <c r="G365" s="13" t="str">
        <f>IFERROR(VLOOKUP(CANTIDAD[[#This Row],[Ubicación]],SAP[],9,FALSE),"")</f>
        <v>PQT</v>
      </c>
      <c r="H365" s="13">
        <f>IFERROR(VLOOKUP(CANTIDAD[[#This Row],[Ubicación]],SAP[],5,FALSE),"")</f>
        <v>2608060120</v>
      </c>
      <c r="I365" s="43">
        <f>IFERROR(VLOOKUP(CANTIDAD[[#This Row],[Ubicación]],SAP[],6,FALSE),"")</f>
        <v>46912</v>
      </c>
      <c r="J365" s="13" t="str">
        <f>IFERROR(VLOOKUP(CANTIDAD[[#This Row],[Ubicación]],SAP[],7,FALSE),"")</f>
        <v>1F</v>
      </c>
      <c r="K365" s="14">
        <f>IFERROR(VLOOKUP(CANTIDAD[[#This Row],[Ubicación]],SAP[],10,FALSE),"")</f>
        <v>140</v>
      </c>
      <c r="L365" s="48">
        <f>IFERROR(VLOOKUP(CANTIDAD[[#This Row],[Producto]],MARA[],5,FALSE),"")</f>
        <v>5</v>
      </c>
      <c r="M365" s="48" t="str">
        <f>IFERROR(VLOOKUP(CANTIDAD[[#This Row],[Producto]],MARA[],4,FALSE),"")</f>
        <v>PQT</v>
      </c>
      <c r="N365" s="136" t="s">
        <v>4713</v>
      </c>
    </row>
    <row r="366" spans="1:14" hidden="1">
      <c r="A366" s="139" t="str">
        <f t="shared" si="5"/>
        <v>PASILLO 11</v>
      </c>
      <c r="B366" s="92" t="s">
        <v>3888</v>
      </c>
      <c r="C366" s="11">
        <f>IFERROR(VLOOKUP(CANTIDAD[[#This Row],[Ubicación]],SAP[],3,FALSE),"")</f>
        <v>8404716</v>
      </c>
      <c r="D366" s="29">
        <f>IFERROR(VLOOKUP(CANTIDAD[[#This Row],[Producto]],MARA[],3,FALSE),"")</f>
        <v>17750243079843</v>
      </c>
      <c r="E366" s="11" t="str">
        <f>IFERROR(VLOOKUP(CANTIDAD[[#This Row],[Ubicación]],SAP[],4,FALSE),"")</f>
        <v>DET. MARSELLA LAVANDA ROSAS 4KG 4BOL</v>
      </c>
      <c r="F366" s="11">
        <f>IFERROR(VLOOKUP(CANTIDAD[[#This Row],[Ubicación]],SAP[],8,FALSE),"")</f>
        <v>7</v>
      </c>
      <c r="G366" s="11" t="str">
        <f>IFERROR(VLOOKUP(CANTIDAD[[#This Row],[Ubicación]],SAP[],9,FALSE),"")</f>
        <v>PQT</v>
      </c>
      <c r="H366" s="11">
        <f>IFERROR(VLOOKUP(CANTIDAD[[#This Row],[Ubicación]],SAP[],5,FALSE),"")</f>
        <v>2608070120</v>
      </c>
      <c r="I366" s="42">
        <f>IFERROR(VLOOKUP(CANTIDAD[[#This Row],[Ubicación]],SAP[],6,FALSE),"")</f>
        <v>46942</v>
      </c>
      <c r="J366" s="11" t="str">
        <f>IFERROR(VLOOKUP(CANTIDAD[[#This Row],[Ubicación]],SAP[],7,FALSE),"")</f>
        <v>1F</v>
      </c>
      <c r="K366" s="11">
        <f>IFERROR(VLOOKUP(CANTIDAD[[#This Row],[Ubicación]],SAP[],10,FALSE),"")</f>
        <v>28</v>
      </c>
      <c r="L366" s="48">
        <f>IFERROR(VLOOKUP(CANTIDAD[[#This Row],[Producto]],MARA[],5,FALSE),"")</f>
        <v>5</v>
      </c>
      <c r="M366" s="48" t="str">
        <f>IFERROR(VLOOKUP(CANTIDAD[[#This Row],[Producto]],MARA[],4,FALSE),"")</f>
        <v>PQT</v>
      </c>
      <c r="N366" s="136" t="s">
        <v>4714</v>
      </c>
    </row>
    <row r="367" spans="1:14" hidden="1">
      <c r="A367" s="139" t="str">
        <f t="shared" si="5"/>
        <v>PASILLO 11</v>
      </c>
      <c r="B367" s="93" t="s">
        <v>3856</v>
      </c>
      <c r="C367" s="11">
        <f>IFERROR(VLOOKUP(CANTIDAD[[#This Row],[Ubicación]],SAP[],3,FALSE),"")</f>
        <v>8404092</v>
      </c>
      <c r="D367" s="30">
        <f>IFERROR(VLOOKUP(CANTIDAD[[#This Row],[Producto]],MARA[],3,FALSE),"")</f>
        <v>17750243083581</v>
      </c>
      <c r="E367" s="13" t="str">
        <f>IFERROR(VLOOKUP(CANTIDAD[[#This Row],[Ubicación]],SAP[],4,FALSE),"")</f>
        <v>DET. MARSELLA BRISAS DEL NORTE 4KG 4BOL</v>
      </c>
      <c r="F367" s="13">
        <f>IFERROR(VLOOKUP(CANTIDAD[[#This Row],[Ubicación]],SAP[],8,FALSE),"")</f>
        <v>5</v>
      </c>
      <c r="G367" s="13" t="str">
        <f>IFERROR(VLOOKUP(CANTIDAD[[#This Row],[Ubicación]],SAP[],9,FALSE),"")</f>
        <v>PQT</v>
      </c>
      <c r="H367" s="13">
        <f>IFERROR(VLOOKUP(CANTIDAD[[#This Row],[Ubicación]],SAP[],5,FALSE),"")</f>
        <v>2608150120</v>
      </c>
      <c r="I367" s="43" t="str">
        <f>IFERROR(VLOOKUP(CANTIDAD[[#This Row],[Ubicación]],SAP[],6,FALSE),"")</f>
        <v>15/08/2028</v>
      </c>
      <c r="J367" s="13" t="str">
        <f>IFERROR(VLOOKUP(CANTIDAD[[#This Row],[Ubicación]],SAP[],7,FALSE),"")</f>
        <v>1F</v>
      </c>
      <c r="K367" s="14">
        <f>IFERROR(VLOOKUP(CANTIDAD[[#This Row],[Ubicación]],SAP[],10,FALSE),"")</f>
        <v>20</v>
      </c>
      <c r="L367" s="48">
        <f>IFERROR(VLOOKUP(CANTIDAD[[#This Row],[Producto]],MARA[],5,FALSE),"")</f>
        <v>5</v>
      </c>
      <c r="M367" s="48" t="str">
        <f>IFERROR(VLOOKUP(CANTIDAD[[#This Row],[Producto]],MARA[],4,FALSE),"")</f>
        <v>PQT</v>
      </c>
      <c r="N367" s="136" t="s">
        <v>4715</v>
      </c>
    </row>
    <row r="368" spans="1:14" hidden="1">
      <c r="A368" s="139" t="str">
        <f t="shared" si="5"/>
        <v>PASILLO 11</v>
      </c>
      <c r="B368" s="92" t="s">
        <v>3877</v>
      </c>
      <c r="C368" s="11">
        <f>IFERROR(VLOOKUP(CANTIDAD[[#This Row],[Ubicación]],SAP[],3,FALSE),"")</f>
        <v>8404707</v>
      </c>
      <c r="D368" s="29">
        <f>IFERROR(VLOOKUP(CANTIDAD[[#This Row],[Producto]],MARA[],3,FALSE),"")</f>
        <v>17750243079133</v>
      </c>
      <c r="E368" s="11" t="str">
        <f>IFERROR(VLOOKUP(CANTIDAD[[#This Row],[Ubicación]],SAP[],4,FALSE),"")</f>
        <v>DET. MARSELLA DESTINOS SELVA 4.0KG.4BOL</v>
      </c>
      <c r="F368" s="11">
        <f>IFERROR(VLOOKUP(CANTIDAD[[#This Row],[Ubicación]],SAP[],8,FALSE),"")</f>
        <v>4</v>
      </c>
      <c r="G368" s="11" t="str">
        <f>IFERROR(VLOOKUP(CANTIDAD[[#This Row],[Ubicación]],SAP[],9,FALSE),"")</f>
        <v>PQT</v>
      </c>
      <c r="H368" s="11">
        <f>IFERROR(VLOOKUP(CANTIDAD[[#This Row],[Ubicación]],SAP[],5,FALSE),"")</f>
        <v>2607160120</v>
      </c>
      <c r="I368" s="42" t="str">
        <f>IFERROR(VLOOKUP(CANTIDAD[[#This Row],[Ubicación]],SAP[],6,FALSE),"")</f>
        <v>16/07/2028</v>
      </c>
      <c r="J368" s="11" t="str">
        <f>IFERROR(VLOOKUP(CANTIDAD[[#This Row],[Ubicación]],SAP[],7,FALSE),"")</f>
        <v>1F</v>
      </c>
      <c r="K368" s="11">
        <f>IFERROR(VLOOKUP(CANTIDAD[[#This Row],[Ubicación]],SAP[],10,FALSE),"")</f>
        <v>16</v>
      </c>
      <c r="L368" s="48">
        <f>IFERROR(VLOOKUP(CANTIDAD[[#This Row],[Producto]],MARA[],5,FALSE),"")</f>
        <v>5</v>
      </c>
      <c r="M368" s="48" t="str">
        <f>IFERROR(VLOOKUP(CANTIDAD[[#This Row],[Producto]],MARA[],4,FALSE),"")</f>
        <v>PQT</v>
      </c>
      <c r="N368" s="136" t="s">
        <v>4716</v>
      </c>
    </row>
    <row r="369" spans="1:14" hidden="1">
      <c r="A369" s="139" t="str">
        <f t="shared" si="5"/>
        <v>PASILLO 11</v>
      </c>
      <c r="B369" s="93" t="s">
        <v>3971</v>
      </c>
      <c r="C369" s="11">
        <f>IFERROR(VLOOKUP(CANTIDAD[[#This Row],[Ubicación]],SAP[],3,FALSE),"")</f>
        <v>8408040</v>
      </c>
      <c r="D369" s="30">
        <f>IFERROR(VLOOKUP(CANTIDAD[[#This Row],[Producto]],MARA[],3,FALSE),"")</f>
        <v>7750243078474</v>
      </c>
      <c r="E369" s="13" t="str">
        <f>IFERROR(VLOOKUP(CANTIDAD[[#This Row],[Ubicación]],SAP[],4,FALSE),"")</f>
        <v>DET. TROME PRO 15KG</v>
      </c>
      <c r="F369" s="13">
        <f>IFERROR(VLOOKUP(CANTIDAD[[#This Row],[Ubicación]],SAP[],8,FALSE),"")</f>
        <v>33</v>
      </c>
      <c r="G369" s="13" t="str">
        <f>IFERROR(VLOOKUP(CANTIDAD[[#This Row],[Ubicación]],SAP[],9,FALSE),"")</f>
        <v>UND</v>
      </c>
      <c r="H369" s="13">
        <f>IFERROR(VLOOKUP(CANTIDAD[[#This Row],[Ubicación]],SAP[],5,FALSE),"")</f>
        <v>2608115030</v>
      </c>
      <c r="I369" s="43">
        <f>IFERROR(VLOOKUP(CANTIDAD[[#This Row],[Ubicación]],SAP[],6,FALSE),"")</f>
        <v>47065</v>
      </c>
      <c r="J369" s="13" t="str">
        <f>IFERROR(VLOOKUP(CANTIDAD[[#This Row],[Ubicación]],SAP[],7,FALSE),"")</f>
        <v>1F</v>
      </c>
      <c r="K369" s="14">
        <f>IFERROR(VLOOKUP(CANTIDAD[[#This Row],[Ubicación]],SAP[],10,FALSE),"")</f>
        <v>33</v>
      </c>
      <c r="L369" s="48">
        <f>IFERROR(VLOOKUP(CANTIDAD[[#This Row],[Producto]],MARA[],5,FALSE),"")</f>
        <v>4</v>
      </c>
      <c r="M369" s="48" t="str">
        <f>IFERROR(VLOOKUP(CANTIDAD[[#This Row],[Producto]],MARA[],4,FALSE),"")</f>
        <v>UND</v>
      </c>
      <c r="N369" s="136" t="s">
        <v>4717</v>
      </c>
    </row>
    <row r="370" spans="1:14" hidden="1">
      <c r="A370" s="139" t="str">
        <f t="shared" si="5"/>
        <v>PASILLO 11</v>
      </c>
      <c r="B370" s="92" t="s">
        <v>3978</v>
      </c>
      <c r="C370" s="11">
        <f>IFERROR(VLOOKUP(CANTIDAD[[#This Row],[Ubicación]],SAP[],3,FALSE),"")</f>
        <v>8408042</v>
      </c>
      <c r="D370" s="29">
        <f>IFERROR(VLOOKUP(CANTIDAD[[#This Row],[Producto]],MARA[],3,FALSE),"")</f>
        <v>7750243081214</v>
      </c>
      <c r="E370" s="11" t="str">
        <f>IFERROR(VLOOKUP(CANTIDAD[[#This Row],[Ubicación]],SAP[],4,FALSE),"")</f>
        <v>DET. TROME PRO PRIMAVERAL 15KG</v>
      </c>
      <c r="F370" s="11">
        <f>IFERROR(VLOOKUP(CANTIDAD[[#This Row],[Ubicación]],SAP[],8,FALSE),"")</f>
        <v>14</v>
      </c>
      <c r="G370" s="11" t="str">
        <f>IFERROR(VLOOKUP(CANTIDAD[[#This Row],[Ubicación]],SAP[],9,FALSE),"")</f>
        <v>UND</v>
      </c>
      <c r="H370" s="11">
        <f>IFERROR(VLOOKUP(CANTIDAD[[#This Row],[Ubicación]],SAP[],5,FALSE),"")</f>
        <v>2608275030</v>
      </c>
      <c r="I370" s="42" t="str">
        <f>IFERROR(VLOOKUP(CANTIDAD[[#This Row],[Ubicación]],SAP[],6,FALSE),"")</f>
        <v>27/08/2028</v>
      </c>
      <c r="J370" s="11" t="str">
        <f>IFERROR(VLOOKUP(CANTIDAD[[#This Row],[Ubicación]],SAP[],7,FALSE),"")</f>
        <v>1F</v>
      </c>
      <c r="K370" s="11">
        <f>IFERROR(VLOOKUP(CANTIDAD[[#This Row],[Ubicación]],SAP[],10,FALSE),"")</f>
        <v>14</v>
      </c>
      <c r="L370" s="48">
        <f>IFERROR(VLOOKUP(CANTIDAD[[#This Row],[Producto]],MARA[],5,FALSE),"")</f>
        <v>4</v>
      </c>
      <c r="M370" s="48" t="str">
        <f>IFERROR(VLOOKUP(CANTIDAD[[#This Row],[Producto]],MARA[],4,FALSE),"")</f>
        <v>UND</v>
      </c>
      <c r="N370" s="136" t="s">
        <v>4718</v>
      </c>
    </row>
    <row r="371" spans="1:14" hidden="1">
      <c r="A371" s="139" t="str">
        <f t="shared" si="5"/>
        <v>PASILLO 11</v>
      </c>
      <c r="B371" s="93" t="s">
        <v>3983</v>
      </c>
      <c r="C371" s="11">
        <f>IFERROR(VLOOKUP(CANTIDAD[[#This Row],[Ubicación]],SAP[],3,FALSE),"")</f>
        <v>8408045</v>
      </c>
      <c r="D371" s="30">
        <f>IFERROR(VLOOKUP(CANTIDAD[[#This Row],[Producto]],MARA[],3,FALSE),"")</f>
        <v>7750243086424</v>
      </c>
      <c r="E371" s="13" t="str">
        <f>IFERROR(VLOOKUP(CANTIDAD[[#This Row],[Ubicación]],SAP[],4,FALSE),"")</f>
        <v>DET. MULTIUSO TAO PROFESIONAL 15KG</v>
      </c>
      <c r="F371" s="13">
        <f>IFERROR(VLOOKUP(CANTIDAD[[#This Row],[Ubicación]],SAP[],8,FALSE),"")</f>
        <v>5</v>
      </c>
      <c r="G371" s="13" t="str">
        <f>IFERROR(VLOOKUP(CANTIDAD[[#This Row],[Ubicación]],SAP[],9,FALSE),"")</f>
        <v>UND</v>
      </c>
      <c r="H371" s="13">
        <f>IFERROR(VLOOKUP(CANTIDAD[[#This Row],[Ubicación]],SAP[],5,FALSE),"")</f>
        <v>2608205030</v>
      </c>
      <c r="I371" s="43" t="str">
        <f>IFERROR(VLOOKUP(CANTIDAD[[#This Row],[Ubicación]],SAP[],6,FALSE),"")</f>
        <v>20/08/2028</v>
      </c>
      <c r="J371" s="13" t="str">
        <f>IFERROR(VLOOKUP(CANTIDAD[[#This Row],[Ubicación]],SAP[],7,FALSE),"")</f>
        <v>1F</v>
      </c>
      <c r="K371" s="14">
        <f>IFERROR(VLOOKUP(CANTIDAD[[#This Row],[Ubicación]],SAP[],10,FALSE),"")</f>
        <v>5</v>
      </c>
      <c r="L371" s="48">
        <f>IFERROR(VLOOKUP(CANTIDAD[[#This Row],[Producto]],MARA[],5,FALSE),"")</f>
        <v>4</v>
      </c>
      <c r="M371" s="48" t="str">
        <f>IFERROR(VLOOKUP(CANTIDAD[[#This Row],[Producto]],MARA[],4,FALSE),"")</f>
        <v>UND</v>
      </c>
      <c r="N371" s="136" t="s">
        <v>4719</v>
      </c>
    </row>
    <row r="372" spans="1:14" hidden="1">
      <c r="A372" s="139" t="str">
        <f t="shared" si="5"/>
        <v>PASILLO 11</v>
      </c>
      <c r="B372" s="92" t="s">
        <v>3819</v>
      </c>
      <c r="C372" s="11">
        <f>IFERROR(VLOOKUP(CANTIDAD[[#This Row],[Ubicación]],SAP[],3,FALSE),"")</f>
        <v>8400643</v>
      </c>
      <c r="D372" s="29">
        <f>IFERROR(VLOOKUP(CANTIDAD[[#This Row],[Producto]],MARA[],3,FALSE),"")</f>
        <v>17750243078952</v>
      </c>
      <c r="E372" s="11" t="str">
        <f>IFERROR(VLOOKUP(CANTIDAD[[#This Row],[Ubicación]],SAP[],4,FALSE),"")</f>
        <v>DET. BOLIVAR CUIDADO TOTAL 2.4KG.6BOL</v>
      </c>
      <c r="F372" s="11">
        <f>IFERROR(VLOOKUP(CANTIDAD[[#This Row],[Ubicación]],SAP[],8,FALSE),"")</f>
        <v>19</v>
      </c>
      <c r="G372" s="11" t="str">
        <f>IFERROR(VLOOKUP(CANTIDAD[[#This Row],[Ubicación]],SAP[],9,FALSE),"")</f>
        <v>PQT</v>
      </c>
      <c r="H372" s="11">
        <f>IFERROR(VLOOKUP(CANTIDAD[[#This Row],[Ubicación]],SAP[],5,FALSE),"")</f>
        <v>2608250120</v>
      </c>
      <c r="I372" s="42" t="str">
        <f>IFERROR(VLOOKUP(CANTIDAD[[#This Row],[Ubicación]],SAP[],6,FALSE),"")</f>
        <v>25/08/2028</v>
      </c>
      <c r="J372" s="11" t="str">
        <f>IFERROR(VLOOKUP(CANTIDAD[[#This Row],[Ubicación]],SAP[],7,FALSE),"")</f>
        <v>1F</v>
      </c>
      <c r="K372" s="11">
        <f>IFERROR(VLOOKUP(CANTIDAD[[#This Row],[Ubicación]],SAP[],10,FALSE),"")</f>
        <v>114</v>
      </c>
      <c r="L372" s="48">
        <f>IFERROR(VLOOKUP(CANTIDAD[[#This Row],[Producto]],MARA[],5,FALSE),"")</f>
        <v>5</v>
      </c>
      <c r="M372" s="48" t="str">
        <f>IFERROR(VLOOKUP(CANTIDAD[[#This Row],[Producto]],MARA[],4,FALSE),"")</f>
        <v>PQT</v>
      </c>
      <c r="N372" s="136" t="s">
        <v>4720</v>
      </c>
    </row>
    <row r="373" spans="1:14" hidden="1">
      <c r="A373" s="139" t="str">
        <f t="shared" si="5"/>
        <v>PASILLO 11</v>
      </c>
      <c r="B373" s="93" t="s">
        <v>3822</v>
      </c>
      <c r="C373" s="11">
        <f>IFERROR(VLOOKUP(CANTIDAD[[#This Row],[Ubicación]],SAP[],3,FALSE),"")</f>
        <v>8400643</v>
      </c>
      <c r="D373" s="30">
        <f>IFERROR(VLOOKUP(CANTIDAD[[#This Row],[Producto]],MARA[],3,FALSE),"")</f>
        <v>17750243078952</v>
      </c>
      <c r="E373" s="13" t="str">
        <f>IFERROR(VLOOKUP(CANTIDAD[[#This Row],[Ubicación]],SAP[],4,FALSE),"")</f>
        <v>DET. BOLIVAR CUIDADO TOTAL 2.4KG.6BOL</v>
      </c>
      <c r="F373" s="13">
        <f>IFERROR(VLOOKUP(CANTIDAD[[#This Row],[Ubicación]],SAP[],8,FALSE),"")</f>
        <v>12</v>
      </c>
      <c r="G373" s="13" t="str">
        <f>IFERROR(VLOOKUP(CANTIDAD[[#This Row],[Ubicación]],SAP[],9,FALSE),"")</f>
        <v>PQT</v>
      </c>
      <c r="H373" s="13">
        <f>IFERROR(VLOOKUP(CANTIDAD[[#This Row],[Ubicación]],SAP[],5,FALSE),"")</f>
        <v>2608250120</v>
      </c>
      <c r="I373" s="43" t="str">
        <f>IFERROR(VLOOKUP(CANTIDAD[[#This Row],[Ubicación]],SAP[],6,FALSE),"")</f>
        <v>25/08/2028</v>
      </c>
      <c r="J373" s="13" t="str">
        <f>IFERROR(VLOOKUP(CANTIDAD[[#This Row],[Ubicación]],SAP[],7,FALSE),"")</f>
        <v>1F</v>
      </c>
      <c r="K373" s="14">
        <f>IFERROR(VLOOKUP(CANTIDAD[[#This Row],[Ubicación]],SAP[],10,FALSE),"")</f>
        <v>72</v>
      </c>
      <c r="L373" s="48">
        <f>IFERROR(VLOOKUP(CANTIDAD[[#This Row],[Producto]],MARA[],5,FALSE),"")</f>
        <v>5</v>
      </c>
      <c r="M373" s="48" t="str">
        <f>IFERROR(VLOOKUP(CANTIDAD[[#This Row],[Producto]],MARA[],4,FALSE),"")</f>
        <v>PQT</v>
      </c>
      <c r="N373" s="136" t="s">
        <v>4721</v>
      </c>
    </row>
    <row r="374" spans="1:14" hidden="1">
      <c r="A374" s="139" t="str">
        <f t="shared" si="5"/>
        <v>PASILLO 11</v>
      </c>
      <c r="B374" s="92" t="s">
        <v>3926</v>
      </c>
      <c r="C374" s="11">
        <f>IFERROR(VLOOKUP(CANTIDAD[[#This Row],[Ubicación]],SAP[],3,FALSE),"")</f>
        <v>8406141</v>
      </c>
      <c r="D374" s="29">
        <f>IFERROR(VLOOKUP(CANTIDAD[[#This Row],[Producto]],MARA[],3,FALSE),"")</f>
        <v>17750243080597</v>
      </c>
      <c r="E374" s="11" t="str">
        <f>IFERROR(VLOOKUP(CANTIDAD[[#This Row],[Ubicación]],SAP[],4,FALSE),"")</f>
        <v>DET. OPAL  ULTRA 2.4KG.6BOL</v>
      </c>
      <c r="F374" s="11">
        <f>IFERROR(VLOOKUP(CANTIDAD[[#This Row],[Ubicación]],SAP[],8,FALSE),"")</f>
        <v>25</v>
      </c>
      <c r="G374" s="11" t="str">
        <f>IFERROR(VLOOKUP(CANTIDAD[[#This Row],[Ubicación]],SAP[],9,FALSE),"")</f>
        <v>PQT</v>
      </c>
      <c r="H374" s="11">
        <f>IFERROR(VLOOKUP(CANTIDAD[[#This Row],[Ubicación]],SAP[],5,FALSE),"")</f>
        <v>2608220120</v>
      </c>
      <c r="I374" s="42" t="str">
        <f>IFERROR(VLOOKUP(CANTIDAD[[#This Row],[Ubicación]],SAP[],6,FALSE),"")</f>
        <v>22/08/2028</v>
      </c>
      <c r="J374" s="11" t="str">
        <f>IFERROR(VLOOKUP(CANTIDAD[[#This Row],[Ubicación]],SAP[],7,FALSE),"")</f>
        <v>1F</v>
      </c>
      <c r="K374" s="11">
        <f>IFERROR(VLOOKUP(CANTIDAD[[#This Row],[Ubicación]],SAP[],10,FALSE),"")</f>
        <v>150</v>
      </c>
      <c r="L374" s="48">
        <f>IFERROR(VLOOKUP(CANTIDAD[[#This Row],[Producto]],MARA[],5,FALSE),"")</f>
        <v>5</v>
      </c>
      <c r="M374" s="48" t="str">
        <f>IFERROR(VLOOKUP(CANTIDAD[[#This Row],[Producto]],MARA[],4,FALSE),"")</f>
        <v>PQT</v>
      </c>
      <c r="N374" s="136" t="s">
        <v>4722</v>
      </c>
    </row>
    <row r="375" spans="1:14" hidden="1">
      <c r="A375" s="139" t="str">
        <f t="shared" si="5"/>
        <v>PASILLO 11</v>
      </c>
      <c r="B375" s="93" t="s">
        <v>3788</v>
      </c>
      <c r="C375" s="11">
        <f>IFERROR(VLOOKUP(CANTIDAD[[#This Row],[Ubicación]],SAP[],3,FALSE),"")</f>
        <v>8400635</v>
      </c>
      <c r="D375" s="30">
        <f>IFERROR(VLOOKUP(CANTIDAD[[#This Row],[Producto]],MARA[],3,FALSE),"")</f>
        <v>17750243079003</v>
      </c>
      <c r="E375" s="13" t="str">
        <f>IFERROR(VLOOKUP(CANTIDAD[[#This Row],[Ubicación]],SAP[],4,FALSE),"")</f>
        <v>DET. BOLIVAR CUIDADO MICELAR 2.4KG.6BOL</v>
      </c>
      <c r="F375" s="13">
        <f>IFERROR(VLOOKUP(CANTIDAD[[#This Row],[Ubicación]],SAP[],8,FALSE),"")</f>
        <v>32</v>
      </c>
      <c r="G375" s="13" t="str">
        <f>IFERROR(VLOOKUP(CANTIDAD[[#This Row],[Ubicación]],SAP[],9,FALSE),"")</f>
        <v>PQT</v>
      </c>
      <c r="H375" s="13">
        <f>IFERROR(VLOOKUP(CANTIDAD[[#This Row],[Ubicación]],SAP[],5,FALSE),"")</f>
        <v>2608220120</v>
      </c>
      <c r="I375" s="43" t="str">
        <f>IFERROR(VLOOKUP(CANTIDAD[[#This Row],[Ubicación]],SAP[],6,FALSE),"")</f>
        <v>22/08/2028</v>
      </c>
      <c r="J375" s="13" t="str">
        <f>IFERROR(VLOOKUP(CANTIDAD[[#This Row],[Ubicación]],SAP[],7,FALSE),"")</f>
        <v>1F</v>
      </c>
      <c r="K375" s="14">
        <f>IFERROR(VLOOKUP(CANTIDAD[[#This Row],[Ubicación]],SAP[],10,FALSE),"")</f>
        <v>192</v>
      </c>
      <c r="L375" s="48">
        <f>IFERROR(VLOOKUP(CANTIDAD[[#This Row],[Producto]],MARA[],5,FALSE),"")</f>
        <v>5</v>
      </c>
      <c r="M375" s="48" t="str">
        <f>IFERROR(VLOOKUP(CANTIDAD[[#This Row],[Producto]],MARA[],4,FALSE),"")</f>
        <v>PQT</v>
      </c>
      <c r="N375" s="136" t="s">
        <v>4723</v>
      </c>
    </row>
    <row r="376" spans="1:14" hidden="1">
      <c r="A376" s="139" t="str">
        <f t="shared" si="5"/>
        <v>PASILLO 11</v>
      </c>
      <c r="B376" s="92" t="s">
        <v>3782</v>
      </c>
      <c r="C376" s="11">
        <f>IFERROR(VLOOKUP(CANTIDAD[[#This Row],[Ubicación]],SAP[],3,FALSE),"")</f>
        <v>8400633</v>
      </c>
      <c r="D376" s="29">
        <f>IFERROR(VLOOKUP(CANTIDAD[[#This Row],[Producto]],MARA[],3,FALSE),"")</f>
        <v>17750243079027</v>
      </c>
      <c r="E376" s="11" t="str">
        <f>IFERROR(VLOOKUP(CANTIDAD[[#This Row],[Ubicación]],SAP[],4,FALSE),"")</f>
        <v>DET.BOLIVAR CUIDADO SUAVIDAD 2.4KG.6BOL</v>
      </c>
      <c r="F376" s="11">
        <f>IFERROR(VLOOKUP(CANTIDAD[[#This Row],[Ubicación]],SAP[],8,FALSE),"")</f>
        <v>30</v>
      </c>
      <c r="G376" s="11" t="str">
        <f>IFERROR(VLOOKUP(CANTIDAD[[#This Row],[Ubicación]],SAP[],9,FALSE),"")</f>
        <v>PQT</v>
      </c>
      <c r="H376" s="11">
        <f>IFERROR(VLOOKUP(CANTIDAD[[#This Row],[Ubicación]],SAP[],5,FALSE),"")</f>
        <v>2608250120</v>
      </c>
      <c r="I376" s="42" t="str">
        <f>IFERROR(VLOOKUP(CANTIDAD[[#This Row],[Ubicación]],SAP[],6,FALSE),"")</f>
        <v>25/08/2028</v>
      </c>
      <c r="J376" s="11" t="str">
        <f>IFERROR(VLOOKUP(CANTIDAD[[#This Row],[Ubicación]],SAP[],7,FALSE),"")</f>
        <v>1F</v>
      </c>
      <c r="K376" s="11">
        <f>IFERROR(VLOOKUP(CANTIDAD[[#This Row],[Ubicación]],SAP[],10,FALSE),"")</f>
        <v>180</v>
      </c>
      <c r="L376" s="48">
        <f>IFERROR(VLOOKUP(CANTIDAD[[#This Row],[Producto]],MARA[],5,FALSE),"")</f>
        <v>5</v>
      </c>
      <c r="M376" s="48" t="str">
        <f>IFERROR(VLOOKUP(CANTIDAD[[#This Row],[Producto]],MARA[],4,FALSE),"")</f>
        <v>PQT</v>
      </c>
      <c r="N376" s="136" t="s">
        <v>4724</v>
      </c>
    </row>
    <row r="377" spans="1:14" hidden="1">
      <c r="A377" s="139" t="str">
        <f t="shared" si="5"/>
        <v>PASILLO 11</v>
      </c>
      <c r="B377" s="93" t="s">
        <v>3943</v>
      </c>
      <c r="C377" s="11">
        <f>IFERROR(VLOOKUP(CANTIDAD[[#This Row],[Ubicación]],SAP[],3,FALSE),"")</f>
        <v>8406148</v>
      </c>
      <c r="D377" s="30">
        <f>IFERROR(VLOOKUP(CANTIDAD[[#This Row],[Producto]],MARA[],3,FALSE),"")</f>
        <v>17750243080658</v>
      </c>
      <c r="E377" s="13" t="str">
        <f>IFERROR(VLOOKUP(CANTIDAD[[#This Row],[Ubicación]],SAP[],4,FALSE),"")</f>
        <v>DET.OPAL ANTIBAC 2.4KG.6BOL</v>
      </c>
      <c r="F377" s="13">
        <f>IFERROR(VLOOKUP(CANTIDAD[[#This Row],[Ubicación]],SAP[],8,FALSE),"")</f>
        <v>24</v>
      </c>
      <c r="G377" s="13" t="str">
        <f>IFERROR(VLOOKUP(CANTIDAD[[#This Row],[Ubicación]],SAP[],9,FALSE),"")</f>
        <v>PQT</v>
      </c>
      <c r="H377" s="13">
        <f>IFERROR(VLOOKUP(CANTIDAD[[#This Row],[Ubicación]],SAP[],5,FALSE),"")</f>
        <v>2608120120</v>
      </c>
      <c r="I377" s="43">
        <f>IFERROR(VLOOKUP(CANTIDAD[[#This Row],[Ubicación]],SAP[],6,FALSE),"")</f>
        <v>47095</v>
      </c>
      <c r="J377" s="13" t="str">
        <f>IFERROR(VLOOKUP(CANTIDAD[[#This Row],[Ubicación]],SAP[],7,FALSE),"")</f>
        <v>1F</v>
      </c>
      <c r="K377" s="14">
        <f>IFERROR(VLOOKUP(CANTIDAD[[#This Row],[Ubicación]],SAP[],10,FALSE),"")</f>
        <v>144</v>
      </c>
      <c r="L377" s="48">
        <f>IFERROR(VLOOKUP(CANTIDAD[[#This Row],[Producto]],MARA[],5,FALSE),"")</f>
        <v>5</v>
      </c>
      <c r="M377" s="48" t="str">
        <f>IFERROR(VLOOKUP(CANTIDAD[[#This Row],[Producto]],MARA[],4,FALSE),"")</f>
        <v>PQT</v>
      </c>
      <c r="N377" s="136" t="s">
        <v>4725</v>
      </c>
    </row>
    <row r="378" spans="1:14" hidden="1">
      <c r="A378" s="139" t="str">
        <f t="shared" si="5"/>
        <v>PASILLO 11</v>
      </c>
      <c r="B378" s="92" t="s">
        <v>3951</v>
      </c>
      <c r="C378" s="11">
        <f>IFERROR(VLOOKUP(CANTIDAD[[#This Row],[Ubicación]],SAP[],3,FALSE),"")</f>
        <v>8406153</v>
      </c>
      <c r="D378" s="29">
        <f>IFERROR(VLOOKUP(CANTIDAD[[#This Row],[Producto]],MARA[],3,FALSE),"")</f>
        <v>17750243080696</v>
      </c>
      <c r="E378" s="11" t="str">
        <f>IFERROR(VLOOKUP(CANTIDAD[[#This Row],[Ubicación]],SAP[],4,FALSE),"")</f>
        <v>DET. OPAL BLANCOS 2.4KG.6BOL</v>
      </c>
      <c r="F378" s="11">
        <f>IFERROR(VLOOKUP(CANTIDAD[[#This Row],[Ubicación]],SAP[],8,FALSE),"")</f>
        <v>4</v>
      </c>
      <c r="G378" s="11" t="str">
        <f>IFERROR(VLOOKUP(CANTIDAD[[#This Row],[Ubicación]],SAP[],9,FALSE),"")</f>
        <v>PQT</v>
      </c>
      <c r="H378" s="11">
        <f>IFERROR(VLOOKUP(CANTIDAD[[#This Row],[Ubicación]],SAP[],5,FALSE),"")</f>
        <v>2608120120</v>
      </c>
      <c r="I378" s="42">
        <f>IFERROR(VLOOKUP(CANTIDAD[[#This Row],[Ubicación]],SAP[],6,FALSE),"")</f>
        <v>47095</v>
      </c>
      <c r="J378" s="11" t="str">
        <f>IFERROR(VLOOKUP(CANTIDAD[[#This Row],[Ubicación]],SAP[],7,FALSE),"")</f>
        <v>1F</v>
      </c>
      <c r="K378" s="11">
        <f>IFERROR(VLOOKUP(CANTIDAD[[#This Row],[Ubicación]],SAP[],10,FALSE),"")</f>
        <v>24</v>
      </c>
      <c r="L378" s="48">
        <f>IFERROR(VLOOKUP(CANTIDAD[[#This Row],[Producto]],MARA[],5,FALSE),"")</f>
        <v>5</v>
      </c>
      <c r="M378" s="48" t="str">
        <f>IFERROR(VLOOKUP(CANTIDAD[[#This Row],[Producto]],MARA[],4,FALSE),"")</f>
        <v>PQT</v>
      </c>
      <c r="N378" s="136" t="s">
        <v>4726</v>
      </c>
    </row>
    <row r="379" spans="1:14" hidden="1">
      <c r="A379" s="139" t="str">
        <f t="shared" si="5"/>
        <v>PASILLO 11</v>
      </c>
      <c r="B379" s="93" t="s">
        <v>3959</v>
      </c>
      <c r="C379" s="11">
        <f>IFERROR(VLOOKUP(CANTIDAD[[#This Row],[Ubicación]],SAP[],3,FALSE),"")</f>
        <v>8406216</v>
      </c>
      <c r="D379" s="30">
        <f>IFERROR(VLOOKUP(CANTIDAD[[#This Row],[Producto]],MARA[],3,FALSE),"")</f>
        <v>37750243080591</v>
      </c>
      <c r="E379" s="13" t="str">
        <f>IFERROR(VLOOKUP(CANTIDAD[[#This Row],[Ubicación]],SAP[],4,FALSE),"")</f>
        <v>DET. OPAL  ULTRA  2.4KG.6BOL CP</v>
      </c>
      <c r="F379" s="13">
        <f>IFERROR(VLOOKUP(CANTIDAD[[#This Row],[Ubicación]],SAP[],8,FALSE),"")</f>
        <v>28</v>
      </c>
      <c r="G379" s="13" t="str">
        <f>IFERROR(VLOOKUP(CANTIDAD[[#This Row],[Ubicación]],SAP[],9,FALSE),"")</f>
        <v>PQT</v>
      </c>
      <c r="H379" s="13">
        <f>IFERROR(VLOOKUP(CANTIDAD[[#This Row],[Ubicación]],SAP[],5,FALSE),"")</f>
        <v>2608210120</v>
      </c>
      <c r="I379" s="43" t="str">
        <f>IFERROR(VLOOKUP(CANTIDAD[[#This Row],[Ubicación]],SAP[],6,FALSE),"")</f>
        <v>21/08/2028</v>
      </c>
      <c r="J379" s="13" t="str">
        <f>IFERROR(VLOOKUP(CANTIDAD[[#This Row],[Ubicación]],SAP[],7,FALSE),"")</f>
        <v>1F</v>
      </c>
      <c r="K379" s="14">
        <f>IFERROR(VLOOKUP(CANTIDAD[[#This Row],[Ubicación]],SAP[],10,FALSE),"")</f>
        <v>168</v>
      </c>
      <c r="L379" s="48">
        <f>IFERROR(VLOOKUP(CANTIDAD[[#This Row],[Producto]],MARA[],5,FALSE),"")</f>
        <v>5</v>
      </c>
      <c r="M379" s="48" t="str">
        <f>IFERROR(VLOOKUP(CANTIDAD[[#This Row],[Producto]],MARA[],4,FALSE),"")</f>
        <v>PQT</v>
      </c>
      <c r="N379" s="136" t="s">
        <v>4727</v>
      </c>
    </row>
    <row r="380" spans="1:14" hidden="1">
      <c r="A380" s="139" t="str">
        <f t="shared" si="5"/>
        <v>PASILLO 11</v>
      </c>
      <c r="B380" s="92" t="s">
        <v>3863</v>
      </c>
      <c r="C380" s="11">
        <f>IFERROR(VLOOKUP(CANTIDAD[[#This Row],[Ubicación]],SAP[],3,FALSE),"")</f>
        <v>8404094</v>
      </c>
      <c r="D380" s="29">
        <f>IFERROR(VLOOKUP(CANTIDAD[[#This Row],[Producto]],MARA[],3,FALSE),"")</f>
        <v>17750243083604</v>
      </c>
      <c r="E380" s="11" t="str">
        <f>IFERROR(VLOOKUP(CANTIDAD[[#This Row],[Ubicación]],SAP[],4,FALSE),"")</f>
        <v>DET. MARSELLA BRISAS DEL NORTE 2KG 7BOL</v>
      </c>
      <c r="F380" s="11">
        <f>IFERROR(VLOOKUP(CANTIDAD[[#This Row],[Ubicación]],SAP[],8,FALSE),"")</f>
        <v>22</v>
      </c>
      <c r="G380" s="11" t="str">
        <f>IFERROR(VLOOKUP(CANTIDAD[[#This Row],[Ubicación]],SAP[],9,FALSE),"")</f>
        <v>PQT</v>
      </c>
      <c r="H380" s="11">
        <f>IFERROR(VLOOKUP(CANTIDAD[[#This Row],[Ubicación]],SAP[],5,FALSE),"")</f>
        <v>2607230120</v>
      </c>
      <c r="I380" s="42" t="str">
        <f>IFERROR(VLOOKUP(CANTIDAD[[#This Row],[Ubicación]],SAP[],6,FALSE),"")</f>
        <v>23/07/2028</v>
      </c>
      <c r="J380" s="11" t="str">
        <f>IFERROR(VLOOKUP(CANTIDAD[[#This Row],[Ubicación]],SAP[],7,FALSE),"")</f>
        <v>1F</v>
      </c>
      <c r="K380" s="11">
        <f>IFERROR(VLOOKUP(CANTIDAD[[#This Row],[Ubicación]],SAP[],10,FALSE),"")</f>
        <v>154</v>
      </c>
      <c r="L380" s="48">
        <f>IFERROR(VLOOKUP(CANTIDAD[[#This Row],[Producto]],MARA[],5,FALSE),"")</f>
        <v>5</v>
      </c>
      <c r="M380" s="48" t="str">
        <f>IFERROR(VLOOKUP(CANTIDAD[[#This Row],[Producto]],MARA[],4,FALSE),"")</f>
        <v>PQT</v>
      </c>
      <c r="N380" s="136" t="s">
        <v>4728</v>
      </c>
    </row>
    <row r="381" spans="1:14" hidden="1">
      <c r="A381" s="139" t="str">
        <f t="shared" si="5"/>
        <v>PASILLO 11</v>
      </c>
      <c r="B381" s="93" t="s">
        <v>3865</v>
      </c>
      <c r="C381" s="11">
        <f>IFERROR(VLOOKUP(CANTIDAD[[#This Row],[Ubicación]],SAP[],3,FALSE),"")</f>
        <v>8404094</v>
      </c>
      <c r="D381" s="30">
        <f>IFERROR(VLOOKUP(CANTIDAD[[#This Row],[Producto]],MARA[],3,FALSE),"")</f>
        <v>17750243083604</v>
      </c>
      <c r="E381" s="13" t="str">
        <f>IFERROR(VLOOKUP(CANTIDAD[[#This Row],[Ubicación]],SAP[],4,FALSE),"")</f>
        <v>DET. MARSELLA BRISAS DEL NORTE 2KG 7BOL</v>
      </c>
      <c r="F381" s="13">
        <f>IFERROR(VLOOKUP(CANTIDAD[[#This Row],[Ubicación]],SAP[],8,FALSE),"")</f>
        <v>17</v>
      </c>
      <c r="G381" s="13" t="str">
        <f>IFERROR(VLOOKUP(CANTIDAD[[#This Row],[Ubicación]],SAP[],9,FALSE),"")</f>
        <v>PQT</v>
      </c>
      <c r="H381" s="13">
        <f>IFERROR(VLOOKUP(CANTIDAD[[#This Row],[Ubicación]],SAP[],5,FALSE),"")</f>
        <v>2607230120</v>
      </c>
      <c r="I381" s="43" t="str">
        <f>IFERROR(VLOOKUP(CANTIDAD[[#This Row],[Ubicación]],SAP[],6,FALSE),"")</f>
        <v>23/07/2028</v>
      </c>
      <c r="J381" s="13" t="str">
        <f>IFERROR(VLOOKUP(CANTIDAD[[#This Row],[Ubicación]],SAP[],7,FALSE),"")</f>
        <v>1F</v>
      </c>
      <c r="K381" s="14">
        <f>IFERROR(VLOOKUP(CANTIDAD[[#This Row],[Ubicación]],SAP[],10,FALSE),"")</f>
        <v>119</v>
      </c>
      <c r="L381" s="48">
        <f>IFERROR(VLOOKUP(CANTIDAD[[#This Row],[Producto]],MARA[],5,FALSE),"")</f>
        <v>5</v>
      </c>
      <c r="M381" s="48" t="str">
        <f>IFERROR(VLOOKUP(CANTIDAD[[#This Row],[Producto]],MARA[],4,FALSE),"")</f>
        <v>PQT</v>
      </c>
      <c r="N381" s="136" t="s">
        <v>4729</v>
      </c>
    </row>
    <row r="382" spans="1:14" hidden="1">
      <c r="A382" s="139" t="str">
        <f t="shared" si="5"/>
        <v>PASILLO 11</v>
      </c>
      <c r="B382" s="92" t="s">
        <v>3872</v>
      </c>
      <c r="C382" s="11">
        <f>IFERROR(VLOOKUP(CANTIDAD[[#This Row],[Ubicación]],SAP[],3,FALSE),"")</f>
        <v>8404705</v>
      </c>
      <c r="D382" s="29">
        <f>IFERROR(VLOOKUP(CANTIDAD[[#This Row],[Producto]],MARA[],3,FALSE),"")</f>
        <v>17750243078907</v>
      </c>
      <c r="E382" s="11" t="str">
        <f>IFERROR(VLOOKUP(CANTIDAD[[#This Row],[Ubicación]],SAP[],4,FALSE),"")</f>
        <v>DETER. MARSELLA DESTINOS SELVA 2KG 7BOL</v>
      </c>
      <c r="F382" s="11">
        <f>IFERROR(VLOOKUP(CANTIDAD[[#This Row],[Ubicación]],SAP[],8,FALSE),"")</f>
        <v>27</v>
      </c>
      <c r="G382" s="11" t="str">
        <f>IFERROR(VLOOKUP(CANTIDAD[[#This Row],[Ubicación]],SAP[],9,FALSE),"")</f>
        <v>PQT</v>
      </c>
      <c r="H382" s="11">
        <f>IFERROR(VLOOKUP(CANTIDAD[[#This Row],[Ubicación]],SAP[],5,FALSE),"")</f>
        <v>2608070120</v>
      </c>
      <c r="I382" s="42">
        <f>IFERROR(VLOOKUP(CANTIDAD[[#This Row],[Ubicación]],SAP[],6,FALSE),"")</f>
        <v>46942</v>
      </c>
      <c r="J382" s="11" t="str">
        <f>IFERROR(VLOOKUP(CANTIDAD[[#This Row],[Ubicación]],SAP[],7,FALSE),"")</f>
        <v>1F</v>
      </c>
      <c r="K382" s="11">
        <f>IFERROR(VLOOKUP(CANTIDAD[[#This Row],[Ubicación]],SAP[],10,FALSE),"")</f>
        <v>189</v>
      </c>
      <c r="L382" s="48">
        <f>IFERROR(VLOOKUP(CANTIDAD[[#This Row],[Producto]],MARA[],5,FALSE),"")</f>
        <v>5</v>
      </c>
      <c r="M382" s="48" t="str">
        <f>IFERROR(VLOOKUP(CANTIDAD[[#This Row],[Producto]],MARA[],4,FALSE),"")</f>
        <v>PQT</v>
      </c>
      <c r="N382" s="137" t="s">
        <v>4730</v>
      </c>
    </row>
    <row r="383" spans="1:14" hidden="1">
      <c r="A383" s="139" t="str">
        <f t="shared" si="5"/>
        <v>PASILLO 11</v>
      </c>
      <c r="B383" s="93" t="s">
        <v>3901</v>
      </c>
      <c r="C383" s="11">
        <f>IFERROR(VLOOKUP(CANTIDAD[[#This Row],[Ubicación]],SAP[],3,FALSE),"")</f>
        <v>8404722</v>
      </c>
      <c r="D383" s="30">
        <f>IFERROR(VLOOKUP(CANTIDAD[[#This Row],[Producto]],MARA[],3,FALSE),"")</f>
        <v>17750243079904</v>
      </c>
      <c r="E383" s="13" t="str">
        <f>IFERROR(VLOOKUP(CANTIDAD[[#This Row],[Ubicación]],SAP[],4,FALSE),"")</f>
        <v>DET. MARSELLA JAZMIN ROSAS 2KG 7BOL</v>
      </c>
      <c r="F383" s="13">
        <f>IFERROR(VLOOKUP(CANTIDAD[[#This Row],[Ubicación]],SAP[],8,FALSE),"")</f>
        <v>10</v>
      </c>
      <c r="G383" s="13" t="str">
        <f>IFERROR(VLOOKUP(CANTIDAD[[#This Row],[Ubicación]],SAP[],9,FALSE),"")</f>
        <v>PQT</v>
      </c>
      <c r="H383" s="13">
        <f>IFERROR(VLOOKUP(CANTIDAD[[#This Row],[Ubicación]],SAP[],5,FALSE),"")</f>
        <v>2607220120</v>
      </c>
      <c r="I383" s="43" t="str">
        <f>IFERROR(VLOOKUP(CANTIDAD[[#This Row],[Ubicación]],SAP[],6,FALSE),"")</f>
        <v>22/07/2028</v>
      </c>
      <c r="J383" s="13" t="str">
        <f>IFERROR(VLOOKUP(CANTIDAD[[#This Row],[Ubicación]],SAP[],7,FALSE),"")</f>
        <v>1F</v>
      </c>
      <c r="K383" s="14">
        <f>IFERROR(VLOOKUP(CANTIDAD[[#This Row],[Ubicación]],SAP[],10,FALSE),"")</f>
        <v>70</v>
      </c>
      <c r="L383" s="48">
        <f>IFERROR(VLOOKUP(CANTIDAD[[#This Row],[Producto]],MARA[],5,FALSE),"")</f>
        <v>5</v>
      </c>
      <c r="M383" s="48" t="str">
        <f>IFERROR(VLOOKUP(CANTIDAD[[#This Row],[Producto]],MARA[],4,FALSE),"")</f>
        <v>PQT</v>
      </c>
      <c r="N383" s="136" t="s">
        <v>4731</v>
      </c>
    </row>
    <row r="384" spans="1:14" hidden="1">
      <c r="A384" s="139" t="str">
        <f t="shared" si="5"/>
        <v>PASILLO 11</v>
      </c>
      <c r="B384" s="92" t="s">
        <v>3890</v>
      </c>
      <c r="C384" s="11">
        <f>IFERROR(VLOOKUP(CANTIDAD[[#This Row],[Ubicación]],SAP[],3,FALSE),"")</f>
        <v>8404717</v>
      </c>
      <c r="D384" s="29">
        <f>IFERROR(VLOOKUP(CANTIDAD[[#This Row],[Producto]],MARA[],3,FALSE),"")</f>
        <v>17750243079850</v>
      </c>
      <c r="E384" s="11" t="str">
        <f>IFERROR(VLOOKUP(CANTIDAD[[#This Row],[Ubicación]],SAP[],4,FALSE),"")</f>
        <v>DET. MARSELLA LAVANDA ROSAS 2KG 7BOL</v>
      </c>
      <c r="F384" s="11">
        <f>IFERROR(VLOOKUP(CANTIDAD[[#This Row],[Ubicación]],SAP[],8,FALSE),"")</f>
        <v>5</v>
      </c>
      <c r="G384" s="11" t="str">
        <f>IFERROR(VLOOKUP(CANTIDAD[[#This Row],[Ubicación]],SAP[],9,FALSE),"")</f>
        <v>PQT</v>
      </c>
      <c r="H384" s="11">
        <f>IFERROR(VLOOKUP(CANTIDAD[[#This Row],[Ubicación]],SAP[],5,FALSE),"")</f>
        <v>2608170120</v>
      </c>
      <c r="I384" s="42" t="str">
        <f>IFERROR(VLOOKUP(CANTIDAD[[#This Row],[Ubicación]],SAP[],6,FALSE),"")</f>
        <v>17/08/2028</v>
      </c>
      <c r="J384" s="11" t="str">
        <f>IFERROR(VLOOKUP(CANTIDAD[[#This Row],[Ubicación]],SAP[],7,FALSE),"")</f>
        <v>1F</v>
      </c>
      <c r="K384" s="11">
        <f>IFERROR(VLOOKUP(CANTIDAD[[#This Row],[Ubicación]],SAP[],10,FALSE),"")</f>
        <v>35</v>
      </c>
      <c r="L384" s="48">
        <f>IFERROR(VLOOKUP(CANTIDAD[[#This Row],[Producto]],MARA[],5,FALSE),"")</f>
        <v>5</v>
      </c>
      <c r="M384" s="48" t="str">
        <f>IFERROR(VLOOKUP(CANTIDAD[[#This Row],[Producto]],MARA[],4,FALSE),"")</f>
        <v>PQT</v>
      </c>
      <c r="N384" s="136" t="s">
        <v>4732</v>
      </c>
    </row>
    <row r="385" spans="1:14" hidden="1">
      <c r="A385" s="139" t="str">
        <f t="shared" si="5"/>
        <v>PASILLO 11</v>
      </c>
      <c r="B385" s="93" t="s">
        <v>3911</v>
      </c>
      <c r="C385" s="11">
        <f>IFERROR(VLOOKUP(CANTIDAD[[#This Row],[Ubicación]],SAP[],3,FALSE),"")</f>
        <v>8404726</v>
      </c>
      <c r="D385" s="30">
        <f>IFERROR(VLOOKUP(CANTIDAD[[#This Row],[Producto]],MARA[],3,FALSE),"")</f>
        <v>37750243079854</v>
      </c>
      <c r="E385" s="13" t="str">
        <f>IFERROR(VLOOKUP(CANTIDAD[[#This Row],[Ubicación]],SAP[],4,FALSE),"")</f>
        <v>DET. MARSELLA LAVANDA ROSAS 2KG 7BOL CP</v>
      </c>
      <c r="F385" s="13">
        <f>IFERROR(VLOOKUP(CANTIDAD[[#This Row],[Ubicación]],SAP[],8,FALSE),"")</f>
        <v>34</v>
      </c>
      <c r="G385" s="13" t="str">
        <f>IFERROR(VLOOKUP(CANTIDAD[[#This Row],[Ubicación]],SAP[],9,FALSE),"")</f>
        <v>PQT</v>
      </c>
      <c r="H385" s="13">
        <f>IFERROR(VLOOKUP(CANTIDAD[[#This Row],[Ubicación]],SAP[],5,FALSE),"")</f>
        <v>2608200120</v>
      </c>
      <c r="I385" s="43" t="str">
        <f>IFERROR(VLOOKUP(CANTIDAD[[#This Row],[Ubicación]],SAP[],6,FALSE),"")</f>
        <v>20/08/2028</v>
      </c>
      <c r="J385" s="13" t="str">
        <f>IFERROR(VLOOKUP(CANTIDAD[[#This Row],[Ubicación]],SAP[],7,FALSE),"")</f>
        <v>1F</v>
      </c>
      <c r="K385" s="14">
        <f>IFERROR(VLOOKUP(CANTIDAD[[#This Row],[Ubicación]],SAP[],10,FALSE),"")</f>
        <v>238</v>
      </c>
      <c r="L385" s="48">
        <f>IFERROR(VLOOKUP(CANTIDAD[[#This Row],[Producto]],MARA[],5,FALSE),"")</f>
        <v>5</v>
      </c>
      <c r="M385" s="48" t="str">
        <f>IFERROR(VLOOKUP(CANTIDAD[[#This Row],[Producto]],MARA[],4,FALSE),"")</f>
        <v>PQT</v>
      </c>
      <c r="N385" s="136" t="s">
        <v>4733</v>
      </c>
    </row>
    <row r="386" spans="1:14" hidden="1">
      <c r="A386" s="139" t="str">
        <f t="shared" ref="A386:A449" si="6">"PASILLO " &amp; VALUE(MID(B386, 4, 2))</f>
        <v>PASILLO 11</v>
      </c>
      <c r="B386" s="92" t="s">
        <v>4073</v>
      </c>
      <c r="C386" s="11">
        <f>IFERROR(VLOOKUP(CANTIDAD[[#This Row],[Ubicación]],SAP[],3,FALSE),"")</f>
        <v>8414018</v>
      </c>
      <c r="D386" s="29">
        <f>IFERROR(VLOOKUP(CANTIDAD[[#This Row],[Producto]],MARA[],3,FALSE),"")</f>
        <v>7750243072380</v>
      </c>
      <c r="E386" s="11" t="str">
        <f>IFERROR(VLOOKUP(CANTIDAD[[#This Row],[Ubicación]],SAP[],4,FALSE),"")</f>
        <v>DET. KLINTEX QUITAPRO 14KG.</v>
      </c>
      <c r="F386" s="11">
        <f>IFERROR(VLOOKUP(CANTIDAD[[#This Row],[Ubicación]],SAP[],8,FALSE),"")</f>
        <v>1</v>
      </c>
      <c r="G386" s="11" t="str">
        <f>IFERROR(VLOOKUP(CANTIDAD[[#This Row],[Ubicación]],SAP[],9,FALSE),"")</f>
        <v>UND</v>
      </c>
      <c r="H386" s="11">
        <f>IFERROR(VLOOKUP(CANTIDAD[[#This Row],[Ubicación]],SAP[],5,FALSE),"")</f>
        <v>2607175030</v>
      </c>
      <c r="I386" s="42" t="str">
        <f>IFERROR(VLOOKUP(CANTIDAD[[#This Row],[Ubicación]],SAP[],6,FALSE),"")</f>
        <v>17/07/2029</v>
      </c>
      <c r="J386" s="11" t="str">
        <f>IFERROR(VLOOKUP(CANTIDAD[[#This Row],[Ubicación]],SAP[],7,FALSE),"")</f>
        <v>1F</v>
      </c>
      <c r="K386" s="11">
        <f>IFERROR(VLOOKUP(CANTIDAD[[#This Row],[Ubicación]],SAP[],10,FALSE),"")</f>
        <v>1</v>
      </c>
      <c r="L386" s="48">
        <f>IFERROR(VLOOKUP(CANTIDAD[[#This Row],[Producto]],MARA[],5,FALSE),"")</f>
        <v>4</v>
      </c>
      <c r="M386" s="48" t="str">
        <f>IFERROR(VLOOKUP(CANTIDAD[[#This Row],[Producto]],MARA[],4,FALSE),"")</f>
        <v>UND</v>
      </c>
      <c r="N386" s="136" t="s">
        <v>4734</v>
      </c>
    </row>
    <row r="387" spans="1:14" hidden="1">
      <c r="A387" s="139" t="str">
        <f t="shared" si="6"/>
        <v>PASILLO 11</v>
      </c>
      <c r="B387" s="93" t="s">
        <v>4071</v>
      </c>
      <c r="C387" s="11">
        <f>IFERROR(VLOOKUP(CANTIDAD[[#This Row],[Ubicación]],SAP[],3,FALSE),"")</f>
        <v>8414017</v>
      </c>
      <c r="D387" s="30">
        <f>IFERROR(VLOOKUP(CANTIDAD[[#This Row],[Producto]],MARA[],3,FALSE),"")</f>
        <v>7750243072373</v>
      </c>
      <c r="E387" s="13" t="str">
        <f>IFERROR(VLOOKUP(CANTIDAD[[#This Row],[Ubicación]],SAP[],4,FALSE),"")</f>
        <v>DET. KLINTEX QUITAFORT 14KG</v>
      </c>
      <c r="F387" s="13">
        <f>IFERROR(VLOOKUP(CANTIDAD[[#This Row],[Ubicación]],SAP[],8,FALSE),"")</f>
        <v>18</v>
      </c>
      <c r="G387" s="13" t="str">
        <f>IFERROR(VLOOKUP(CANTIDAD[[#This Row],[Ubicación]],SAP[],9,FALSE),"")</f>
        <v>UND</v>
      </c>
      <c r="H387" s="13">
        <f>IFERROR(VLOOKUP(CANTIDAD[[#This Row],[Ubicación]],SAP[],5,FALSE),"")</f>
        <v>2607185030</v>
      </c>
      <c r="I387" s="43" t="str">
        <f>IFERROR(VLOOKUP(CANTIDAD[[#This Row],[Ubicación]],SAP[],6,FALSE),"")</f>
        <v>18/07/2029</v>
      </c>
      <c r="J387" s="13" t="str">
        <f>IFERROR(VLOOKUP(CANTIDAD[[#This Row],[Ubicación]],SAP[],7,FALSE),"")</f>
        <v>1F</v>
      </c>
      <c r="K387" s="14">
        <f>IFERROR(VLOOKUP(CANTIDAD[[#This Row],[Ubicación]],SAP[],10,FALSE),"")</f>
        <v>18</v>
      </c>
      <c r="L387" s="48">
        <f>IFERROR(VLOOKUP(CANTIDAD[[#This Row],[Producto]],MARA[],5,FALSE),"")</f>
        <v>4</v>
      </c>
      <c r="M387" s="48" t="str">
        <f>IFERROR(VLOOKUP(CANTIDAD[[#This Row],[Producto]],MARA[],4,FALSE),"")</f>
        <v>UND</v>
      </c>
      <c r="N387" s="136" t="s">
        <v>4735</v>
      </c>
    </row>
    <row r="388" spans="1:14" hidden="1">
      <c r="A388" s="139" t="str">
        <f t="shared" si="6"/>
        <v>PASILLO 11</v>
      </c>
      <c r="B388" s="92" t="s">
        <v>3905</v>
      </c>
      <c r="C388" s="11">
        <f>IFERROR(VLOOKUP(CANTIDAD[[#This Row],[Ubicación]],SAP[],3,FALSE),"")</f>
        <v>8404724</v>
      </c>
      <c r="D388" s="29">
        <f>IFERROR(VLOOKUP(CANTIDAD[[#This Row],[Producto]],MARA[],3,FALSE),"")</f>
        <v>7750243081900</v>
      </c>
      <c r="E388" s="11" t="str">
        <f>IFERROR(VLOOKUP(CANTIDAD[[#This Row],[Ubicación]],SAP[],4,FALSE),"")</f>
        <v>DETERGENTE MARSELLA PROFESIONAL 13.5KG</v>
      </c>
      <c r="F388" s="11">
        <f>IFERROR(VLOOKUP(CANTIDAD[[#This Row],[Ubicación]],SAP[],8,FALSE),"")</f>
        <v>14</v>
      </c>
      <c r="G388" s="11" t="str">
        <f>IFERROR(VLOOKUP(CANTIDAD[[#This Row],[Ubicación]],SAP[],9,FALSE),"")</f>
        <v>UND</v>
      </c>
      <c r="H388" s="11">
        <f>IFERROR(VLOOKUP(CANTIDAD[[#This Row],[Ubicación]],SAP[],5,FALSE),"")</f>
        <v>2608215030</v>
      </c>
      <c r="I388" s="42" t="str">
        <f>IFERROR(VLOOKUP(CANTIDAD[[#This Row],[Ubicación]],SAP[],6,FALSE),"")</f>
        <v>21/08/2028</v>
      </c>
      <c r="J388" s="11" t="str">
        <f>IFERROR(VLOOKUP(CANTIDAD[[#This Row],[Ubicación]],SAP[],7,FALSE),"")</f>
        <v>1F</v>
      </c>
      <c r="K388" s="11">
        <f>IFERROR(VLOOKUP(CANTIDAD[[#This Row],[Ubicación]],SAP[],10,FALSE),"")</f>
        <v>14</v>
      </c>
      <c r="L388" s="48">
        <f>IFERROR(VLOOKUP(CANTIDAD[[#This Row],[Producto]],MARA[],5,FALSE),"")</f>
        <v>4</v>
      </c>
      <c r="M388" s="48" t="str">
        <f>IFERROR(VLOOKUP(CANTIDAD[[#This Row],[Producto]],MARA[],4,FALSE),"")</f>
        <v>UND</v>
      </c>
      <c r="N388" s="136" t="s">
        <v>4736</v>
      </c>
    </row>
    <row r="389" spans="1:14" hidden="1">
      <c r="A389" s="139" t="str">
        <f t="shared" si="6"/>
        <v>PASILLO 11</v>
      </c>
      <c r="B389" s="93" t="s">
        <v>3907</v>
      </c>
      <c r="C389" s="11">
        <f>IFERROR(VLOOKUP(CANTIDAD[[#This Row],[Ubicación]],SAP[],3,FALSE),"")</f>
        <v>8404724</v>
      </c>
      <c r="D389" s="30">
        <f>IFERROR(VLOOKUP(CANTIDAD[[#This Row],[Producto]],MARA[],3,FALSE),"")</f>
        <v>7750243081900</v>
      </c>
      <c r="E389" s="13" t="str">
        <f>IFERROR(VLOOKUP(CANTIDAD[[#This Row],[Ubicación]],SAP[],4,FALSE),"")</f>
        <v>DETERGENTE MARSELLA PROFESIONAL 13.5KG</v>
      </c>
      <c r="F389" s="13">
        <f>IFERROR(VLOOKUP(CANTIDAD[[#This Row],[Ubicación]],SAP[],8,FALSE),"")</f>
        <v>29</v>
      </c>
      <c r="G389" s="13" t="str">
        <f>IFERROR(VLOOKUP(CANTIDAD[[#This Row],[Ubicación]],SAP[],9,FALSE),"")</f>
        <v>UND</v>
      </c>
      <c r="H389" s="13">
        <f>IFERROR(VLOOKUP(CANTIDAD[[#This Row],[Ubicación]],SAP[],5,FALSE),"")</f>
        <v>2608215030</v>
      </c>
      <c r="I389" s="43" t="str">
        <f>IFERROR(VLOOKUP(CANTIDAD[[#This Row],[Ubicación]],SAP[],6,FALSE),"")</f>
        <v>21/08/2028</v>
      </c>
      <c r="J389" s="13" t="str">
        <f>IFERROR(VLOOKUP(CANTIDAD[[#This Row],[Ubicación]],SAP[],7,FALSE),"")</f>
        <v>1F</v>
      </c>
      <c r="K389" s="14">
        <f>IFERROR(VLOOKUP(CANTIDAD[[#This Row],[Ubicación]],SAP[],10,FALSE),"")</f>
        <v>29</v>
      </c>
      <c r="L389" s="48">
        <f>IFERROR(VLOOKUP(CANTIDAD[[#This Row],[Producto]],MARA[],5,FALSE),"")</f>
        <v>4</v>
      </c>
      <c r="M389" s="48" t="str">
        <f>IFERROR(VLOOKUP(CANTIDAD[[#This Row],[Producto]],MARA[],4,FALSE),"")</f>
        <v>UND</v>
      </c>
      <c r="N389" s="136" t="s">
        <v>4737</v>
      </c>
    </row>
    <row r="390" spans="1:14" hidden="1">
      <c r="A390" s="139" t="str">
        <f t="shared" si="6"/>
        <v>PASILLO 11</v>
      </c>
      <c r="B390" s="92" t="s">
        <v>3988</v>
      </c>
      <c r="C390" s="11">
        <f>IFERROR(VLOOKUP(CANTIDAD[[#This Row],[Ubicación]],SAP[],3,FALSE),"")</f>
        <v>8410190</v>
      </c>
      <c r="D390" s="29">
        <f>IFERROR(VLOOKUP(CANTIDAD[[#This Row],[Producto]],MARA[],3,FALSE),"")</f>
        <v>7750243073615</v>
      </c>
      <c r="E390" s="11" t="str">
        <f>IFERROR(VLOOKUP(CANTIDAD[[#This Row],[Ubicación]],SAP[],4,FALSE),"")</f>
        <v>DETER.SAPOLIO 13.5KG</v>
      </c>
      <c r="F390" s="11">
        <f>IFERROR(VLOOKUP(CANTIDAD[[#This Row],[Ubicación]],SAP[],8,FALSE),"")</f>
        <v>14</v>
      </c>
      <c r="G390" s="11" t="str">
        <f>IFERROR(VLOOKUP(CANTIDAD[[#This Row],[Ubicación]],SAP[],9,FALSE),"")</f>
        <v>UND</v>
      </c>
      <c r="H390" s="11">
        <f>IFERROR(VLOOKUP(CANTIDAD[[#This Row],[Ubicación]],SAP[],5,FALSE),"")</f>
        <v>2608115030</v>
      </c>
      <c r="I390" s="42">
        <f>IFERROR(VLOOKUP(CANTIDAD[[#This Row],[Ubicación]],SAP[],6,FALSE),"")</f>
        <v>47430</v>
      </c>
      <c r="J390" s="11" t="str">
        <f>IFERROR(VLOOKUP(CANTIDAD[[#This Row],[Ubicación]],SAP[],7,FALSE),"")</f>
        <v>1F</v>
      </c>
      <c r="K390" s="11">
        <f>IFERROR(VLOOKUP(CANTIDAD[[#This Row],[Ubicación]],SAP[],10,FALSE),"")</f>
        <v>14</v>
      </c>
      <c r="L390" s="48">
        <f>IFERROR(VLOOKUP(CANTIDAD[[#This Row],[Producto]],MARA[],5,FALSE),"")</f>
        <v>4</v>
      </c>
      <c r="M390" s="48" t="str">
        <f>IFERROR(VLOOKUP(CANTIDAD[[#This Row],[Producto]],MARA[],4,FALSE),"")</f>
        <v>UND</v>
      </c>
      <c r="N390" s="136" t="s">
        <v>4738</v>
      </c>
    </row>
    <row r="391" spans="1:14" hidden="1">
      <c r="A391" s="139" t="str">
        <f t="shared" si="6"/>
        <v>PASILLO 11</v>
      </c>
      <c r="B391" s="93" t="s">
        <v>3990</v>
      </c>
      <c r="C391" s="11">
        <f>IFERROR(VLOOKUP(CANTIDAD[[#This Row],[Ubicación]],SAP[],3,FALSE),"")</f>
        <v>8410190</v>
      </c>
      <c r="D391" s="30">
        <f>IFERROR(VLOOKUP(CANTIDAD[[#This Row],[Producto]],MARA[],3,FALSE),"")</f>
        <v>7750243073615</v>
      </c>
      <c r="E391" s="13" t="str">
        <f>IFERROR(VLOOKUP(CANTIDAD[[#This Row],[Ubicación]],SAP[],4,FALSE),"")</f>
        <v>DETER.SAPOLIO 13.5KG</v>
      </c>
      <c r="F391" s="13">
        <f>IFERROR(VLOOKUP(CANTIDAD[[#This Row],[Ubicación]],SAP[],8,FALSE),"")</f>
        <v>16</v>
      </c>
      <c r="G391" s="13" t="str">
        <f>IFERROR(VLOOKUP(CANTIDAD[[#This Row],[Ubicación]],SAP[],9,FALSE),"")</f>
        <v>UND</v>
      </c>
      <c r="H391" s="13">
        <f>IFERROR(VLOOKUP(CANTIDAD[[#This Row],[Ubicación]],SAP[],5,FALSE),"")</f>
        <v>2608175030</v>
      </c>
      <c r="I391" s="43" t="str">
        <f>IFERROR(VLOOKUP(CANTIDAD[[#This Row],[Ubicación]],SAP[],6,FALSE),"")</f>
        <v>17/08/2029</v>
      </c>
      <c r="J391" s="13" t="str">
        <f>IFERROR(VLOOKUP(CANTIDAD[[#This Row],[Ubicación]],SAP[],7,FALSE),"")</f>
        <v>1F</v>
      </c>
      <c r="K391" s="14">
        <f>IFERROR(VLOOKUP(CANTIDAD[[#This Row],[Ubicación]],SAP[],10,FALSE),"")</f>
        <v>16</v>
      </c>
      <c r="L391" s="48">
        <f>IFERROR(VLOOKUP(CANTIDAD[[#This Row],[Producto]],MARA[],5,FALSE),"")</f>
        <v>4</v>
      </c>
      <c r="M391" s="48" t="str">
        <f>IFERROR(VLOOKUP(CANTIDAD[[#This Row],[Producto]],MARA[],4,FALSE),"")</f>
        <v>UND</v>
      </c>
      <c r="N391" s="136" t="s">
        <v>4739</v>
      </c>
    </row>
    <row r="392" spans="1:14" hidden="1">
      <c r="A392" s="139" t="str">
        <f t="shared" si="6"/>
        <v>PASILLO 11</v>
      </c>
      <c r="B392" s="92" t="s">
        <v>3247</v>
      </c>
      <c r="C392" s="11">
        <f>IFERROR(VLOOKUP(CANTIDAD[[#This Row],[Ubicación]],SAP[],3,FALSE),"")</f>
        <v>8303032</v>
      </c>
      <c r="D392" s="29">
        <f>IFERROR(VLOOKUP(CANTIDAD[[#This Row],[Producto]],MARA[],3,FALSE),"")</f>
        <v>17751851025376</v>
      </c>
      <c r="E392" s="11" t="str">
        <f>IFERROR(VLOOKUP(CANTIDAD[[#This Row],[Ubicación]],SAP[],4,FALSE),"")</f>
        <v>DET.SAP.BEBE 2KG.6UND</v>
      </c>
      <c r="F392" s="11">
        <f>IFERROR(VLOOKUP(CANTIDAD[[#This Row],[Ubicación]],SAP[],8,FALSE),"")</f>
        <v>17</v>
      </c>
      <c r="G392" s="11" t="str">
        <f>IFERROR(VLOOKUP(CANTIDAD[[#This Row],[Ubicación]],SAP[],9,FALSE),"")</f>
        <v>PQT</v>
      </c>
      <c r="H392" s="11">
        <f>IFERROR(VLOOKUP(CANTIDAD[[#This Row],[Ubicación]],SAP[],5,FALSE),"")</f>
        <v>2608180120</v>
      </c>
      <c r="I392" s="42" t="str">
        <f>IFERROR(VLOOKUP(CANTIDAD[[#This Row],[Ubicación]],SAP[],6,FALSE),"")</f>
        <v>18/08/2029</v>
      </c>
      <c r="J392" s="11" t="str">
        <f>IFERROR(VLOOKUP(CANTIDAD[[#This Row],[Ubicación]],SAP[],7,FALSE),"")</f>
        <v>1F</v>
      </c>
      <c r="K392" s="11">
        <f>IFERROR(VLOOKUP(CANTIDAD[[#This Row],[Ubicación]],SAP[],10,FALSE),"")</f>
        <v>102</v>
      </c>
      <c r="L392" s="48">
        <f>IFERROR(VLOOKUP(CANTIDAD[[#This Row],[Producto]],MARA[],5,FALSE),"")</f>
        <v>5</v>
      </c>
      <c r="M392" s="48" t="str">
        <f>IFERROR(VLOOKUP(CANTIDAD[[#This Row],[Producto]],MARA[],4,FALSE),"")</f>
        <v>PQT</v>
      </c>
      <c r="N392" s="137" t="s">
        <v>4740</v>
      </c>
    </row>
    <row r="393" spans="1:14" hidden="1">
      <c r="A393" s="139" t="str">
        <f t="shared" si="6"/>
        <v>PASILLO 11</v>
      </c>
      <c r="B393" s="93" t="s">
        <v>3251</v>
      </c>
      <c r="C393" s="11">
        <f>IFERROR(VLOOKUP(CANTIDAD[[#This Row],[Ubicación]],SAP[],3,FALSE),"")</f>
        <v>8303032</v>
      </c>
      <c r="D393" s="30">
        <f>IFERROR(VLOOKUP(CANTIDAD[[#This Row],[Producto]],MARA[],3,FALSE),"")</f>
        <v>17751851025376</v>
      </c>
      <c r="E393" s="13" t="str">
        <f>IFERROR(VLOOKUP(CANTIDAD[[#This Row],[Ubicación]],SAP[],4,FALSE),"")</f>
        <v>DET.SAP.BEBE 2KG.6UND</v>
      </c>
      <c r="F393" s="13">
        <f>IFERROR(VLOOKUP(CANTIDAD[[#This Row],[Ubicación]],SAP[],8,FALSE),"")</f>
        <v>13</v>
      </c>
      <c r="G393" s="13" t="str">
        <f>IFERROR(VLOOKUP(CANTIDAD[[#This Row],[Ubicación]],SAP[],9,FALSE),"")</f>
        <v>PQT</v>
      </c>
      <c r="H393" s="13">
        <f>IFERROR(VLOOKUP(CANTIDAD[[#This Row],[Ubicación]],SAP[],5,FALSE),"")</f>
        <v>2608180120</v>
      </c>
      <c r="I393" s="43" t="str">
        <f>IFERROR(VLOOKUP(CANTIDAD[[#This Row],[Ubicación]],SAP[],6,FALSE),"")</f>
        <v>18/08/2029</v>
      </c>
      <c r="J393" s="13" t="str">
        <f>IFERROR(VLOOKUP(CANTIDAD[[#This Row],[Ubicación]],SAP[],7,FALSE),"")</f>
        <v>1F</v>
      </c>
      <c r="K393" s="14">
        <f>IFERROR(VLOOKUP(CANTIDAD[[#This Row],[Ubicación]],SAP[],10,FALSE),"")</f>
        <v>78</v>
      </c>
      <c r="L393" s="48">
        <f>IFERROR(VLOOKUP(CANTIDAD[[#This Row],[Producto]],MARA[],5,FALSE),"")</f>
        <v>5</v>
      </c>
      <c r="M393" s="48" t="str">
        <f>IFERROR(VLOOKUP(CANTIDAD[[#This Row],[Producto]],MARA[],4,FALSE),"")</f>
        <v>PQT</v>
      </c>
      <c r="N393" s="136" t="s">
        <v>4741</v>
      </c>
    </row>
    <row r="394" spans="1:14" hidden="1">
      <c r="A394" s="139" t="str">
        <f t="shared" si="6"/>
        <v>PASILLO 11</v>
      </c>
      <c r="B394" s="92" t="s">
        <v>4005</v>
      </c>
      <c r="C394" s="11">
        <f>IFERROR(VLOOKUP(CANTIDAD[[#This Row],[Ubicación]],SAP[],3,FALSE),"")</f>
        <v>8410217</v>
      </c>
      <c r="D394" s="29">
        <f>IFERROR(VLOOKUP(CANTIDAD[[#This Row],[Producto]],MARA[],3,FALSE),"")</f>
        <v>17750243083895</v>
      </c>
      <c r="E394" s="11" t="str">
        <f>IFERROR(VLOOKUP(CANTIDAD[[#This Row],[Ubicación]],SAP[],4,FALSE),"")</f>
        <v>DET. TROME ENCANTO FLORAL 500GR.24BOL</v>
      </c>
      <c r="F394" s="11">
        <f>IFERROR(VLOOKUP(CANTIDAD[[#This Row],[Ubicación]],SAP[],8,FALSE),"")</f>
        <v>19</v>
      </c>
      <c r="G394" s="11" t="str">
        <f>IFERROR(VLOOKUP(CANTIDAD[[#This Row],[Ubicación]],SAP[],9,FALSE),"")</f>
        <v>PQT</v>
      </c>
      <c r="H394" s="11">
        <f>IFERROR(VLOOKUP(CANTIDAD[[#This Row],[Ubicación]],SAP[],5,FALSE),"")</f>
        <v>2605225030</v>
      </c>
      <c r="I394" s="42" t="str">
        <f>IFERROR(VLOOKUP(CANTIDAD[[#This Row],[Ubicación]],SAP[],6,FALSE),"")</f>
        <v>22/05/2028</v>
      </c>
      <c r="J394" s="11" t="str">
        <f>IFERROR(VLOOKUP(CANTIDAD[[#This Row],[Ubicación]],SAP[],7,FALSE),"")</f>
        <v>1F</v>
      </c>
      <c r="K394" s="11">
        <f>IFERROR(VLOOKUP(CANTIDAD[[#This Row],[Ubicación]],SAP[],10,FALSE),"")</f>
        <v>456</v>
      </c>
      <c r="L394" s="48">
        <f>IFERROR(VLOOKUP(CANTIDAD[[#This Row],[Producto]],MARA[],5,FALSE),"")</f>
        <v>5</v>
      </c>
      <c r="M394" s="48" t="str">
        <f>IFERROR(VLOOKUP(CANTIDAD[[#This Row],[Producto]],MARA[],4,FALSE),"")</f>
        <v>PQT</v>
      </c>
      <c r="N394" s="136" t="s">
        <v>4742</v>
      </c>
    </row>
    <row r="395" spans="1:14" hidden="1">
      <c r="A395" s="139" t="str">
        <f t="shared" si="6"/>
        <v>PASILLO 11</v>
      </c>
      <c r="B395" s="93" t="s">
        <v>3957</v>
      </c>
      <c r="C395" s="11">
        <f>IFERROR(VLOOKUP(CANTIDAD[[#This Row],[Ubicación]],SAP[],3,FALSE),"")</f>
        <v>8406214</v>
      </c>
      <c r="D395" s="30">
        <f>IFERROR(VLOOKUP(CANTIDAD[[#This Row],[Producto]],MARA[],3,FALSE),"")</f>
        <v>17750243083284</v>
      </c>
      <c r="E395" s="13" t="str">
        <f>IFERROR(VLOOKUP(CANTIDAD[[#This Row],[Ubicación]],SAP[],4,FALSE),"")</f>
        <v>DET. OPAL ULTRA 1.5KG 8BOL</v>
      </c>
      <c r="F395" s="13">
        <f>IFERROR(VLOOKUP(CANTIDAD[[#This Row],[Ubicación]],SAP[],8,FALSE),"")</f>
        <v>21</v>
      </c>
      <c r="G395" s="13" t="str">
        <f>IFERROR(VLOOKUP(CANTIDAD[[#This Row],[Ubicación]],SAP[],9,FALSE),"")</f>
        <v>PQT</v>
      </c>
      <c r="H395" s="13">
        <f>IFERROR(VLOOKUP(CANTIDAD[[#This Row],[Ubicación]],SAP[],5,FALSE),"")</f>
        <v>2602100120</v>
      </c>
      <c r="I395" s="43">
        <f>IFERROR(VLOOKUP(CANTIDAD[[#This Row],[Ubicación]],SAP[],6,FALSE),"")</f>
        <v>47028</v>
      </c>
      <c r="J395" s="13" t="str">
        <f>IFERROR(VLOOKUP(CANTIDAD[[#This Row],[Ubicación]],SAP[],7,FALSE),"")</f>
        <v>1F</v>
      </c>
      <c r="K395" s="14">
        <f>IFERROR(VLOOKUP(CANTIDAD[[#This Row],[Ubicación]],SAP[],10,FALSE),"")</f>
        <v>168</v>
      </c>
      <c r="L395" s="48">
        <f>IFERROR(VLOOKUP(CANTIDAD[[#This Row],[Producto]],MARA[],5,FALSE),"")</f>
        <v>5</v>
      </c>
      <c r="M395" s="48" t="str">
        <f>IFERROR(VLOOKUP(CANTIDAD[[#This Row],[Producto]],MARA[],4,FALSE),"")</f>
        <v>PQT</v>
      </c>
      <c r="N395" s="136" t="s">
        <v>4743</v>
      </c>
    </row>
    <row r="396" spans="1:14" hidden="1">
      <c r="A396" s="139" t="str">
        <f t="shared" si="6"/>
        <v>PASILLO 11</v>
      </c>
      <c r="B396" s="92" t="s">
        <v>4052</v>
      </c>
      <c r="C396" s="11">
        <f>IFERROR(VLOOKUP(CANTIDAD[[#This Row],[Ubicación]],SAP[],3,FALSE),"")</f>
        <v>8412046</v>
      </c>
      <c r="D396" s="29">
        <f>IFERROR(VLOOKUP(CANTIDAD[[#This Row],[Producto]],MARA[],3,FALSE),"")</f>
        <v>17750243079768</v>
      </c>
      <c r="E396" s="11" t="str">
        <f>IFERROR(VLOOKUP(CANTIDAD[[#This Row],[Ubicación]],SAP[],4,FALSE),"")</f>
        <v>DET. PATITO BICARB. LIMÓN 1KG.12BOL</v>
      </c>
      <c r="F396" s="11">
        <f>IFERROR(VLOOKUP(CANTIDAD[[#This Row],[Ubicación]],SAP[],8,FALSE),"")</f>
        <v>1</v>
      </c>
      <c r="G396" s="11" t="str">
        <f>IFERROR(VLOOKUP(CANTIDAD[[#This Row],[Ubicación]],SAP[],9,FALSE),"")</f>
        <v>PQT</v>
      </c>
      <c r="H396" s="11">
        <f>IFERROR(VLOOKUP(CANTIDAD[[#This Row],[Ubicación]],SAP[],5,FALSE),"")</f>
        <v>2608150120</v>
      </c>
      <c r="I396" s="42" t="str">
        <f>IFERROR(VLOOKUP(CANTIDAD[[#This Row],[Ubicación]],SAP[],6,FALSE),"")</f>
        <v>15/08/2029</v>
      </c>
      <c r="J396" s="11" t="str">
        <f>IFERROR(VLOOKUP(CANTIDAD[[#This Row],[Ubicación]],SAP[],7,FALSE),"")</f>
        <v>1F</v>
      </c>
      <c r="K396" s="11">
        <f>IFERROR(VLOOKUP(CANTIDAD[[#This Row],[Ubicación]],SAP[],10,FALSE),"")</f>
        <v>12</v>
      </c>
      <c r="L396" s="48">
        <f>IFERROR(VLOOKUP(CANTIDAD[[#This Row],[Producto]],MARA[],5,FALSE),"")</f>
        <v>5</v>
      </c>
      <c r="M396" s="48" t="str">
        <f>IFERROR(VLOOKUP(CANTIDAD[[#This Row],[Producto]],MARA[],4,FALSE),"")</f>
        <v>PQT</v>
      </c>
      <c r="N396" s="136" t="s">
        <v>4744</v>
      </c>
    </row>
    <row r="397" spans="1:14" hidden="1">
      <c r="A397" s="139" t="str">
        <f t="shared" si="6"/>
        <v>PASILLO 11</v>
      </c>
      <c r="B397" s="93" t="s">
        <v>4054</v>
      </c>
      <c r="C397" s="11">
        <f>IFERROR(VLOOKUP(CANTIDAD[[#This Row],[Ubicación]],SAP[],3,FALSE),"")</f>
        <v>8412046</v>
      </c>
      <c r="D397" s="30">
        <f>IFERROR(VLOOKUP(CANTIDAD[[#This Row],[Producto]],MARA[],3,FALSE),"")</f>
        <v>17750243079768</v>
      </c>
      <c r="E397" s="13" t="str">
        <f>IFERROR(VLOOKUP(CANTIDAD[[#This Row],[Ubicación]],SAP[],4,FALSE),"")</f>
        <v>DET. PATITO BICARB. LIMÓN 1KG.12BOL</v>
      </c>
      <c r="F397" s="13">
        <f>IFERROR(VLOOKUP(CANTIDAD[[#This Row],[Ubicación]],SAP[],8,FALSE),"")</f>
        <v>5</v>
      </c>
      <c r="G397" s="13" t="str">
        <f>IFERROR(VLOOKUP(CANTIDAD[[#This Row],[Ubicación]],SAP[],9,FALSE),"")</f>
        <v>PQT</v>
      </c>
      <c r="H397" s="13">
        <f>IFERROR(VLOOKUP(CANTIDAD[[#This Row],[Ubicación]],SAP[],5,FALSE),"")</f>
        <v>2608150120</v>
      </c>
      <c r="I397" s="43" t="str">
        <f>IFERROR(VLOOKUP(CANTIDAD[[#This Row],[Ubicación]],SAP[],6,FALSE),"")</f>
        <v>15/08/2029</v>
      </c>
      <c r="J397" s="13" t="str">
        <f>IFERROR(VLOOKUP(CANTIDAD[[#This Row],[Ubicación]],SAP[],7,FALSE),"")</f>
        <v>1F</v>
      </c>
      <c r="K397" s="14">
        <f>IFERROR(VLOOKUP(CANTIDAD[[#This Row],[Ubicación]],SAP[],10,FALSE),"")</f>
        <v>60</v>
      </c>
      <c r="L397" s="48">
        <f>IFERROR(VLOOKUP(CANTIDAD[[#This Row],[Producto]],MARA[],5,FALSE),"")</f>
        <v>5</v>
      </c>
      <c r="M397" s="48" t="str">
        <f>IFERROR(VLOOKUP(CANTIDAD[[#This Row],[Producto]],MARA[],4,FALSE),"")</f>
        <v>PQT</v>
      </c>
      <c r="N397" s="136" t="s">
        <v>4745</v>
      </c>
    </row>
    <row r="398" spans="1:14" hidden="1">
      <c r="A398" s="139" t="str">
        <f t="shared" si="6"/>
        <v>PASILLO 12</v>
      </c>
      <c r="B398" s="92" t="s">
        <v>3938</v>
      </c>
      <c r="C398" s="11">
        <f>IFERROR(VLOOKUP(CANTIDAD[[#This Row],[Ubicación]],SAP[],3,FALSE),"")</f>
        <v>8406146</v>
      </c>
      <c r="D398" s="29">
        <f>IFERROR(VLOOKUP(CANTIDAD[[#This Row],[Producto]],MARA[],3,FALSE),"")</f>
        <v>17750243080634</v>
      </c>
      <c r="E398" s="11" t="str">
        <f>IFERROR(VLOOKUP(CANTIDAD[[#This Row],[Ubicación]],SAP[],4,FALSE),"")</f>
        <v>DETER. OPAL ULTRA 430GR.24BOL</v>
      </c>
      <c r="F398" s="11">
        <f>IFERROR(VLOOKUP(CANTIDAD[[#This Row],[Ubicación]],SAP[],8,FALSE),"")</f>
        <v>30</v>
      </c>
      <c r="G398" s="11" t="str">
        <f>IFERROR(VLOOKUP(CANTIDAD[[#This Row],[Ubicación]],SAP[],9,FALSE),"")</f>
        <v>PQT</v>
      </c>
      <c r="H398" s="11">
        <f>IFERROR(VLOOKUP(CANTIDAD[[#This Row],[Ubicación]],SAP[],5,FALSE),"")</f>
        <v>2506250120</v>
      </c>
      <c r="I398" s="42" t="str">
        <f>IFERROR(VLOOKUP(CANTIDAD[[#This Row],[Ubicación]],SAP[],6,FALSE),"")</f>
        <v>25/06/2027</v>
      </c>
      <c r="J398" s="11" t="str">
        <f>IFERROR(VLOOKUP(CANTIDAD[[#This Row],[Ubicación]],SAP[],7,FALSE),"")</f>
        <v>1F</v>
      </c>
      <c r="K398" s="11">
        <f>IFERROR(VLOOKUP(CANTIDAD[[#This Row],[Ubicación]],SAP[],10,FALSE),"")</f>
        <v>720</v>
      </c>
      <c r="L398" s="48">
        <f>IFERROR(VLOOKUP(CANTIDAD[[#This Row],[Producto]],MARA[],5,FALSE),"")</f>
        <v>5</v>
      </c>
      <c r="M398" s="48" t="str">
        <f>IFERROR(VLOOKUP(CANTIDAD[[#This Row],[Producto]],MARA[],4,FALSE),"")</f>
        <v>PQT</v>
      </c>
      <c r="N398" s="136" t="s">
        <v>4746</v>
      </c>
    </row>
    <row r="399" spans="1:14" hidden="1">
      <c r="A399" s="139" t="str">
        <f t="shared" si="6"/>
        <v>PASILLO 12</v>
      </c>
      <c r="B399" s="93" t="s">
        <v>3903</v>
      </c>
      <c r="C399" s="11">
        <f>IFERROR(VLOOKUP(CANTIDAD[[#This Row],[Ubicación]],SAP[],3,FALSE),"")</f>
        <v>8404723</v>
      </c>
      <c r="D399" s="30">
        <f>IFERROR(VLOOKUP(CANTIDAD[[#This Row],[Producto]],MARA[],3,FALSE),"")</f>
        <v>17750243079911</v>
      </c>
      <c r="E399" s="13" t="str">
        <f>IFERROR(VLOOKUP(CANTIDAD[[#This Row],[Ubicación]],SAP[],4,FALSE),"")</f>
        <v>DET. MARSELLA JAZMIN ROSAS 430GR 24BOL</v>
      </c>
      <c r="F399" s="13">
        <f>IFERROR(VLOOKUP(CANTIDAD[[#This Row],[Ubicación]],SAP[],8,FALSE),"")</f>
        <v>24</v>
      </c>
      <c r="G399" s="13" t="str">
        <f>IFERROR(VLOOKUP(CANTIDAD[[#This Row],[Ubicación]],SAP[],9,FALSE),"")</f>
        <v>PQT</v>
      </c>
      <c r="H399" s="13">
        <f>IFERROR(VLOOKUP(CANTIDAD[[#This Row],[Ubicación]],SAP[],5,FALSE),"")</f>
        <v>2607170120</v>
      </c>
      <c r="I399" s="43" t="str">
        <f>IFERROR(VLOOKUP(CANTIDAD[[#This Row],[Ubicación]],SAP[],6,FALSE),"")</f>
        <v>17/07/2028</v>
      </c>
      <c r="J399" s="13" t="str">
        <f>IFERROR(VLOOKUP(CANTIDAD[[#This Row],[Ubicación]],SAP[],7,FALSE),"")</f>
        <v>1F</v>
      </c>
      <c r="K399" s="14">
        <f>IFERROR(VLOOKUP(CANTIDAD[[#This Row],[Ubicación]],SAP[],10,FALSE),"")</f>
        <v>576</v>
      </c>
      <c r="L399" s="48">
        <f>IFERROR(VLOOKUP(CANTIDAD[[#This Row],[Producto]],MARA[],5,FALSE),"")</f>
        <v>5</v>
      </c>
      <c r="M399" s="48" t="str">
        <f>IFERROR(VLOOKUP(CANTIDAD[[#This Row],[Producto]],MARA[],4,FALSE),"")</f>
        <v>PQT</v>
      </c>
      <c r="N399" s="136" t="s">
        <v>4747</v>
      </c>
    </row>
    <row r="400" spans="1:14" hidden="1">
      <c r="A400" s="139" t="str">
        <f t="shared" si="6"/>
        <v>PASILLO 12</v>
      </c>
      <c r="B400" s="92" t="s">
        <v>3883</v>
      </c>
      <c r="C400" s="11">
        <f>IFERROR(VLOOKUP(CANTIDAD[[#This Row],[Ubicación]],SAP[],3,FALSE),"")</f>
        <v>8404715</v>
      </c>
      <c r="D400" s="29">
        <f>IFERROR(VLOOKUP(CANTIDAD[[#This Row],[Producto]],MARA[],3,FALSE),"")</f>
        <v>17750243079836</v>
      </c>
      <c r="E400" s="11" t="str">
        <f>IFERROR(VLOOKUP(CANTIDAD[[#This Row],[Ubicación]],SAP[],4,FALSE),"")</f>
        <v>DET. MARSELLA LAVANDA ROSAS 430GR 24BOL</v>
      </c>
      <c r="F400" s="11">
        <f>IFERROR(VLOOKUP(CANTIDAD[[#This Row],[Ubicación]],SAP[],8,FALSE),"")</f>
        <v>10</v>
      </c>
      <c r="G400" s="11" t="str">
        <f>IFERROR(VLOOKUP(CANTIDAD[[#This Row],[Ubicación]],SAP[],9,FALSE),"")</f>
        <v>PQT</v>
      </c>
      <c r="H400" s="11">
        <f>IFERROR(VLOOKUP(CANTIDAD[[#This Row],[Ubicación]],SAP[],5,FALSE),"")</f>
        <v>2506240120</v>
      </c>
      <c r="I400" s="42" t="str">
        <f>IFERROR(VLOOKUP(CANTIDAD[[#This Row],[Ubicación]],SAP[],6,FALSE),"")</f>
        <v>24/06/2027</v>
      </c>
      <c r="J400" s="11" t="str">
        <f>IFERROR(VLOOKUP(CANTIDAD[[#This Row],[Ubicación]],SAP[],7,FALSE),"")</f>
        <v>1F</v>
      </c>
      <c r="K400" s="11">
        <f>IFERROR(VLOOKUP(CANTIDAD[[#This Row],[Ubicación]],SAP[],10,FALSE),"")</f>
        <v>240</v>
      </c>
      <c r="L400" s="48">
        <f>IFERROR(VLOOKUP(CANTIDAD[[#This Row],[Producto]],MARA[],5,FALSE),"")</f>
        <v>5</v>
      </c>
      <c r="M400" s="48" t="str">
        <f>IFERROR(VLOOKUP(CANTIDAD[[#This Row],[Producto]],MARA[],4,FALSE),"")</f>
        <v>PQT</v>
      </c>
      <c r="N400" s="136" t="s">
        <v>4748</v>
      </c>
    </row>
    <row r="401" spans="1:14" hidden="1">
      <c r="A401" s="139" t="str">
        <f t="shared" si="6"/>
        <v>PASILLO 12</v>
      </c>
      <c r="B401" s="93" t="s">
        <v>3917</v>
      </c>
      <c r="C401" s="11">
        <f>IFERROR(VLOOKUP(CANTIDAD[[#This Row],[Ubicación]],SAP[],3,FALSE),"")</f>
        <v>8404729</v>
      </c>
      <c r="D401" s="30">
        <f>IFERROR(VLOOKUP(CANTIDAD[[#This Row],[Producto]],MARA[],3,FALSE),"")</f>
        <v>37750243079830</v>
      </c>
      <c r="E401" s="13" t="str">
        <f>IFERROR(VLOOKUP(CANTIDAD[[#This Row],[Ubicación]],SAP[],4,FALSE),"")</f>
        <v>DET.MARSELLA LAVANDA ROSA 430GR 24BOL CP</v>
      </c>
      <c r="F401" s="13">
        <f>IFERROR(VLOOKUP(CANTIDAD[[#This Row],[Ubicación]],SAP[],8,FALSE),"")</f>
        <v>21</v>
      </c>
      <c r="G401" s="13" t="str">
        <f>IFERROR(VLOOKUP(CANTIDAD[[#This Row],[Ubicación]],SAP[],9,FALSE),"")</f>
        <v>PQT</v>
      </c>
      <c r="H401" s="13">
        <f>IFERROR(VLOOKUP(CANTIDAD[[#This Row],[Ubicación]],SAP[],5,FALSE),"")</f>
        <v>2608060120</v>
      </c>
      <c r="I401" s="43">
        <f>IFERROR(VLOOKUP(CANTIDAD[[#This Row],[Ubicación]],SAP[],6,FALSE),"")</f>
        <v>46912</v>
      </c>
      <c r="J401" s="13" t="str">
        <f>IFERROR(VLOOKUP(CANTIDAD[[#This Row],[Ubicación]],SAP[],7,FALSE),"")</f>
        <v>1F</v>
      </c>
      <c r="K401" s="14">
        <f>IFERROR(VLOOKUP(CANTIDAD[[#This Row],[Ubicación]],SAP[],10,FALSE),"")</f>
        <v>504</v>
      </c>
      <c r="L401" s="48">
        <f>IFERROR(VLOOKUP(CANTIDAD[[#This Row],[Producto]],MARA[],5,FALSE),"")</f>
        <v>5</v>
      </c>
      <c r="M401" s="48" t="str">
        <f>IFERROR(VLOOKUP(CANTIDAD[[#This Row],[Producto]],MARA[],4,FALSE),"")</f>
        <v>PQT</v>
      </c>
      <c r="N401" s="136" t="s">
        <v>4749</v>
      </c>
    </row>
    <row r="402" spans="1:14" hidden="1">
      <c r="A402" s="139" t="str">
        <f t="shared" si="6"/>
        <v>PASILLO 12</v>
      </c>
      <c r="B402" s="92" t="s">
        <v>3965</v>
      </c>
      <c r="C402" s="11">
        <f>IFERROR(VLOOKUP(CANTIDAD[[#This Row],[Ubicación]],SAP[],3,FALSE),"")</f>
        <v>8406218</v>
      </c>
      <c r="D402" s="29">
        <f>IFERROR(VLOOKUP(CANTIDAD[[#This Row],[Producto]],MARA[],3,FALSE),"")</f>
        <v>37750243080638</v>
      </c>
      <c r="E402" s="11" t="str">
        <f>IFERROR(VLOOKUP(CANTIDAD[[#This Row],[Ubicación]],SAP[],4,FALSE),"")</f>
        <v>DETER. OPAL ULTRA 430GR.24BOL CP</v>
      </c>
      <c r="F402" s="11">
        <f>IFERROR(VLOOKUP(CANTIDAD[[#This Row],[Ubicación]],SAP[],8,FALSE),"")</f>
        <v>49</v>
      </c>
      <c r="G402" s="11" t="str">
        <f>IFERROR(VLOOKUP(CANTIDAD[[#This Row],[Ubicación]],SAP[],9,FALSE),"")</f>
        <v>PQT</v>
      </c>
      <c r="H402" s="11">
        <f>IFERROR(VLOOKUP(CANTIDAD[[#This Row],[Ubicación]],SAP[],5,FALSE),"")</f>
        <v>2607180120</v>
      </c>
      <c r="I402" s="42" t="str">
        <f>IFERROR(VLOOKUP(CANTIDAD[[#This Row],[Ubicación]],SAP[],6,FALSE),"")</f>
        <v>18/07/2028</v>
      </c>
      <c r="J402" s="11" t="str">
        <f>IFERROR(VLOOKUP(CANTIDAD[[#This Row],[Ubicación]],SAP[],7,FALSE),"")</f>
        <v>1F</v>
      </c>
      <c r="K402" s="17">
        <f>IFERROR(VLOOKUP(CANTIDAD[[#This Row],[Ubicación]],SAP[],10,FALSE),"")</f>
        <v>1176</v>
      </c>
      <c r="L402" s="48">
        <f>IFERROR(VLOOKUP(CANTIDAD[[#This Row],[Producto]],MARA[],5,FALSE),"")</f>
        <v>5</v>
      </c>
      <c r="M402" s="48" t="str">
        <f>IFERROR(VLOOKUP(CANTIDAD[[#This Row],[Producto]],MARA[],4,FALSE),"")</f>
        <v>PQT</v>
      </c>
      <c r="N402" s="136" t="s">
        <v>4750</v>
      </c>
    </row>
    <row r="403" spans="1:14" hidden="1">
      <c r="A403" s="139" t="str">
        <f t="shared" si="6"/>
        <v>PASILLO 12</v>
      </c>
      <c r="B403" s="93" t="s">
        <v>3836</v>
      </c>
      <c r="C403" s="11">
        <f>IFERROR(VLOOKUP(CANTIDAD[[#This Row],[Ubicación]],SAP[],3,FALSE),"")</f>
        <v>8400687</v>
      </c>
      <c r="D403" s="30">
        <f>IFERROR(VLOOKUP(CANTIDAD[[#This Row],[Producto]],MARA[],3,FALSE),"")</f>
        <v>37750243079069</v>
      </c>
      <c r="E403" s="13" t="str">
        <f>IFERROR(VLOOKUP(CANTIDAD[[#This Row],[Ubicación]],SAP[],4,FALSE),"")</f>
        <v>DET. BOL. CUIDADO TOTAL 430GR.24BOL CP</v>
      </c>
      <c r="F403" s="13">
        <f>IFERROR(VLOOKUP(CANTIDAD[[#This Row],[Ubicación]],SAP[],8,FALSE),"")</f>
        <v>45</v>
      </c>
      <c r="G403" s="13" t="str">
        <f>IFERROR(VLOOKUP(CANTIDAD[[#This Row],[Ubicación]],SAP[],9,FALSE),"")</f>
        <v>PQT</v>
      </c>
      <c r="H403" s="13">
        <f>IFERROR(VLOOKUP(CANTIDAD[[#This Row],[Ubicación]],SAP[],5,FALSE),"")</f>
        <v>2608100120</v>
      </c>
      <c r="I403" s="43">
        <f>IFERROR(VLOOKUP(CANTIDAD[[#This Row],[Ubicación]],SAP[],6,FALSE),"")</f>
        <v>47034</v>
      </c>
      <c r="J403" s="13" t="str">
        <f>IFERROR(VLOOKUP(CANTIDAD[[#This Row],[Ubicación]],SAP[],7,FALSE),"")</f>
        <v>1F</v>
      </c>
      <c r="K403" s="18">
        <f>IFERROR(VLOOKUP(CANTIDAD[[#This Row],[Ubicación]],SAP[],10,FALSE),"")</f>
        <v>1080</v>
      </c>
      <c r="L403" s="48">
        <f>IFERROR(VLOOKUP(CANTIDAD[[#This Row],[Producto]],MARA[],5,FALSE),"")</f>
        <v>5</v>
      </c>
      <c r="M403" s="48" t="str">
        <f>IFERROR(VLOOKUP(CANTIDAD[[#This Row],[Producto]],MARA[],4,FALSE),"")</f>
        <v>PQT</v>
      </c>
      <c r="N403" s="136" t="s">
        <v>4751</v>
      </c>
    </row>
    <row r="404" spans="1:14" hidden="1">
      <c r="A404" s="139" t="str">
        <f t="shared" si="6"/>
        <v>PASILLO 12</v>
      </c>
      <c r="B404" s="92" t="s">
        <v>3913</v>
      </c>
      <c r="C404" s="11">
        <f>IFERROR(VLOOKUP(CANTIDAD[[#This Row],[Ubicación]],SAP[],3,FALSE),"")</f>
        <v>8404727</v>
      </c>
      <c r="D404" s="29">
        <f>IFERROR(VLOOKUP(CANTIDAD[[#This Row],[Producto]],MARA[],3,FALSE),"")</f>
        <v>37750243079816</v>
      </c>
      <c r="E404" s="11" t="str">
        <f>IFERROR(VLOOKUP(CANTIDAD[[#This Row],[Ubicación]],SAP[],4,FALSE),"")</f>
        <v>DET.MARSELLA LAVANDA ROSA 730GR 15BOL CP</v>
      </c>
      <c r="F404" s="11">
        <f>IFERROR(VLOOKUP(CANTIDAD[[#This Row],[Ubicación]],SAP[],8,FALSE),"")</f>
        <v>39</v>
      </c>
      <c r="G404" s="11" t="str">
        <f>IFERROR(VLOOKUP(CANTIDAD[[#This Row],[Ubicación]],SAP[],9,FALSE),"")</f>
        <v>PQT</v>
      </c>
      <c r="H404" s="11">
        <f>IFERROR(VLOOKUP(CANTIDAD[[#This Row],[Ubicación]],SAP[],5,FALSE),"")</f>
        <v>2608120120</v>
      </c>
      <c r="I404" s="42">
        <f>IFERROR(VLOOKUP(CANTIDAD[[#This Row],[Ubicación]],SAP[],6,FALSE),"")</f>
        <v>47095</v>
      </c>
      <c r="J404" s="11" t="str">
        <f>IFERROR(VLOOKUP(CANTIDAD[[#This Row],[Ubicación]],SAP[],7,FALSE),"")</f>
        <v>1F</v>
      </c>
      <c r="K404" s="11">
        <f>IFERROR(VLOOKUP(CANTIDAD[[#This Row],[Ubicación]],SAP[],10,FALSE),"")</f>
        <v>585</v>
      </c>
      <c r="L404" s="48">
        <f>IFERROR(VLOOKUP(CANTIDAD[[#This Row],[Producto]],MARA[],5,FALSE),"")</f>
        <v>5</v>
      </c>
      <c r="M404" s="48" t="str">
        <f>IFERROR(VLOOKUP(CANTIDAD[[#This Row],[Producto]],MARA[],4,FALSE),"")</f>
        <v>PQT</v>
      </c>
      <c r="N404" s="136" t="s">
        <v>4752</v>
      </c>
    </row>
    <row r="405" spans="1:14" hidden="1">
      <c r="A405" s="139" t="str">
        <f t="shared" si="6"/>
        <v>PASILLO 12</v>
      </c>
      <c r="B405" s="93" t="s">
        <v>3909</v>
      </c>
      <c r="C405" s="11">
        <f>IFERROR(VLOOKUP(CANTIDAD[[#This Row],[Ubicación]],SAP[],3,FALSE),"")</f>
        <v>8404725</v>
      </c>
      <c r="D405" s="30">
        <f>IFERROR(VLOOKUP(CANTIDAD[[#This Row],[Producto]],MARA[],3,FALSE),"")</f>
        <v>37750243079120</v>
      </c>
      <c r="E405" s="13" t="str">
        <f>IFERROR(VLOOKUP(CANTIDAD[[#This Row],[Ubicación]],SAP[],4,FALSE),"")</f>
        <v>DET. MARSELLA AMAZO TROP 730GR 15BOL CP</v>
      </c>
      <c r="F405" s="13">
        <f>IFERROR(VLOOKUP(CANTIDAD[[#This Row],[Ubicación]],SAP[],8,FALSE),"")</f>
        <v>11</v>
      </c>
      <c r="G405" s="13" t="str">
        <f>IFERROR(VLOOKUP(CANTIDAD[[#This Row],[Ubicación]],SAP[],9,FALSE),"")</f>
        <v>PQT</v>
      </c>
      <c r="H405" s="13">
        <f>IFERROR(VLOOKUP(CANTIDAD[[#This Row],[Ubicación]],SAP[],5,FALSE),"")</f>
        <v>2607220120</v>
      </c>
      <c r="I405" s="43" t="str">
        <f>IFERROR(VLOOKUP(CANTIDAD[[#This Row],[Ubicación]],SAP[],6,FALSE),"")</f>
        <v>22/07/2028</v>
      </c>
      <c r="J405" s="13" t="str">
        <f>IFERROR(VLOOKUP(CANTIDAD[[#This Row],[Ubicación]],SAP[],7,FALSE),"")</f>
        <v>1F</v>
      </c>
      <c r="K405" s="14">
        <f>IFERROR(VLOOKUP(CANTIDAD[[#This Row],[Ubicación]],SAP[],10,FALSE),"")</f>
        <v>165</v>
      </c>
      <c r="L405" s="48">
        <f>IFERROR(VLOOKUP(CANTIDAD[[#This Row],[Producto]],MARA[],5,FALSE),"")</f>
        <v>5</v>
      </c>
      <c r="M405" s="48" t="str">
        <f>IFERROR(VLOOKUP(CANTIDAD[[#This Row],[Producto]],MARA[],4,FALSE),"")</f>
        <v>PQT</v>
      </c>
      <c r="N405" s="136" t="s">
        <v>4753</v>
      </c>
    </row>
    <row r="406" spans="1:14" hidden="1">
      <c r="A406" s="139" t="str">
        <f t="shared" si="6"/>
        <v>PASILLO 12</v>
      </c>
      <c r="B406" s="92" t="s">
        <v>3874</v>
      </c>
      <c r="C406" s="11">
        <f>IFERROR(VLOOKUP(CANTIDAD[[#This Row],[Ubicación]],SAP[],3,FALSE),"")</f>
        <v>8404706</v>
      </c>
      <c r="D406" s="29">
        <f>IFERROR(VLOOKUP(CANTIDAD[[#This Row],[Producto]],MARA[],3,FALSE),"")</f>
        <v>17750243079126</v>
      </c>
      <c r="E406" s="11" t="str">
        <f>IFERROR(VLOOKUP(CANTIDAD[[#This Row],[Ubicación]],SAP[],4,FALSE),"")</f>
        <v>DET. MARSELLA DESTINOS SELVA 730GR 15BOL</v>
      </c>
      <c r="F406" s="11">
        <f>IFERROR(VLOOKUP(CANTIDAD[[#This Row],[Ubicación]],SAP[],8,FALSE),"")</f>
        <v>13</v>
      </c>
      <c r="G406" s="11" t="str">
        <f>IFERROR(VLOOKUP(CANTIDAD[[#This Row],[Ubicación]],SAP[],9,FALSE),"")</f>
        <v>PQT</v>
      </c>
      <c r="H406" s="11">
        <f>IFERROR(VLOOKUP(CANTIDAD[[#This Row],[Ubicación]],SAP[],5,FALSE),"")</f>
        <v>2506260120</v>
      </c>
      <c r="I406" s="42" t="str">
        <f>IFERROR(VLOOKUP(CANTIDAD[[#This Row],[Ubicación]],SAP[],6,FALSE),"")</f>
        <v>26/06/2027</v>
      </c>
      <c r="J406" s="11" t="str">
        <f>IFERROR(VLOOKUP(CANTIDAD[[#This Row],[Ubicación]],SAP[],7,FALSE),"")</f>
        <v>1F</v>
      </c>
      <c r="K406" s="11">
        <f>IFERROR(VLOOKUP(CANTIDAD[[#This Row],[Ubicación]],SAP[],10,FALSE),"")</f>
        <v>195</v>
      </c>
      <c r="L406" s="48">
        <f>IFERROR(VLOOKUP(CANTIDAD[[#This Row],[Producto]],MARA[],5,FALSE),"")</f>
        <v>5</v>
      </c>
      <c r="M406" s="48" t="str">
        <f>IFERROR(VLOOKUP(CANTIDAD[[#This Row],[Producto]],MARA[],4,FALSE),"")</f>
        <v>PQT</v>
      </c>
      <c r="N406" s="136" t="s">
        <v>4754</v>
      </c>
    </row>
    <row r="407" spans="1:14" hidden="1">
      <c r="A407" s="139" t="str">
        <f t="shared" si="6"/>
        <v>PASILLO 12</v>
      </c>
      <c r="B407" s="93" t="s">
        <v>3962</v>
      </c>
      <c r="C407" s="11">
        <f>IFERROR(VLOOKUP(CANTIDAD[[#This Row],[Ubicación]],SAP[],3,FALSE),"")</f>
        <v>8406217</v>
      </c>
      <c r="D407" s="30">
        <f>IFERROR(VLOOKUP(CANTIDAD[[#This Row],[Producto]],MARA[],3,FALSE),"")</f>
        <v>37750243080621</v>
      </c>
      <c r="E407" s="13" t="str">
        <f>IFERROR(VLOOKUP(CANTIDAD[[#This Row],[Ubicación]],SAP[],4,FALSE),"")</f>
        <v>DET. OPAL  ULTRA 730GR.15BOL CP</v>
      </c>
      <c r="F407" s="13">
        <f>IFERROR(VLOOKUP(CANTIDAD[[#This Row],[Ubicación]],SAP[],8,FALSE),"")</f>
        <v>11</v>
      </c>
      <c r="G407" s="13" t="str">
        <f>IFERROR(VLOOKUP(CANTIDAD[[#This Row],[Ubicación]],SAP[],9,FALSE),"")</f>
        <v>PQT</v>
      </c>
      <c r="H407" s="13">
        <f>IFERROR(VLOOKUP(CANTIDAD[[#This Row],[Ubicación]],SAP[],5,FALSE),"")</f>
        <v>2608080120</v>
      </c>
      <c r="I407" s="43">
        <f>IFERROR(VLOOKUP(CANTIDAD[[#This Row],[Ubicación]],SAP[],6,FALSE),"")</f>
        <v>46973</v>
      </c>
      <c r="J407" s="13" t="str">
        <f>IFERROR(VLOOKUP(CANTIDAD[[#This Row],[Ubicación]],SAP[],7,FALSE),"")</f>
        <v>1F</v>
      </c>
      <c r="K407" s="14">
        <f>IFERROR(VLOOKUP(CANTIDAD[[#This Row],[Ubicación]],SAP[],10,FALSE),"")</f>
        <v>165</v>
      </c>
      <c r="L407" s="48">
        <f>IFERROR(VLOOKUP(CANTIDAD[[#This Row],[Producto]],MARA[],5,FALSE),"")</f>
        <v>5</v>
      </c>
      <c r="M407" s="48" t="str">
        <f>IFERROR(VLOOKUP(CANTIDAD[[#This Row],[Producto]],MARA[],4,FALSE),"")</f>
        <v>PQT</v>
      </c>
      <c r="N407" s="136" t="s">
        <v>4755</v>
      </c>
    </row>
    <row r="408" spans="1:14" hidden="1">
      <c r="A408" s="139" t="str">
        <f t="shared" si="6"/>
        <v>PASILLO 12</v>
      </c>
      <c r="B408" s="92" t="s">
        <v>3879</v>
      </c>
      <c r="C408" s="11">
        <f>IFERROR(VLOOKUP(CANTIDAD[[#This Row],[Ubicación]],SAP[],3,FALSE),"")</f>
        <v>8404713</v>
      </c>
      <c r="D408" s="29">
        <f>IFERROR(VLOOKUP(CANTIDAD[[#This Row],[Producto]],MARA[],3,FALSE),"")</f>
        <v>17750243079812</v>
      </c>
      <c r="E408" s="11" t="str">
        <f>IFERROR(VLOOKUP(CANTIDAD[[#This Row],[Ubicación]],SAP[],4,FALSE),"")</f>
        <v>DET. MARSELLA LAVANDA ROSAS 730GR 15BOL</v>
      </c>
      <c r="F408" s="11">
        <f>IFERROR(VLOOKUP(CANTIDAD[[#This Row],[Ubicación]],SAP[],8,FALSE),"")</f>
        <v>33</v>
      </c>
      <c r="G408" s="11" t="str">
        <f>IFERROR(VLOOKUP(CANTIDAD[[#This Row],[Ubicación]],SAP[],9,FALSE),"")</f>
        <v>PQT</v>
      </c>
      <c r="H408" s="11">
        <f>IFERROR(VLOOKUP(CANTIDAD[[#This Row],[Ubicación]],SAP[],5,FALSE),"")</f>
        <v>2608130120</v>
      </c>
      <c r="I408" s="42" t="str">
        <f>IFERROR(VLOOKUP(CANTIDAD[[#This Row],[Ubicación]],SAP[],6,FALSE),"")</f>
        <v>13/08/2028</v>
      </c>
      <c r="J408" s="11" t="str">
        <f>IFERROR(VLOOKUP(CANTIDAD[[#This Row],[Ubicación]],SAP[],7,FALSE),"")</f>
        <v>1F</v>
      </c>
      <c r="K408" s="11">
        <f>IFERROR(VLOOKUP(CANTIDAD[[#This Row],[Ubicación]],SAP[],10,FALSE),"")</f>
        <v>495</v>
      </c>
      <c r="L408" s="48">
        <f>IFERROR(VLOOKUP(CANTIDAD[[#This Row],[Producto]],MARA[],5,FALSE),"")</f>
        <v>5</v>
      </c>
      <c r="M408" s="48" t="str">
        <f>IFERROR(VLOOKUP(CANTIDAD[[#This Row],[Producto]],MARA[],4,FALSE),"")</f>
        <v>PQT</v>
      </c>
      <c r="N408" s="136" t="s">
        <v>4756</v>
      </c>
    </row>
    <row r="409" spans="1:14" hidden="1">
      <c r="A409" s="139" t="str">
        <f t="shared" si="6"/>
        <v>PASILLO 12</v>
      </c>
      <c r="B409" s="93" t="s">
        <v>3838</v>
      </c>
      <c r="C409" s="11">
        <f>IFERROR(VLOOKUP(CANTIDAD[[#This Row],[Ubicación]],SAP[],3,FALSE),"")</f>
        <v>8400688</v>
      </c>
      <c r="D409" s="30">
        <f>IFERROR(VLOOKUP(CANTIDAD[[#This Row],[Producto]],MARA[],3,FALSE),"")</f>
        <v>37750243079052</v>
      </c>
      <c r="E409" s="13" t="str">
        <f>IFERROR(VLOOKUP(CANTIDAD[[#This Row],[Ubicación]],SAP[],4,FALSE),"")</f>
        <v>DET. BOLIVAR CUIDADO TOT 730GR.15BOL CP</v>
      </c>
      <c r="F409" s="13">
        <f>IFERROR(VLOOKUP(CANTIDAD[[#This Row],[Ubicación]],SAP[],8,FALSE),"")</f>
        <v>42</v>
      </c>
      <c r="G409" s="13" t="str">
        <f>IFERROR(VLOOKUP(CANTIDAD[[#This Row],[Ubicación]],SAP[],9,FALSE),"")</f>
        <v>PQT</v>
      </c>
      <c r="H409" s="13">
        <f>IFERROR(VLOOKUP(CANTIDAD[[#This Row],[Ubicación]],SAP[],5,FALSE),"")</f>
        <v>2608010120</v>
      </c>
      <c r="I409" s="43">
        <f>IFERROR(VLOOKUP(CANTIDAD[[#This Row],[Ubicación]],SAP[],6,FALSE),"")</f>
        <v>46760</v>
      </c>
      <c r="J409" s="13" t="str">
        <f>IFERROR(VLOOKUP(CANTIDAD[[#This Row],[Ubicación]],SAP[],7,FALSE),"")</f>
        <v>1F</v>
      </c>
      <c r="K409" s="14">
        <f>IFERROR(VLOOKUP(CANTIDAD[[#This Row],[Ubicación]],SAP[],10,FALSE),"")</f>
        <v>630</v>
      </c>
      <c r="L409" s="48">
        <f>IFERROR(VLOOKUP(CANTIDAD[[#This Row],[Producto]],MARA[],5,FALSE),"")</f>
        <v>5</v>
      </c>
      <c r="M409" s="48" t="str">
        <f>IFERROR(VLOOKUP(CANTIDAD[[#This Row],[Producto]],MARA[],4,FALSE),"")</f>
        <v>PQT</v>
      </c>
      <c r="N409" s="136" t="s">
        <v>4757</v>
      </c>
    </row>
    <row r="410" spans="1:14" hidden="1">
      <c r="A410" s="139" t="str">
        <f t="shared" si="6"/>
        <v>PASILLO 12</v>
      </c>
      <c r="B410" s="92" t="s">
        <v>3935</v>
      </c>
      <c r="C410" s="11">
        <f>IFERROR(VLOOKUP(CANTIDAD[[#This Row],[Ubicación]],SAP[],3,FALSE),"")</f>
        <v>8406145</v>
      </c>
      <c r="D410" s="29">
        <f>IFERROR(VLOOKUP(CANTIDAD[[#This Row],[Producto]],MARA[],3,FALSE),"")</f>
        <v>17750243080627</v>
      </c>
      <c r="E410" s="11" t="str">
        <f>IFERROR(VLOOKUP(CANTIDAD[[#This Row],[Ubicación]],SAP[],4,FALSE),"")</f>
        <v>DET. OPAL  ULTRA 730GR.15BOL</v>
      </c>
      <c r="F410" s="11">
        <f>IFERROR(VLOOKUP(CANTIDAD[[#This Row],[Ubicación]],SAP[],8,FALSE),"")</f>
        <v>9</v>
      </c>
      <c r="G410" s="11" t="str">
        <f>IFERROR(VLOOKUP(CANTIDAD[[#This Row],[Ubicación]],SAP[],9,FALSE),"")</f>
        <v>PQT</v>
      </c>
      <c r="H410" s="11">
        <f>IFERROR(VLOOKUP(CANTIDAD[[#This Row],[Ubicación]],SAP[],5,FALSE),"")</f>
        <v>2608210120</v>
      </c>
      <c r="I410" s="42" t="str">
        <f>IFERROR(VLOOKUP(CANTIDAD[[#This Row],[Ubicación]],SAP[],6,FALSE),"")</f>
        <v>21/08/2028</v>
      </c>
      <c r="J410" s="11" t="str">
        <f>IFERROR(VLOOKUP(CANTIDAD[[#This Row],[Ubicación]],SAP[],7,FALSE),"")</f>
        <v>1F</v>
      </c>
      <c r="K410" s="11">
        <f>IFERROR(VLOOKUP(CANTIDAD[[#This Row],[Ubicación]],SAP[],10,FALSE),"")</f>
        <v>135</v>
      </c>
      <c r="L410" s="48">
        <f>IFERROR(VLOOKUP(CANTIDAD[[#This Row],[Producto]],MARA[],5,FALSE),"")</f>
        <v>5</v>
      </c>
      <c r="M410" s="48" t="str">
        <f>IFERROR(VLOOKUP(CANTIDAD[[#This Row],[Producto]],MARA[],4,FALSE),"")</f>
        <v>PQT</v>
      </c>
      <c r="N410" s="136" t="s">
        <v>4758</v>
      </c>
    </row>
    <row r="411" spans="1:14" hidden="1">
      <c r="A411" s="139" t="str">
        <f t="shared" si="6"/>
        <v>PASILLO 12</v>
      </c>
      <c r="B411" s="93" t="s">
        <v>3806</v>
      </c>
      <c r="C411" s="11">
        <f>IFERROR(VLOOKUP(CANTIDAD[[#This Row],[Ubicación]],SAP[],3,FALSE),"")</f>
        <v>8400639</v>
      </c>
      <c r="D411" s="30">
        <f>IFERROR(VLOOKUP(CANTIDAD[[#This Row],[Producto]],MARA[],3,FALSE),"")</f>
        <v>17750243079096</v>
      </c>
      <c r="E411" s="13" t="str">
        <f>IFERROR(VLOOKUP(CANTIDAD[[#This Row],[Ubicación]],SAP[],4,FALSE),"")</f>
        <v>DET.BOL RENACIMENTO AROM SUAV 730GR.15BO</v>
      </c>
      <c r="F411" s="13">
        <f>IFERROR(VLOOKUP(CANTIDAD[[#This Row],[Ubicación]],SAP[],8,FALSE),"")</f>
        <v>43</v>
      </c>
      <c r="G411" s="13" t="str">
        <f>IFERROR(VLOOKUP(CANTIDAD[[#This Row],[Ubicación]],SAP[],9,FALSE),"")</f>
        <v>PQT</v>
      </c>
      <c r="H411" s="13">
        <f>IFERROR(VLOOKUP(CANTIDAD[[#This Row],[Ubicación]],SAP[],5,FALSE),"")</f>
        <v>2607310120</v>
      </c>
      <c r="I411" s="43" t="str">
        <f>IFERROR(VLOOKUP(CANTIDAD[[#This Row],[Ubicación]],SAP[],6,FALSE),"")</f>
        <v>31/07/2028</v>
      </c>
      <c r="J411" s="13" t="str">
        <f>IFERROR(VLOOKUP(CANTIDAD[[#This Row],[Ubicación]],SAP[],7,FALSE),"")</f>
        <v>1F</v>
      </c>
      <c r="K411" s="14">
        <f>IFERROR(VLOOKUP(CANTIDAD[[#This Row],[Ubicación]],SAP[],10,FALSE),"")</f>
        <v>645</v>
      </c>
      <c r="L411" s="48">
        <f>IFERROR(VLOOKUP(CANTIDAD[[#This Row],[Producto]],MARA[],5,FALSE),"")</f>
        <v>5</v>
      </c>
      <c r="M411" s="48" t="str">
        <f>IFERROR(VLOOKUP(CANTIDAD[[#This Row],[Producto]],MARA[],4,FALSE),"")</f>
        <v>PQT</v>
      </c>
      <c r="N411" s="136" t="s">
        <v>4759</v>
      </c>
    </row>
    <row r="412" spans="1:14" hidden="1">
      <c r="A412" s="139" t="str">
        <f t="shared" si="6"/>
        <v>PASILLO 12</v>
      </c>
      <c r="B412" s="92" t="s">
        <v>3809</v>
      </c>
      <c r="C412" s="11">
        <f>IFERROR(VLOOKUP(CANTIDAD[[#This Row],[Ubicación]],SAP[],3,FALSE),"")</f>
        <v>8400639</v>
      </c>
      <c r="D412" s="29">
        <f>IFERROR(VLOOKUP(CANTIDAD[[#This Row],[Producto]],MARA[],3,FALSE),"")</f>
        <v>17750243079096</v>
      </c>
      <c r="E412" s="11" t="str">
        <f>IFERROR(VLOOKUP(CANTIDAD[[#This Row],[Ubicación]],SAP[],4,FALSE),"")</f>
        <v>DET.BOL RENACIMENTO AROM SUAV 730GR.15BO</v>
      </c>
      <c r="F412" s="11">
        <f>IFERROR(VLOOKUP(CANTIDAD[[#This Row],[Ubicación]],SAP[],8,FALSE),"")</f>
        <v>19</v>
      </c>
      <c r="G412" s="11" t="str">
        <f>IFERROR(VLOOKUP(CANTIDAD[[#This Row],[Ubicación]],SAP[],9,FALSE),"")</f>
        <v>PQT</v>
      </c>
      <c r="H412" s="11">
        <f>IFERROR(VLOOKUP(CANTIDAD[[#This Row],[Ubicación]],SAP[],5,FALSE),"")</f>
        <v>2607310120</v>
      </c>
      <c r="I412" s="42" t="str">
        <f>IFERROR(VLOOKUP(CANTIDAD[[#This Row],[Ubicación]],SAP[],6,FALSE),"")</f>
        <v>31/07/2028</v>
      </c>
      <c r="J412" s="11" t="str">
        <f>IFERROR(VLOOKUP(CANTIDAD[[#This Row],[Ubicación]],SAP[],7,FALSE),"")</f>
        <v>1F</v>
      </c>
      <c r="K412" s="11">
        <f>IFERROR(VLOOKUP(CANTIDAD[[#This Row],[Ubicación]],SAP[],10,FALSE),"")</f>
        <v>285</v>
      </c>
      <c r="L412" s="48">
        <f>IFERROR(VLOOKUP(CANTIDAD[[#This Row],[Producto]],MARA[],5,FALSE),"")</f>
        <v>5</v>
      </c>
      <c r="M412" s="48" t="str">
        <f>IFERROR(VLOOKUP(CANTIDAD[[#This Row],[Producto]],MARA[],4,FALSE),"")</f>
        <v>PQT</v>
      </c>
      <c r="N412" s="137" t="s">
        <v>4760</v>
      </c>
    </row>
    <row r="413" spans="1:14" hidden="1">
      <c r="A413" s="139" t="str">
        <f t="shared" si="6"/>
        <v>PASILLO 12</v>
      </c>
      <c r="B413" s="93" t="s">
        <v>3859</v>
      </c>
      <c r="C413" s="11">
        <f>IFERROR(VLOOKUP(CANTIDAD[[#This Row],[Ubicación]],SAP[],3,FALSE),"")</f>
        <v>8404093</v>
      </c>
      <c r="D413" s="30">
        <f>IFERROR(VLOOKUP(CANTIDAD[[#This Row],[Producto]],MARA[],3,FALSE),"")</f>
        <v>17750243083598</v>
      </c>
      <c r="E413" s="13" t="str">
        <f>IFERROR(VLOOKUP(CANTIDAD[[#This Row],[Ubicación]],SAP[],4,FALSE),"")</f>
        <v>DET.MARSELLA BRISAS DEL NORTE 730GR 1BOL</v>
      </c>
      <c r="F413" s="13">
        <f>IFERROR(VLOOKUP(CANTIDAD[[#This Row],[Ubicación]],SAP[],8,FALSE),"")</f>
        <v>9</v>
      </c>
      <c r="G413" s="13" t="str">
        <f>IFERROR(VLOOKUP(CANTIDAD[[#This Row],[Ubicación]],SAP[],9,FALSE),"")</f>
        <v>PQT</v>
      </c>
      <c r="H413" s="13">
        <f>IFERROR(VLOOKUP(CANTIDAD[[#This Row],[Ubicación]],SAP[],5,FALSE),"")</f>
        <v>2607090120</v>
      </c>
      <c r="I413" s="43">
        <f>IFERROR(VLOOKUP(CANTIDAD[[#This Row],[Ubicación]],SAP[],6,FALSE),"")</f>
        <v>47003</v>
      </c>
      <c r="J413" s="13" t="str">
        <f>IFERROR(VLOOKUP(CANTIDAD[[#This Row],[Ubicación]],SAP[],7,FALSE),"")</f>
        <v>1F</v>
      </c>
      <c r="K413" s="14">
        <f>IFERROR(VLOOKUP(CANTIDAD[[#This Row],[Ubicación]],SAP[],10,FALSE),"")</f>
        <v>135</v>
      </c>
      <c r="L413" s="48">
        <f>IFERROR(VLOOKUP(CANTIDAD[[#This Row],[Producto]],MARA[],5,FALSE),"")</f>
        <v>5</v>
      </c>
      <c r="M413" s="48" t="str">
        <f>IFERROR(VLOOKUP(CANTIDAD[[#This Row],[Producto]],MARA[],4,FALSE),"")</f>
        <v>PQT</v>
      </c>
      <c r="N413" s="136" t="s">
        <v>4761</v>
      </c>
    </row>
    <row r="414" spans="1:14" hidden="1">
      <c r="A414" s="139" t="str">
        <f t="shared" si="6"/>
        <v>PASILLO 12</v>
      </c>
      <c r="B414" s="92" t="s">
        <v>3861</v>
      </c>
      <c r="C414" s="11">
        <f>IFERROR(VLOOKUP(CANTIDAD[[#This Row],[Ubicación]],SAP[],3,FALSE),"")</f>
        <v>8404093</v>
      </c>
      <c r="D414" s="29">
        <f>IFERROR(VLOOKUP(CANTIDAD[[#This Row],[Producto]],MARA[],3,FALSE),"")</f>
        <v>17750243083598</v>
      </c>
      <c r="E414" s="11" t="str">
        <f>IFERROR(VLOOKUP(CANTIDAD[[#This Row],[Ubicación]],SAP[],4,FALSE),"")</f>
        <v>DET.MARSELLA BRISAS DEL NORTE 730GR 1BOL</v>
      </c>
      <c r="F414" s="11">
        <f>IFERROR(VLOOKUP(CANTIDAD[[#This Row],[Ubicación]],SAP[],8,FALSE),"")</f>
        <v>29</v>
      </c>
      <c r="G414" s="11" t="str">
        <f>IFERROR(VLOOKUP(CANTIDAD[[#This Row],[Ubicación]],SAP[],9,FALSE),"")</f>
        <v>PQT</v>
      </c>
      <c r="H414" s="11">
        <f>IFERROR(VLOOKUP(CANTIDAD[[#This Row],[Ubicación]],SAP[],5,FALSE),"")</f>
        <v>2607230120</v>
      </c>
      <c r="I414" s="42" t="str">
        <f>IFERROR(VLOOKUP(CANTIDAD[[#This Row],[Ubicación]],SAP[],6,FALSE),"")</f>
        <v>23/07/2028</v>
      </c>
      <c r="J414" s="11" t="str">
        <f>IFERROR(VLOOKUP(CANTIDAD[[#This Row],[Ubicación]],SAP[],7,FALSE),"")</f>
        <v>1F</v>
      </c>
      <c r="K414" s="11">
        <f>IFERROR(VLOOKUP(CANTIDAD[[#This Row],[Ubicación]],SAP[],10,FALSE),"")</f>
        <v>435</v>
      </c>
      <c r="L414" s="48">
        <f>IFERROR(VLOOKUP(CANTIDAD[[#This Row],[Producto]],MARA[],5,FALSE),"")</f>
        <v>5</v>
      </c>
      <c r="M414" s="48" t="str">
        <f>IFERROR(VLOOKUP(CANTIDAD[[#This Row],[Producto]],MARA[],4,FALSE),"")</f>
        <v>PQT</v>
      </c>
      <c r="N414" s="136" t="s">
        <v>4762</v>
      </c>
    </row>
    <row r="415" spans="1:14" hidden="1">
      <c r="A415" s="139" t="str">
        <f t="shared" si="6"/>
        <v>PASILLO 12</v>
      </c>
      <c r="B415" s="93" t="s">
        <v>3772</v>
      </c>
      <c r="C415" s="11">
        <f>IFERROR(VLOOKUP(CANTIDAD[[#This Row],[Ubicación]],SAP[],3,FALSE),"")</f>
        <v>8400630</v>
      </c>
      <c r="D415" s="30">
        <f>IFERROR(VLOOKUP(CANTIDAD[[#This Row],[Producto]],MARA[],3,FALSE),"")</f>
        <v>17750243079058</v>
      </c>
      <c r="E415" s="13" t="str">
        <f>IFERROR(VLOOKUP(CANTIDAD[[#This Row],[Ubicación]],SAP[],4,FALSE),"")</f>
        <v>DET. BOLIVAR CUIDADO TOTAL 730GR.15BOL</v>
      </c>
      <c r="F415" s="13">
        <f>IFERROR(VLOOKUP(CANTIDAD[[#This Row],[Ubicación]],SAP[],8,FALSE),"")</f>
        <v>10</v>
      </c>
      <c r="G415" s="13" t="str">
        <f>IFERROR(VLOOKUP(CANTIDAD[[#This Row],[Ubicación]],SAP[],9,FALSE),"")</f>
        <v>PQT</v>
      </c>
      <c r="H415" s="13">
        <f>IFERROR(VLOOKUP(CANTIDAD[[#This Row],[Ubicación]],SAP[],5,FALSE),"")</f>
        <v>2608100120</v>
      </c>
      <c r="I415" s="43">
        <f>IFERROR(VLOOKUP(CANTIDAD[[#This Row],[Ubicación]],SAP[],6,FALSE),"")</f>
        <v>47034</v>
      </c>
      <c r="J415" s="13" t="str">
        <f>IFERROR(VLOOKUP(CANTIDAD[[#This Row],[Ubicación]],SAP[],7,FALSE),"")</f>
        <v>1F</v>
      </c>
      <c r="K415" s="14">
        <f>IFERROR(VLOOKUP(CANTIDAD[[#This Row],[Ubicación]],SAP[],10,FALSE),"")</f>
        <v>150</v>
      </c>
      <c r="L415" s="48">
        <f>IFERROR(VLOOKUP(CANTIDAD[[#This Row],[Producto]],MARA[],5,FALSE),"")</f>
        <v>5</v>
      </c>
      <c r="M415" s="48" t="str">
        <f>IFERROR(VLOOKUP(CANTIDAD[[#This Row],[Producto]],MARA[],4,FALSE),"")</f>
        <v>PQT</v>
      </c>
      <c r="N415" s="136" t="s">
        <v>4763</v>
      </c>
    </row>
    <row r="416" spans="1:14" hidden="1">
      <c r="A416" s="139" t="str">
        <f t="shared" si="6"/>
        <v>PASILLO 12</v>
      </c>
      <c r="B416" s="92" t="s">
        <v>3774</v>
      </c>
      <c r="C416" s="11">
        <f>IFERROR(VLOOKUP(CANTIDAD[[#This Row],[Ubicación]],SAP[],3,FALSE),"")</f>
        <v>8400630</v>
      </c>
      <c r="D416" s="29">
        <f>IFERROR(VLOOKUP(CANTIDAD[[#This Row],[Producto]],MARA[],3,FALSE),"")</f>
        <v>17750243079058</v>
      </c>
      <c r="E416" s="11" t="str">
        <f>IFERROR(VLOOKUP(CANTIDAD[[#This Row],[Ubicación]],SAP[],4,FALSE),"")</f>
        <v>DET. BOLIVAR CUIDADO TOTAL 730GR.15BOL</v>
      </c>
      <c r="F416" s="11">
        <f>IFERROR(VLOOKUP(CANTIDAD[[#This Row],[Ubicación]],SAP[],8,FALSE),"")</f>
        <v>14</v>
      </c>
      <c r="G416" s="11" t="str">
        <f>IFERROR(VLOOKUP(CANTIDAD[[#This Row],[Ubicación]],SAP[],9,FALSE),"")</f>
        <v>PQT</v>
      </c>
      <c r="H416" s="11">
        <f>IFERROR(VLOOKUP(CANTIDAD[[#This Row],[Ubicación]],SAP[],5,FALSE),"")</f>
        <v>2608230120</v>
      </c>
      <c r="I416" s="42" t="str">
        <f>IFERROR(VLOOKUP(CANTIDAD[[#This Row],[Ubicación]],SAP[],6,FALSE),"")</f>
        <v>23/08/2028</v>
      </c>
      <c r="J416" s="11" t="str">
        <f>IFERROR(VLOOKUP(CANTIDAD[[#This Row],[Ubicación]],SAP[],7,FALSE),"")</f>
        <v>1F</v>
      </c>
      <c r="K416" s="11">
        <f>IFERROR(VLOOKUP(CANTIDAD[[#This Row],[Ubicación]],SAP[],10,FALSE),"")</f>
        <v>210</v>
      </c>
      <c r="L416" s="48">
        <f>IFERROR(VLOOKUP(CANTIDAD[[#This Row],[Producto]],MARA[],5,FALSE),"")</f>
        <v>5</v>
      </c>
      <c r="M416" s="48" t="str">
        <f>IFERROR(VLOOKUP(CANTIDAD[[#This Row],[Producto]],MARA[],4,FALSE),"")</f>
        <v>PQT</v>
      </c>
      <c r="N416" s="136" t="s">
        <v>4764</v>
      </c>
    </row>
    <row r="417" spans="1:14" hidden="1">
      <c r="A417" s="139" t="str">
        <f t="shared" si="6"/>
        <v>PASILLO 12</v>
      </c>
      <c r="B417" s="93" t="s">
        <v>3801</v>
      </c>
      <c r="C417" s="11">
        <f>IFERROR(VLOOKUP(CANTIDAD[[#This Row],[Ubicación]],SAP[],3,FALSE),"")</f>
        <v>8400638</v>
      </c>
      <c r="D417" s="30">
        <f>IFERROR(VLOOKUP(CANTIDAD[[#This Row],[Producto]],MARA[],3,FALSE),"")</f>
        <v>17750243079089</v>
      </c>
      <c r="E417" s="13" t="str">
        <f>IFERROR(VLOOKUP(CANTIDAD[[#This Row],[Ubicación]],SAP[],4,FALSE),"")</f>
        <v>DET. BOL CUIDADO MICELAR 730GR.15BOL</v>
      </c>
      <c r="F417" s="13">
        <f>IFERROR(VLOOKUP(CANTIDAD[[#This Row],[Ubicación]],SAP[],8,FALSE),"")</f>
        <v>24</v>
      </c>
      <c r="G417" s="13" t="str">
        <f>IFERROR(VLOOKUP(CANTIDAD[[#This Row],[Ubicación]],SAP[],9,FALSE),"")</f>
        <v>PQT</v>
      </c>
      <c r="H417" s="13">
        <f>IFERROR(VLOOKUP(CANTIDAD[[#This Row],[Ubicación]],SAP[],5,FALSE),"")</f>
        <v>2608110120</v>
      </c>
      <c r="I417" s="43">
        <f>IFERROR(VLOOKUP(CANTIDAD[[#This Row],[Ubicación]],SAP[],6,FALSE),"")</f>
        <v>47065</v>
      </c>
      <c r="J417" s="13" t="str">
        <f>IFERROR(VLOOKUP(CANTIDAD[[#This Row],[Ubicación]],SAP[],7,FALSE),"")</f>
        <v>1F</v>
      </c>
      <c r="K417" s="14">
        <f>IFERROR(VLOOKUP(CANTIDAD[[#This Row],[Ubicación]],SAP[],10,FALSE),"")</f>
        <v>360</v>
      </c>
      <c r="L417" s="48">
        <f>IFERROR(VLOOKUP(CANTIDAD[[#This Row],[Producto]],MARA[],5,FALSE),"")</f>
        <v>5</v>
      </c>
      <c r="M417" s="48" t="str">
        <f>IFERROR(VLOOKUP(CANTIDAD[[#This Row],[Producto]],MARA[],4,FALSE),"")</f>
        <v>PQT</v>
      </c>
      <c r="N417" s="136" t="s">
        <v>4765</v>
      </c>
    </row>
    <row r="418" spans="1:14" hidden="1">
      <c r="A418" s="139" t="str">
        <f t="shared" si="6"/>
        <v>PASILLO 12</v>
      </c>
      <c r="B418" s="92" t="s">
        <v>3804</v>
      </c>
      <c r="C418" s="11">
        <f>IFERROR(VLOOKUP(CANTIDAD[[#This Row],[Ubicación]],SAP[],3,FALSE),"")</f>
        <v>8400638</v>
      </c>
      <c r="D418" s="29">
        <f>IFERROR(VLOOKUP(CANTIDAD[[#This Row],[Producto]],MARA[],3,FALSE),"")</f>
        <v>17750243079089</v>
      </c>
      <c r="E418" s="11" t="str">
        <f>IFERROR(VLOOKUP(CANTIDAD[[#This Row],[Ubicación]],SAP[],4,FALSE),"")</f>
        <v>DET. BOL CUIDADO MICELAR 730GR.15BOL</v>
      </c>
      <c r="F418" s="11">
        <f>IFERROR(VLOOKUP(CANTIDAD[[#This Row],[Ubicación]],SAP[],8,FALSE),"")</f>
        <v>12</v>
      </c>
      <c r="G418" s="11" t="str">
        <f>IFERROR(VLOOKUP(CANTIDAD[[#This Row],[Ubicación]],SAP[],9,FALSE),"")</f>
        <v>PQT</v>
      </c>
      <c r="H418" s="11">
        <f>IFERROR(VLOOKUP(CANTIDAD[[#This Row],[Ubicación]],SAP[],5,FALSE),"")</f>
        <v>2608220120</v>
      </c>
      <c r="I418" s="42" t="str">
        <f>IFERROR(VLOOKUP(CANTIDAD[[#This Row],[Ubicación]],SAP[],6,FALSE),"")</f>
        <v>22/08/2028</v>
      </c>
      <c r="J418" s="11" t="str">
        <f>IFERROR(VLOOKUP(CANTIDAD[[#This Row],[Ubicación]],SAP[],7,FALSE),"")</f>
        <v>1F</v>
      </c>
      <c r="K418" s="11">
        <f>IFERROR(VLOOKUP(CANTIDAD[[#This Row],[Ubicación]],SAP[],10,FALSE),"")</f>
        <v>180</v>
      </c>
      <c r="L418" s="48">
        <f>IFERROR(VLOOKUP(CANTIDAD[[#This Row],[Producto]],MARA[],5,FALSE),"")</f>
        <v>5</v>
      </c>
      <c r="M418" s="48" t="str">
        <f>IFERROR(VLOOKUP(CANTIDAD[[#This Row],[Producto]],MARA[],4,FALSE),"")</f>
        <v>PQT</v>
      </c>
      <c r="N418" s="136" t="s">
        <v>4766</v>
      </c>
    </row>
    <row r="419" spans="1:14" hidden="1">
      <c r="A419" s="139" t="str">
        <f t="shared" si="6"/>
        <v>PASILLO 12</v>
      </c>
      <c r="B419" s="93" t="s">
        <v>3897</v>
      </c>
      <c r="C419" s="11">
        <f>IFERROR(VLOOKUP(CANTIDAD[[#This Row],[Ubicación]],SAP[],3,FALSE),"")</f>
        <v>8404721</v>
      </c>
      <c r="D419" s="30">
        <f>IFERROR(VLOOKUP(CANTIDAD[[#This Row],[Producto]],MARA[],3,FALSE),"")</f>
        <v>17750243079898</v>
      </c>
      <c r="E419" s="13" t="str">
        <f>IFERROR(VLOOKUP(CANTIDAD[[#This Row],[Ubicación]],SAP[],4,FALSE),"")</f>
        <v>DET. MARSELLA JAZMIN ROSAS 730GR 15BOL</v>
      </c>
      <c r="F419" s="13">
        <f>IFERROR(VLOOKUP(CANTIDAD[[#This Row],[Ubicación]],SAP[],8,FALSE),"")</f>
        <v>14</v>
      </c>
      <c r="G419" s="13" t="str">
        <f>IFERROR(VLOOKUP(CANTIDAD[[#This Row],[Ubicación]],SAP[],9,FALSE),"")</f>
        <v>PQT</v>
      </c>
      <c r="H419" s="13">
        <f>IFERROR(VLOOKUP(CANTIDAD[[#This Row],[Ubicación]],SAP[],5,FALSE),"")</f>
        <v>2608020120</v>
      </c>
      <c r="I419" s="43">
        <f>IFERROR(VLOOKUP(CANTIDAD[[#This Row],[Ubicación]],SAP[],6,FALSE),"")</f>
        <v>46791</v>
      </c>
      <c r="J419" s="13" t="str">
        <f>IFERROR(VLOOKUP(CANTIDAD[[#This Row],[Ubicación]],SAP[],7,FALSE),"")</f>
        <v>1F</v>
      </c>
      <c r="K419" s="14">
        <f>IFERROR(VLOOKUP(CANTIDAD[[#This Row],[Ubicación]],SAP[],10,FALSE),"")</f>
        <v>210</v>
      </c>
      <c r="L419" s="48">
        <f>IFERROR(VLOOKUP(CANTIDAD[[#This Row],[Producto]],MARA[],5,FALSE),"")</f>
        <v>5</v>
      </c>
      <c r="M419" s="48" t="str">
        <f>IFERROR(VLOOKUP(CANTIDAD[[#This Row],[Producto]],MARA[],4,FALSE),"")</f>
        <v>PQT</v>
      </c>
      <c r="N419" s="136" t="s">
        <v>4767</v>
      </c>
    </row>
    <row r="420" spans="1:14" hidden="1">
      <c r="A420" s="139" t="str">
        <f t="shared" si="6"/>
        <v>PASILLO 12</v>
      </c>
      <c r="B420" s="92" t="s">
        <v>3899</v>
      </c>
      <c r="C420" s="11">
        <f>IFERROR(VLOOKUP(CANTIDAD[[#This Row],[Ubicación]],SAP[],3,FALSE),"")</f>
        <v>8404721</v>
      </c>
      <c r="D420" s="29">
        <f>IFERROR(VLOOKUP(CANTIDAD[[#This Row],[Producto]],MARA[],3,FALSE),"")</f>
        <v>17750243079898</v>
      </c>
      <c r="E420" s="11" t="str">
        <f>IFERROR(VLOOKUP(CANTIDAD[[#This Row],[Ubicación]],SAP[],4,FALSE),"")</f>
        <v>DET. MARSELLA JAZMIN ROSAS 730GR 15BOL</v>
      </c>
      <c r="F420" s="11">
        <f>IFERROR(VLOOKUP(CANTIDAD[[#This Row],[Ubicación]],SAP[],8,FALSE),"")</f>
        <v>29</v>
      </c>
      <c r="G420" s="11" t="str">
        <f>IFERROR(VLOOKUP(CANTIDAD[[#This Row],[Ubicación]],SAP[],9,FALSE),"")</f>
        <v>PQT</v>
      </c>
      <c r="H420" s="11">
        <f>IFERROR(VLOOKUP(CANTIDAD[[#This Row],[Ubicación]],SAP[],5,FALSE),"")</f>
        <v>2608020120</v>
      </c>
      <c r="I420" s="42">
        <f>IFERROR(VLOOKUP(CANTIDAD[[#This Row],[Ubicación]],SAP[],6,FALSE),"")</f>
        <v>46791</v>
      </c>
      <c r="J420" s="11" t="str">
        <f>IFERROR(VLOOKUP(CANTIDAD[[#This Row],[Ubicación]],SAP[],7,FALSE),"")</f>
        <v>1F</v>
      </c>
      <c r="K420" s="11">
        <f>IFERROR(VLOOKUP(CANTIDAD[[#This Row],[Ubicación]],SAP[],10,FALSE),"")</f>
        <v>435</v>
      </c>
      <c r="L420" s="48">
        <f>IFERROR(VLOOKUP(CANTIDAD[[#This Row],[Producto]],MARA[],5,FALSE),"")</f>
        <v>5</v>
      </c>
      <c r="M420" s="48" t="str">
        <f>IFERROR(VLOOKUP(CANTIDAD[[#This Row],[Producto]],MARA[],4,FALSE),"")</f>
        <v>PQT</v>
      </c>
      <c r="N420" s="136" t="s">
        <v>4768</v>
      </c>
    </row>
    <row r="421" spans="1:14" hidden="1">
      <c r="A421" s="139" t="str">
        <f t="shared" si="6"/>
        <v>PASILLO 12</v>
      </c>
      <c r="B421" s="93" t="s">
        <v>3947</v>
      </c>
      <c r="C421" s="11">
        <f>IFERROR(VLOOKUP(CANTIDAD[[#This Row],[Ubicación]],SAP[],3,FALSE),"")</f>
        <v>8406151</v>
      </c>
      <c r="D421" s="30">
        <f>IFERROR(VLOOKUP(CANTIDAD[[#This Row],[Producto]],MARA[],3,FALSE),"")</f>
        <v>17750243080672</v>
      </c>
      <c r="E421" s="13" t="str">
        <f>IFERROR(VLOOKUP(CANTIDAD[[#This Row],[Ubicación]],SAP[],4,FALSE),"")</f>
        <v>DET. OPAL ANTIBAC 730GR.15BO</v>
      </c>
      <c r="F421" s="13">
        <f>IFERROR(VLOOKUP(CANTIDAD[[#This Row],[Ubicación]],SAP[],8,FALSE),"")</f>
        <v>24</v>
      </c>
      <c r="G421" s="13" t="str">
        <f>IFERROR(VLOOKUP(CANTIDAD[[#This Row],[Ubicación]],SAP[],9,FALSE),"")</f>
        <v>PQT</v>
      </c>
      <c r="H421" s="13">
        <f>IFERROR(VLOOKUP(CANTIDAD[[#This Row],[Ubicación]],SAP[],5,FALSE),"")</f>
        <v>2608120120</v>
      </c>
      <c r="I421" s="43">
        <f>IFERROR(VLOOKUP(CANTIDAD[[#This Row],[Ubicación]],SAP[],6,FALSE),"")</f>
        <v>47095</v>
      </c>
      <c r="J421" s="13" t="str">
        <f>IFERROR(VLOOKUP(CANTIDAD[[#This Row],[Ubicación]],SAP[],7,FALSE),"")</f>
        <v>1F</v>
      </c>
      <c r="K421" s="14">
        <f>IFERROR(VLOOKUP(CANTIDAD[[#This Row],[Ubicación]],SAP[],10,FALSE),"")</f>
        <v>360</v>
      </c>
      <c r="L421" s="48">
        <f>IFERROR(VLOOKUP(CANTIDAD[[#This Row],[Producto]],MARA[],5,FALSE),"")</f>
        <v>5</v>
      </c>
      <c r="M421" s="48" t="str">
        <f>IFERROR(VLOOKUP(CANTIDAD[[#This Row],[Producto]],MARA[],4,FALSE),"")</f>
        <v>PQT</v>
      </c>
      <c r="N421" s="136" t="s">
        <v>4769</v>
      </c>
    </row>
    <row r="422" spans="1:14" hidden="1">
      <c r="A422" s="139" t="str">
        <f t="shared" si="6"/>
        <v>PASILLO 12</v>
      </c>
      <c r="B422" s="92" t="s">
        <v>4078</v>
      </c>
      <c r="C422" s="11">
        <f>IFERROR(VLOOKUP(CANTIDAD[[#This Row],[Ubicación]],SAP[],3,FALSE),"")</f>
        <v>8414035</v>
      </c>
      <c r="D422" s="29">
        <f>IFERROR(VLOOKUP(CANTIDAD[[#This Row],[Producto]],MARA[],3,FALSE),"")</f>
        <v>17750243079355</v>
      </c>
      <c r="E422" s="11" t="str">
        <f>IFERROR(VLOOKUP(CANTIDAD[[#This Row],[Ubicación]],SAP[],4,FALSE),"")</f>
        <v>DETER. SAPOLIO LIMON 730GR 15BOL</v>
      </c>
      <c r="F422" s="11">
        <f>IFERROR(VLOOKUP(CANTIDAD[[#This Row],[Ubicación]],SAP[],8,FALSE),"")</f>
        <v>39</v>
      </c>
      <c r="G422" s="11" t="str">
        <f>IFERROR(VLOOKUP(CANTIDAD[[#This Row],[Ubicación]],SAP[],9,FALSE),"")</f>
        <v>PQT</v>
      </c>
      <c r="H422" s="11">
        <f>IFERROR(VLOOKUP(CANTIDAD[[#This Row],[Ubicación]],SAP[],5,FALSE),"")</f>
        <v>2606140120</v>
      </c>
      <c r="I422" s="42" t="str">
        <f>IFERROR(VLOOKUP(CANTIDAD[[#This Row],[Ubicación]],SAP[],6,FALSE),"")</f>
        <v>14/06/2029</v>
      </c>
      <c r="J422" s="11" t="str">
        <f>IFERROR(VLOOKUP(CANTIDAD[[#This Row],[Ubicación]],SAP[],7,FALSE),"")</f>
        <v>1F</v>
      </c>
      <c r="K422" s="11">
        <f>IFERROR(VLOOKUP(CANTIDAD[[#This Row],[Ubicación]],SAP[],10,FALSE),"")</f>
        <v>585</v>
      </c>
      <c r="L422" s="48">
        <f>IFERROR(VLOOKUP(CANTIDAD[[#This Row],[Producto]],MARA[],5,FALSE),"")</f>
        <v>5</v>
      </c>
      <c r="M422" s="48" t="str">
        <f>IFERROR(VLOOKUP(CANTIDAD[[#This Row],[Producto]],MARA[],4,FALSE),"")</f>
        <v>PQT</v>
      </c>
      <c r="N422" s="137" t="s">
        <v>4770</v>
      </c>
    </row>
    <row r="423" spans="1:14" hidden="1">
      <c r="A423" s="139" t="str">
        <f t="shared" si="6"/>
        <v>PASILLO 12</v>
      </c>
      <c r="B423" s="93" t="s">
        <v>4083</v>
      </c>
      <c r="C423" s="11">
        <f>IFERROR(VLOOKUP(CANTIDAD[[#This Row],[Ubicación]],SAP[],3,FALSE),"")</f>
        <v>8414037</v>
      </c>
      <c r="D423" s="30">
        <f>IFERROR(VLOOKUP(CANTIDAD[[#This Row],[Producto]],MARA[],3,FALSE),"")</f>
        <v>17750243079379</v>
      </c>
      <c r="E423" s="13" t="str">
        <f>IFERROR(VLOOKUP(CANTIDAD[[#This Row],[Ubicación]],SAP[],4,FALSE),"")</f>
        <v>DETER. SAPOLIO FLORAL 730GR 15BOL</v>
      </c>
      <c r="F423" s="13">
        <f>IFERROR(VLOOKUP(CANTIDAD[[#This Row],[Ubicación]],SAP[],8,FALSE),"")</f>
        <v>3</v>
      </c>
      <c r="G423" s="13" t="str">
        <f>IFERROR(VLOOKUP(CANTIDAD[[#This Row],[Ubicación]],SAP[],9,FALSE),"")</f>
        <v>PQT</v>
      </c>
      <c r="H423" s="13">
        <f>IFERROR(VLOOKUP(CANTIDAD[[#This Row],[Ubicación]],SAP[],5,FALSE),"")</f>
        <v>2608045030</v>
      </c>
      <c r="I423" s="43">
        <f>IFERROR(VLOOKUP(CANTIDAD[[#This Row],[Ubicación]],SAP[],6,FALSE),"")</f>
        <v>47216</v>
      </c>
      <c r="J423" s="13" t="str">
        <f>IFERROR(VLOOKUP(CANTIDAD[[#This Row],[Ubicación]],SAP[],7,FALSE),"")</f>
        <v>1F</v>
      </c>
      <c r="K423" s="14">
        <f>IFERROR(VLOOKUP(CANTIDAD[[#This Row],[Ubicación]],SAP[],10,FALSE),"")</f>
        <v>45</v>
      </c>
      <c r="L423" s="48">
        <f>IFERROR(VLOOKUP(CANTIDAD[[#This Row],[Producto]],MARA[],5,FALSE),"")</f>
        <v>5</v>
      </c>
      <c r="M423" s="48" t="str">
        <f>IFERROR(VLOOKUP(CANTIDAD[[#This Row],[Producto]],MARA[],4,FALSE),"")</f>
        <v>PQT</v>
      </c>
      <c r="N423" s="136" t="s">
        <v>4771</v>
      </c>
    </row>
    <row r="424" spans="1:14" hidden="1">
      <c r="A424" s="139" t="str">
        <f t="shared" si="6"/>
        <v>PASILLO 12</v>
      </c>
      <c r="B424" s="92" t="s">
        <v>4081</v>
      </c>
      <c r="C424" s="11">
        <f>IFERROR(VLOOKUP(CANTIDAD[[#This Row],[Ubicación]],SAP[],3,FALSE),"")</f>
        <v>8414036</v>
      </c>
      <c r="D424" s="29">
        <f>IFERROR(VLOOKUP(CANTIDAD[[#This Row],[Producto]],MARA[],3,FALSE),"")</f>
        <v>17750243079362</v>
      </c>
      <c r="E424" s="11" t="str">
        <f>IFERROR(VLOOKUP(CANTIDAD[[#This Row],[Ubicación]],SAP[],4,FALSE),"")</f>
        <v>DETER. SAPOLIO BEBE 730GR 15BOL</v>
      </c>
      <c r="F424" s="11">
        <f>IFERROR(VLOOKUP(CANTIDAD[[#This Row],[Ubicación]],SAP[],8,FALSE),"")</f>
        <v>4</v>
      </c>
      <c r="G424" s="11" t="str">
        <f>IFERROR(VLOOKUP(CANTIDAD[[#This Row],[Ubicación]],SAP[],9,FALSE),"")</f>
        <v>PQT</v>
      </c>
      <c r="H424" s="11">
        <f>IFERROR(VLOOKUP(CANTIDAD[[#This Row],[Ubicación]],SAP[],5,FALSE),"")</f>
        <v>2607095030</v>
      </c>
      <c r="I424" s="42">
        <f>IFERROR(VLOOKUP(CANTIDAD[[#This Row],[Ubicación]],SAP[],6,FALSE),"")</f>
        <v>47368</v>
      </c>
      <c r="J424" s="11" t="str">
        <f>IFERROR(VLOOKUP(CANTIDAD[[#This Row],[Ubicación]],SAP[],7,FALSE),"")</f>
        <v>1F</v>
      </c>
      <c r="K424" s="11">
        <f>IFERROR(VLOOKUP(CANTIDAD[[#This Row],[Ubicación]],SAP[],10,FALSE),"")</f>
        <v>60</v>
      </c>
      <c r="L424" s="48">
        <f>IFERROR(VLOOKUP(CANTIDAD[[#This Row],[Producto]],MARA[],5,FALSE),"")</f>
        <v>5</v>
      </c>
      <c r="M424" s="48" t="str">
        <f>IFERROR(VLOOKUP(CANTIDAD[[#This Row],[Producto]],MARA[],4,FALSE),"")</f>
        <v>PQT</v>
      </c>
      <c r="N424" s="136" t="s">
        <v>4772</v>
      </c>
    </row>
    <row r="425" spans="1:14" hidden="1">
      <c r="A425" s="139" t="str">
        <f t="shared" si="6"/>
        <v>PASILLO 12</v>
      </c>
      <c r="B425" s="93" t="s">
        <v>4017</v>
      </c>
      <c r="C425" s="11">
        <f>IFERROR(VLOOKUP(CANTIDAD[[#This Row],[Ubicación]],SAP[],3,FALSE),"")</f>
        <v>8410221</v>
      </c>
      <c r="D425" s="30">
        <f>IFERROR(VLOOKUP(CANTIDAD[[#This Row],[Producto]],MARA[],3,FALSE),"")</f>
        <v>37750243079359</v>
      </c>
      <c r="E425" s="13" t="str">
        <f>IFERROR(VLOOKUP(CANTIDAD[[#This Row],[Ubicación]],SAP[],4,FALSE),"")</f>
        <v>DETER. SAPOLIO LIMON 730GR 15BOL CP</v>
      </c>
      <c r="F425" s="13">
        <f>IFERROR(VLOOKUP(CANTIDAD[[#This Row],[Ubicación]],SAP[],8,FALSE),"")</f>
        <v>28</v>
      </c>
      <c r="G425" s="13" t="str">
        <f>IFERROR(VLOOKUP(CANTIDAD[[#This Row],[Ubicación]],SAP[],9,FALSE),"")</f>
        <v>PQT</v>
      </c>
      <c r="H425" s="13">
        <f>IFERROR(VLOOKUP(CANTIDAD[[#This Row],[Ubicación]],SAP[],5,FALSE),"")</f>
        <v>2608160120</v>
      </c>
      <c r="I425" s="43" t="str">
        <f>IFERROR(VLOOKUP(CANTIDAD[[#This Row],[Ubicación]],SAP[],6,FALSE),"")</f>
        <v>16/08/2029</v>
      </c>
      <c r="J425" s="13" t="str">
        <f>IFERROR(VLOOKUP(CANTIDAD[[#This Row],[Ubicación]],SAP[],7,FALSE),"")</f>
        <v>1F</v>
      </c>
      <c r="K425" s="14">
        <f>IFERROR(VLOOKUP(CANTIDAD[[#This Row],[Ubicación]],SAP[],10,FALSE),"")</f>
        <v>420</v>
      </c>
      <c r="L425" s="48">
        <f>IFERROR(VLOOKUP(CANTIDAD[[#This Row],[Producto]],MARA[],5,FALSE),"")</f>
        <v>5</v>
      </c>
      <c r="M425" s="48" t="str">
        <f>IFERROR(VLOOKUP(CANTIDAD[[#This Row],[Producto]],MARA[],4,FALSE),"")</f>
        <v>PQT</v>
      </c>
      <c r="N425" s="136" t="s">
        <v>4773</v>
      </c>
    </row>
    <row r="426" spans="1:14" hidden="1">
      <c r="A426" s="139" t="str">
        <f t="shared" si="6"/>
        <v>PASILLO 12</v>
      </c>
      <c r="B426" s="92" t="s">
        <v>4774</v>
      </c>
      <c r="C426" s="11" t="str">
        <f>IFERROR(VLOOKUP(CANTIDAD[[#This Row],[Ubicación]],SAP[],3,FALSE),"")</f>
        <v/>
      </c>
      <c r="D426" s="29" t="str">
        <f>IFERROR(VLOOKUP(CANTIDAD[[#This Row],[Producto]],MARA[],3,FALSE),"")</f>
        <v/>
      </c>
      <c r="E426" s="11" t="str">
        <f>IFERROR(VLOOKUP(CANTIDAD[[#This Row],[Ubicación]],SAP[],4,FALSE),"")</f>
        <v/>
      </c>
      <c r="F426" s="11" t="str">
        <f>IFERROR(VLOOKUP(CANTIDAD[[#This Row],[Ubicación]],SAP[],8,FALSE),"")</f>
        <v/>
      </c>
      <c r="G426" s="11" t="str">
        <f>IFERROR(VLOOKUP(CANTIDAD[[#This Row],[Ubicación]],SAP[],9,FALSE),"")</f>
        <v/>
      </c>
      <c r="H426" s="11" t="str">
        <f>IFERROR(VLOOKUP(CANTIDAD[[#This Row],[Ubicación]],SAP[],5,FALSE),"")</f>
        <v/>
      </c>
      <c r="I426" s="42" t="str">
        <f>IFERROR(VLOOKUP(CANTIDAD[[#This Row],[Ubicación]],SAP[],6,FALSE),"")</f>
        <v/>
      </c>
      <c r="J426" s="11" t="str">
        <f>IFERROR(VLOOKUP(CANTIDAD[[#This Row],[Ubicación]],SAP[],7,FALSE),"")</f>
        <v/>
      </c>
      <c r="K426" s="11" t="str">
        <f>IFERROR(VLOOKUP(CANTIDAD[[#This Row],[Ubicación]],SAP[],10,FALSE),"")</f>
        <v/>
      </c>
      <c r="L426" s="48" t="str">
        <f>IFERROR(VLOOKUP(CANTIDAD[[#This Row],[Producto]],MARA[],5,FALSE),"")</f>
        <v/>
      </c>
      <c r="M426" s="48" t="str">
        <f>IFERROR(VLOOKUP(CANTIDAD[[#This Row],[Producto]],MARA[],4,FALSE),"")</f>
        <v/>
      </c>
      <c r="N426" s="136" t="s">
        <v>4775</v>
      </c>
    </row>
    <row r="427" spans="1:14" hidden="1">
      <c r="A427" s="139" t="str">
        <f t="shared" si="6"/>
        <v>PASILLO 12</v>
      </c>
      <c r="B427" s="93" t="s">
        <v>4068</v>
      </c>
      <c r="C427" s="11">
        <f>IFERROR(VLOOKUP(CANTIDAD[[#This Row],[Ubicación]],SAP[],3,FALSE),"")</f>
        <v>8412074</v>
      </c>
      <c r="D427" s="30">
        <f>IFERROR(VLOOKUP(CANTIDAD[[#This Row],[Producto]],MARA[],3,FALSE),"")</f>
        <v>27750243079741</v>
      </c>
      <c r="E427" s="13" t="str">
        <f>IFERROR(VLOOKUP(CANTIDAD[[#This Row],[Ubicación]],SAP[],4,FALSE),"")</f>
        <v>DET.PATITO BICARB.LIMÓN 2x5.5KG.1PQT PE</v>
      </c>
      <c r="F427" s="13">
        <f>IFERROR(VLOOKUP(CANTIDAD[[#This Row],[Ubicación]],SAP[],8,FALSE),"")</f>
        <v>16</v>
      </c>
      <c r="G427" s="13" t="str">
        <f>IFERROR(VLOOKUP(CANTIDAD[[#This Row],[Ubicación]],SAP[],9,FALSE),"")</f>
        <v>UND</v>
      </c>
      <c r="H427" s="13">
        <f>IFERROR(VLOOKUP(CANTIDAD[[#This Row],[Ubicación]],SAP[],5,FALSE),"")</f>
        <v>2607250120</v>
      </c>
      <c r="I427" s="43" t="str">
        <f>IFERROR(VLOOKUP(CANTIDAD[[#This Row],[Ubicación]],SAP[],6,FALSE),"")</f>
        <v>25/07/2029</v>
      </c>
      <c r="J427" s="13" t="str">
        <f>IFERROR(VLOOKUP(CANTIDAD[[#This Row],[Ubicación]],SAP[],7,FALSE),"")</f>
        <v>1F</v>
      </c>
      <c r="K427" s="14">
        <f>IFERROR(VLOOKUP(CANTIDAD[[#This Row],[Ubicación]],SAP[],10,FALSE),"")</f>
        <v>16</v>
      </c>
      <c r="L427" s="48">
        <f>IFERROR(VLOOKUP(CANTIDAD[[#This Row],[Producto]],MARA[],5,FALSE),"")</f>
        <v>5</v>
      </c>
      <c r="M427" s="48" t="str">
        <f>IFERROR(VLOOKUP(CANTIDAD[[#This Row],[Producto]],MARA[],4,FALSE),"")</f>
        <v>UND</v>
      </c>
      <c r="N427" s="136" t="s">
        <v>4776</v>
      </c>
    </row>
    <row r="428" spans="1:14" hidden="1">
      <c r="A428" s="139" t="str">
        <f t="shared" si="6"/>
        <v>PASILLO 12</v>
      </c>
      <c r="B428" s="92" t="s">
        <v>4064</v>
      </c>
      <c r="C428" s="11">
        <f>IFERROR(VLOOKUP(CANTIDAD[[#This Row],[Ubicación]],SAP[],3,FALSE),"")</f>
        <v>8412073</v>
      </c>
      <c r="D428" s="29">
        <f>IFERROR(VLOOKUP(CANTIDAD[[#This Row],[Producto]],MARA[],3,FALSE),"")</f>
        <v>27750243079758</v>
      </c>
      <c r="E428" s="11" t="str">
        <f>IFERROR(VLOOKUP(CANTIDAD[[#This Row],[Ubicación]],SAP[],4,FALSE),"")</f>
        <v>DET.PATITO BICARB.FLORAL 2x5.5KG.1PQT PE</v>
      </c>
      <c r="F428" s="11">
        <f>IFERROR(VLOOKUP(CANTIDAD[[#This Row],[Ubicación]],SAP[],8,FALSE),"")</f>
        <v>23</v>
      </c>
      <c r="G428" s="11" t="str">
        <f>IFERROR(VLOOKUP(CANTIDAD[[#This Row],[Ubicación]],SAP[],9,FALSE),"")</f>
        <v>UND</v>
      </c>
      <c r="H428" s="11">
        <f>IFERROR(VLOOKUP(CANTIDAD[[#This Row],[Ubicación]],SAP[],5,FALSE),"")</f>
        <v>2607215030</v>
      </c>
      <c r="I428" s="42" t="str">
        <f>IFERROR(VLOOKUP(CANTIDAD[[#This Row],[Ubicación]],SAP[],6,FALSE),"")</f>
        <v>21/07/2029</v>
      </c>
      <c r="J428" s="11" t="str">
        <f>IFERROR(VLOOKUP(CANTIDAD[[#This Row],[Ubicación]],SAP[],7,FALSE),"")</f>
        <v>1F</v>
      </c>
      <c r="K428" s="11">
        <f>IFERROR(VLOOKUP(CANTIDAD[[#This Row],[Ubicación]],SAP[],10,FALSE),"")</f>
        <v>23</v>
      </c>
      <c r="L428" s="48">
        <f>IFERROR(VLOOKUP(CANTIDAD[[#This Row],[Producto]],MARA[],5,FALSE),"")</f>
        <v>5</v>
      </c>
      <c r="M428" s="48" t="str">
        <f>IFERROR(VLOOKUP(CANTIDAD[[#This Row],[Producto]],MARA[],4,FALSE),"")</f>
        <v>UND</v>
      </c>
      <c r="N428" s="136" t="s">
        <v>4777</v>
      </c>
    </row>
    <row r="429" spans="1:14" hidden="1">
      <c r="A429" s="139" t="str">
        <f t="shared" si="6"/>
        <v>PASILLO 12</v>
      </c>
      <c r="B429" s="93" t="s">
        <v>4048</v>
      </c>
      <c r="C429" s="11">
        <f>IFERROR(VLOOKUP(CANTIDAD[[#This Row],[Ubicación]],SAP[],3,FALSE),"")</f>
        <v>8412045</v>
      </c>
      <c r="D429" s="30">
        <f>IFERROR(VLOOKUP(CANTIDAD[[#This Row],[Producto]],MARA[],3,FALSE),"")</f>
        <v>17750243079751</v>
      </c>
      <c r="E429" s="13" t="str">
        <f>IFERROR(VLOOKUP(CANTIDAD[[#This Row],[Ubicación]],SAP[],4,FALSE),"")</f>
        <v>DETER.PATITO BICARB.FLORAL 5.5KG.2BOL PE</v>
      </c>
      <c r="F429" s="13">
        <f>IFERROR(VLOOKUP(CANTIDAD[[#This Row],[Ubicación]],SAP[],8,FALSE),"")</f>
        <v>5</v>
      </c>
      <c r="G429" s="13" t="str">
        <f>IFERROR(VLOOKUP(CANTIDAD[[#This Row],[Ubicación]],SAP[],9,FALSE),"")</f>
        <v>PQT</v>
      </c>
      <c r="H429" s="13">
        <f>IFERROR(VLOOKUP(CANTIDAD[[#This Row],[Ubicación]],SAP[],5,FALSE),"")</f>
        <v>2608205030</v>
      </c>
      <c r="I429" s="43" t="str">
        <f>IFERROR(VLOOKUP(CANTIDAD[[#This Row],[Ubicación]],SAP[],6,FALSE),"")</f>
        <v>20/08/2029</v>
      </c>
      <c r="J429" s="13" t="str">
        <f>IFERROR(VLOOKUP(CANTIDAD[[#This Row],[Ubicación]],SAP[],7,FALSE),"")</f>
        <v>1F</v>
      </c>
      <c r="K429" s="14">
        <f>IFERROR(VLOOKUP(CANTIDAD[[#This Row],[Ubicación]],SAP[],10,FALSE),"")</f>
        <v>10</v>
      </c>
      <c r="L429" s="48">
        <f>IFERROR(VLOOKUP(CANTIDAD[[#This Row],[Producto]],MARA[],5,FALSE),"")</f>
        <v>5</v>
      </c>
      <c r="M429" s="48" t="str">
        <f>IFERROR(VLOOKUP(CANTIDAD[[#This Row],[Producto]],MARA[],4,FALSE),"")</f>
        <v>PQT</v>
      </c>
      <c r="N429" s="136" t="s">
        <v>4778</v>
      </c>
    </row>
    <row r="430" spans="1:14" hidden="1">
      <c r="A430" s="139" t="str">
        <f t="shared" si="6"/>
        <v>PASILLO 12</v>
      </c>
      <c r="B430" s="92" t="s">
        <v>4050</v>
      </c>
      <c r="C430" s="11">
        <f>IFERROR(VLOOKUP(CANTIDAD[[#This Row],[Ubicación]],SAP[],3,FALSE),"")</f>
        <v>8412045</v>
      </c>
      <c r="D430" s="29">
        <f>IFERROR(VLOOKUP(CANTIDAD[[#This Row],[Producto]],MARA[],3,FALSE),"")</f>
        <v>17750243079751</v>
      </c>
      <c r="E430" s="11" t="str">
        <f>IFERROR(VLOOKUP(CANTIDAD[[#This Row],[Ubicación]],SAP[],4,FALSE),"")</f>
        <v>DETER.PATITO BICARB.FLORAL 5.5KG.2BOL PE</v>
      </c>
      <c r="F430" s="11">
        <f>IFERROR(VLOOKUP(CANTIDAD[[#This Row],[Ubicación]],SAP[],8,FALSE),"")</f>
        <v>26</v>
      </c>
      <c r="G430" s="11" t="str">
        <f>IFERROR(VLOOKUP(CANTIDAD[[#This Row],[Ubicación]],SAP[],9,FALSE),"")</f>
        <v>PQT</v>
      </c>
      <c r="H430" s="11">
        <f>IFERROR(VLOOKUP(CANTIDAD[[#This Row],[Ubicación]],SAP[],5,FALSE),"")</f>
        <v>2608205030</v>
      </c>
      <c r="I430" s="42" t="str">
        <f>IFERROR(VLOOKUP(CANTIDAD[[#This Row],[Ubicación]],SAP[],6,FALSE),"")</f>
        <v>20/08/2029</v>
      </c>
      <c r="J430" s="11" t="str">
        <f>IFERROR(VLOOKUP(CANTIDAD[[#This Row],[Ubicación]],SAP[],7,FALSE),"")</f>
        <v>1F</v>
      </c>
      <c r="K430" s="11">
        <f>IFERROR(VLOOKUP(CANTIDAD[[#This Row],[Ubicación]],SAP[],10,FALSE),"")</f>
        <v>52</v>
      </c>
      <c r="L430" s="48">
        <f>IFERROR(VLOOKUP(CANTIDAD[[#This Row],[Producto]],MARA[],5,FALSE),"")</f>
        <v>5</v>
      </c>
      <c r="M430" s="48" t="str">
        <f>IFERROR(VLOOKUP(CANTIDAD[[#This Row],[Producto]],MARA[],4,FALSE),"")</f>
        <v>PQT</v>
      </c>
      <c r="N430" s="136" t="s">
        <v>4779</v>
      </c>
    </row>
    <row r="431" spans="1:14" hidden="1">
      <c r="A431" s="139" t="str">
        <f t="shared" si="6"/>
        <v>PASILLO 12</v>
      </c>
      <c r="B431" s="93" t="s">
        <v>4044</v>
      </c>
      <c r="C431" s="11">
        <f>IFERROR(VLOOKUP(CANTIDAD[[#This Row],[Ubicación]],SAP[],3,FALSE),"")</f>
        <v>8412044</v>
      </c>
      <c r="D431" s="30">
        <f>IFERROR(VLOOKUP(CANTIDAD[[#This Row],[Producto]],MARA[],3,FALSE),"")</f>
        <v>17750243079744</v>
      </c>
      <c r="E431" s="13" t="str">
        <f>IFERROR(VLOOKUP(CANTIDAD[[#This Row],[Ubicación]],SAP[],4,FALSE),"")</f>
        <v>DETER.PATITO BICARB.LIMON 5.5KG.2BOL PE</v>
      </c>
      <c r="F431" s="13">
        <f>IFERROR(VLOOKUP(CANTIDAD[[#This Row],[Ubicación]],SAP[],8,FALSE),"")</f>
        <v>33</v>
      </c>
      <c r="G431" s="13" t="str">
        <f>IFERROR(VLOOKUP(CANTIDAD[[#This Row],[Ubicación]],SAP[],9,FALSE),"")</f>
        <v>PQT</v>
      </c>
      <c r="H431" s="13">
        <f>IFERROR(VLOOKUP(CANTIDAD[[#This Row],[Ubicación]],SAP[],5,FALSE),"")</f>
        <v>2607140120</v>
      </c>
      <c r="I431" s="43" t="str">
        <f>IFERROR(VLOOKUP(CANTIDAD[[#This Row],[Ubicación]],SAP[],6,FALSE),"")</f>
        <v>14/07/2029</v>
      </c>
      <c r="J431" s="13" t="str">
        <f>IFERROR(VLOOKUP(CANTIDAD[[#This Row],[Ubicación]],SAP[],7,FALSE),"")</f>
        <v>1F</v>
      </c>
      <c r="K431" s="14">
        <f>IFERROR(VLOOKUP(CANTIDAD[[#This Row],[Ubicación]],SAP[],10,FALSE),"")</f>
        <v>66</v>
      </c>
      <c r="L431" s="48">
        <f>IFERROR(VLOOKUP(CANTIDAD[[#This Row],[Producto]],MARA[],5,FALSE),"")</f>
        <v>5</v>
      </c>
      <c r="M431" s="48" t="str">
        <f>IFERROR(VLOOKUP(CANTIDAD[[#This Row],[Producto]],MARA[],4,FALSE),"")</f>
        <v>PQT</v>
      </c>
      <c r="N431" s="137" t="s">
        <v>4780</v>
      </c>
    </row>
    <row r="432" spans="1:14" hidden="1">
      <c r="A432" s="139" t="str">
        <f t="shared" si="6"/>
        <v>PASILLO 12</v>
      </c>
      <c r="B432" s="92" t="s">
        <v>4046</v>
      </c>
      <c r="C432" s="11">
        <f>IFERROR(VLOOKUP(CANTIDAD[[#This Row],[Ubicación]],SAP[],3,FALSE),"")</f>
        <v>8412044</v>
      </c>
      <c r="D432" s="29">
        <f>IFERROR(VLOOKUP(CANTIDAD[[#This Row],[Producto]],MARA[],3,FALSE),"")</f>
        <v>17750243079744</v>
      </c>
      <c r="E432" s="11" t="str">
        <f>IFERROR(VLOOKUP(CANTIDAD[[#This Row],[Ubicación]],SAP[],4,FALSE),"")</f>
        <v>DETER.PATITO BICARB.LIMON 5.5KG.2BOL PE</v>
      </c>
      <c r="F432" s="11">
        <f>IFERROR(VLOOKUP(CANTIDAD[[#This Row],[Ubicación]],SAP[],8,FALSE),"")</f>
        <v>14</v>
      </c>
      <c r="G432" s="11" t="str">
        <f>IFERROR(VLOOKUP(CANTIDAD[[#This Row],[Ubicación]],SAP[],9,FALSE),"")</f>
        <v>PQT</v>
      </c>
      <c r="H432" s="11">
        <f>IFERROR(VLOOKUP(CANTIDAD[[#This Row],[Ubicación]],SAP[],5,FALSE),"")</f>
        <v>2607140120</v>
      </c>
      <c r="I432" s="42" t="str">
        <f>IFERROR(VLOOKUP(CANTIDAD[[#This Row],[Ubicación]],SAP[],6,FALSE),"")</f>
        <v>14/07/2029</v>
      </c>
      <c r="J432" s="11" t="str">
        <f>IFERROR(VLOOKUP(CANTIDAD[[#This Row],[Ubicación]],SAP[],7,FALSE),"")</f>
        <v>1F</v>
      </c>
      <c r="K432" s="11">
        <f>IFERROR(VLOOKUP(CANTIDAD[[#This Row],[Ubicación]],SAP[],10,FALSE),"")</f>
        <v>28</v>
      </c>
      <c r="L432" s="48">
        <f>IFERROR(VLOOKUP(CANTIDAD[[#This Row],[Producto]],MARA[],5,FALSE),"")</f>
        <v>5</v>
      </c>
      <c r="M432" s="48" t="str">
        <f>IFERROR(VLOOKUP(CANTIDAD[[#This Row],[Producto]],MARA[],4,FALSE),"")</f>
        <v>PQT</v>
      </c>
      <c r="N432" s="136" t="s">
        <v>4781</v>
      </c>
    </row>
    <row r="433" spans="1:14" hidden="1">
      <c r="A433" s="139" t="str">
        <f t="shared" si="6"/>
        <v>PASILLO 12</v>
      </c>
      <c r="B433" s="93" t="s">
        <v>4782</v>
      </c>
      <c r="C433" s="11" t="str">
        <f>IFERROR(VLOOKUP(CANTIDAD[[#This Row],[Ubicación]],SAP[],3,FALSE),"")</f>
        <v/>
      </c>
      <c r="D433" s="30" t="str">
        <f>IFERROR(VLOOKUP(CANTIDAD[[#This Row],[Producto]],MARA[],3,FALSE),"")</f>
        <v/>
      </c>
      <c r="E433" s="13" t="str">
        <f>IFERROR(VLOOKUP(CANTIDAD[[#This Row],[Ubicación]],SAP[],4,FALSE),"")</f>
        <v/>
      </c>
      <c r="F433" s="13" t="str">
        <f>IFERROR(VLOOKUP(CANTIDAD[[#This Row],[Ubicación]],SAP[],8,FALSE),"")</f>
        <v/>
      </c>
      <c r="G433" s="13" t="str">
        <f>IFERROR(VLOOKUP(CANTIDAD[[#This Row],[Ubicación]],SAP[],9,FALSE),"")</f>
        <v/>
      </c>
      <c r="H433" s="13" t="str">
        <f>IFERROR(VLOOKUP(CANTIDAD[[#This Row],[Ubicación]],SAP[],5,FALSE),"")</f>
        <v/>
      </c>
      <c r="I433" s="43" t="str">
        <f>IFERROR(VLOOKUP(CANTIDAD[[#This Row],[Ubicación]],SAP[],6,FALSE),"")</f>
        <v/>
      </c>
      <c r="J433" s="13" t="str">
        <f>IFERROR(VLOOKUP(CANTIDAD[[#This Row],[Ubicación]],SAP[],7,FALSE),"")</f>
        <v/>
      </c>
      <c r="K433" s="14" t="str">
        <f>IFERROR(VLOOKUP(CANTIDAD[[#This Row],[Ubicación]],SAP[],10,FALSE),"")</f>
        <v/>
      </c>
      <c r="L433" s="48" t="str">
        <f>IFERROR(VLOOKUP(CANTIDAD[[#This Row],[Producto]],MARA[],5,FALSE),"")</f>
        <v/>
      </c>
      <c r="M433" s="48" t="str">
        <f>IFERROR(VLOOKUP(CANTIDAD[[#This Row],[Producto]],MARA[],4,FALSE),"")</f>
        <v/>
      </c>
      <c r="N433" s="136" t="s">
        <v>4783</v>
      </c>
    </row>
    <row r="434" spans="1:14" hidden="1">
      <c r="A434" s="139" t="str">
        <f t="shared" si="6"/>
        <v>PASILLO 12</v>
      </c>
      <c r="B434" s="92" t="s">
        <v>3955</v>
      </c>
      <c r="C434" s="11">
        <f>IFERROR(VLOOKUP(CANTIDAD[[#This Row],[Ubicación]],SAP[],3,FALSE),"")</f>
        <v>8406156</v>
      </c>
      <c r="D434" s="29">
        <f>IFERROR(VLOOKUP(CANTIDAD[[#This Row],[Producto]],MARA[],3,FALSE),"")</f>
        <v>17750243080719</v>
      </c>
      <c r="E434" s="11" t="str">
        <f>IFERROR(VLOOKUP(CANTIDAD[[#This Row],[Ubicación]],SAP[],4,FALSE),"")</f>
        <v>DET. OPAL BLANCOS 730GR.15BOL</v>
      </c>
      <c r="F434" s="11">
        <f>IFERROR(VLOOKUP(CANTIDAD[[#This Row],[Ubicación]],SAP[],8,FALSE),"")</f>
        <v>29</v>
      </c>
      <c r="G434" s="11" t="str">
        <f>IFERROR(VLOOKUP(CANTIDAD[[#This Row],[Ubicación]],SAP[],9,FALSE),"")</f>
        <v>PQT</v>
      </c>
      <c r="H434" s="11">
        <f>IFERROR(VLOOKUP(CANTIDAD[[#This Row],[Ubicación]],SAP[],5,FALSE),"")</f>
        <v>2608110120</v>
      </c>
      <c r="I434" s="42">
        <f>IFERROR(VLOOKUP(CANTIDAD[[#This Row],[Ubicación]],SAP[],6,FALSE),"")</f>
        <v>47065</v>
      </c>
      <c r="J434" s="11" t="str">
        <f>IFERROR(VLOOKUP(CANTIDAD[[#This Row],[Ubicación]],SAP[],7,FALSE),"")</f>
        <v>1F</v>
      </c>
      <c r="K434" s="11">
        <f>IFERROR(VLOOKUP(CANTIDAD[[#This Row],[Ubicación]],SAP[],10,FALSE),"")</f>
        <v>435</v>
      </c>
      <c r="L434" s="48">
        <f>IFERROR(VLOOKUP(CANTIDAD[[#This Row],[Producto]],MARA[],5,FALSE),"")</f>
        <v>5</v>
      </c>
      <c r="M434" s="48" t="str">
        <f>IFERROR(VLOOKUP(CANTIDAD[[#This Row],[Producto]],MARA[],4,FALSE),"")</f>
        <v>PQT</v>
      </c>
      <c r="N434" s="136" t="s">
        <v>4784</v>
      </c>
    </row>
    <row r="435" spans="1:14" hidden="1">
      <c r="A435" s="139" t="str">
        <f t="shared" si="6"/>
        <v>PASILLO 12</v>
      </c>
      <c r="B435" s="93" t="s">
        <v>3814</v>
      </c>
      <c r="C435" s="11">
        <f>IFERROR(VLOOKUP(CANTIDAD[[#This Row],[Ubicación]],SAP[],3,FALSE),"")</f>
        <v>8400641</v>
      </c>
      <c r="D435" s="30">
        <f>IFERROR(VLOOKUP(CANTIDAD[[#This Row],[Producto]],MARA[],3,FALSE),"")</f>
        <v>17750243079119</v>
      </c>
      <c r="E435" s="13" t="str">
        <f>IFERROR(VLOOKUP(CANTIDAD[[#This Row],[Ubicación]],SAP[],4,FALSE),"")</f>
        <v>DET. BOLIVAR BEBES NIÑOS 730GR.15BOL</v>
      </c>
      <c r="F435" s="13">
        <f>IFERROR(VLOOKUP(CANTIDAD[[#This Row],[Ubicación]],SAP[],8,FALSE),"")</f>
        <v>8</v>
      </c>
      <c r="G435" s="13" t="str">
        <f>IFERROR(VLOOKUP(CANTIDAD[[#This Row],[Ubicación]],SAP[],9,FALSE),"")</f>
        <v>PQT</v>
      </c>
      <c r="H435" s="13">
        <f>IFERROR(VLOOKUP(CANTIDAD[[#This Row],[Ubicación]],SAP[],5,FALSE),"")</f>
        <v>2608070120</v>
      </c>
      <c r="I435" s="43">
        <f>IFERROR(VLOOKUP(CANTIDAD[[#This Row],[Ubicación]],SAP[],6,FALSE),"")</f>
        <v>46942</v>
      </c>
      <c r="J435" s="13" t="str">
        <f>IFERROR(VLOOKUP(CANTIDAD[[#This Row],[Ubicación]],SAP[],7,FALSE),"")</f>
        <v>1F</v>
      </c>
      <c r="K435" s="14">
        <f>IFERROR(VLOOKUP(CANTIDAD[[#This Row],[Ubicación]],SAP[],10,FALSE),"")</f>
        <v>120</v>
      </c>
      <c r="L435" s="48">
        <f>IFERROR(VLOOKUP(CANTIDAD[[#This Row],[Producto]],MARA[],5,FALSE),"")</f>
        <v>5</v>
      </c>
      <c r="M435" s="48" t="str">
        <f>IFERROR(VLOOKUP(CANTIDAD[[#This Row],[Producto]],MARA[],4,FALSE),"")</f>
        <v>PQT</v>
      </c>
      <c r="N435" s="136" t="s">
        <v>4785</v>
      </c>
    </row>
    <row r="436" spans="1:14" hidden="1">
      <c r="A436" s="139" t="str">
        <f t="shared" si="6"/>
        <v>PASILLO 12</v>
      </c>
      <c r="B436" s="92" t="s">
        <v>3847</v>
      </c>
      <c r="C436" s="11">
        <f>IFERROR(VLOOKUP(CANTIDAD[[#This Row],[Ubicación]],SAP[],3,FALSE),"")</f>
        <v>8400692</v>
      </c>
      <c r="D436" s="29">
        <f>IFERROR(VLOOKUP(CANTIDAD[[#This Row],[Producto]],MARA[],3,FALSE),"")</f>
        <v>37750243079113</v>
      </c>
      <c r="E436" s="11" t="str">
        <f>IFERROR(VLOOKUP(CANTIDAD[[#This Row],[Ubicación]],SAP[],4,FALSE),"")</f>
        <v>DET. BOLIVAR BEBES NIÑOS 730GR.15BOL CP</v>
      </c>
      <c r="F436" s="11">
        <f>IFERROR(VLOOKUP(CANTIDAD[[#This Row],[Ubicación]],SAP[],8,FALSE),"")</f>
        <v>1</v>
      </c>
      <c r="G436" s="11" t="str">
        <f>IFERROR(VLOOKUP(CANTIDAD[[#This Row],[Ubicación]],SAP[],9,FALSE),"")</f>
        <v>PQT</v>
      </c>
      <c r="H436" s="11">
        <f>IFERROR(VLOOKUP(CANTIDAD[[#This Row],[Ubicación]],SAP[],5,FALSE),"")</f>
        <v>2608280120</v>
      </c>
      <c r="I436" s="42" t="str">
        <f>IFERROR(VLOOKUP(CANTIDAD[[#This Row],[Ubicación]],SAP[],6,FALSE),"")</f>
        <v>28/08/2028</v>
      </c>
      <c r="J436" s="11" t="str">
        <f>IFERROR(VLOOKUP(CANTIDAD[[#This Row],[Ubicación]],SAP[],7,FALSE),"")</f>
        <v>1F</v>
      </c>
      <c r="K436" s="11">
        <f>IFERROR(VLOOKUP(CANTIDAD[[#This Row],[Ubicación]],SAP[],10,FALSE),"")</f>
        <v>15</v>
      </c>
      <c r="L436" s="48">
        <f>IFERROR(VLOOKUP(CANTIDAD[[#This Row],[Producto]],MARA[],5,FALSE),"")</f>
        <v>5</v>
      </c>
      <c r="M436" s="48" t="str">
        <f>IFERROR(VLOOKUP(CANTIDAD[[#This Row],[Producto]],MARA[],4,FALSE),"")</f>
        <v>PQT</v>
      </c>
      <c r="N436" s="136" t="s">
        <v>4786</v>
      </c>
    </row>
    <row r="437" spans="1:14" hidden="1">
      <c r="A437" s="139" t="str">
        <f t="shared" si="6"/>
        <v>PASILLO 12</v>
      </c>
      <c r="B437" s="93" t="s">
        <v>3232</v>
      </c>
      <c r="C437" s="11">
        <f>IFERROR(VLOOKUP(CANTIDAD[[#This Row],[Ubicación]],SAP[],3,FALSE),"")</f>
        <v>8303020</v>
      </c>
      <c r="D437" s="30">
        <f>IFERROR(VLOOKUP(CANTIDAD[[#This Row],[Producto]],MARA[],3,FALSE),"")</f>
        <v>17751851025260</v>
      </c>
      <c r="E437" s="13" t="str">
        <f>IFERROR(VLOOKUP(CANTIDAD[[#This Row],[Ubicación]],SAP[],4,FALSE),"")</f>
        <v>DETERG.AMDC/ASA FLORAL SAPOLIO 6KG 2UND</v>
      </c>
      <c r="F437" s="13">
        <f>IFERROR(VLOOKUP(CANTIDAD[[#This Row],[Ubicación]],SAP[],8,FALSE),"")</f>
        <v>13</v>
      </c>
      <c r="G437" s="13" t="str">
        <f>IFERROR(VLOOKUP(CANTIDAD[[#This Row],[Ubicación]],SAP[],9,FALSE),"")</f>
        <v>PQT</v>
      </c>
      <c r="H437" s="13">
        <f>IFERROR(VLOOKUP(CANTIDAD[[#This Row],[Ubicación]],SAP[],5,FALSE),"")</f>
        <v>2607025030</v>
      </c>
      <c r="I437" s="43">
        <f>IFERROR(VLOOKUP(CANTIDAD[[#This Row],[Ubicación]],SAP[],6,FALSE),"")</f>
        <v>47156</v>
      </c>
      <c r="J437" s="13" t="str">
        <f>IFERROR(VLOOKUP(CANTIDAD[[#This Row],[Ubicación]],SAP[],7,FALSE),"")</f>
        <v>1F</v>
      </c>
      <c r="K437" s="14">
        <f>IFERROR(VLOOKUP(CANTIDAD[[#This Row],[Ubicación]],SAP[],10,FALSE),"")</f>
        <v>26</v>
      </c>
      <c r="L437" s="48">
        <f>IFERROR(VLOOKUP(CANTIDAD[[#This Row],[Producto]],MARA[],5,FALSE),"")</f>
        <v>4</v>
      </c>
      <c r="M437" s="48" t="str">
        <f>IFERROR(VLOOKUP(CANTIDAD[[#This Row],[Producto]],MARA[],4,FALSE),"")</f>
        <v>PQT</v>
      </c>
      <c r="N437" s="136" t="s">
        <v>4787</v>
      </c>
    </row>
    <row r="438" spans="1:14" hidden="1">
      <c r="A438" s="139" t="str">
        <f t="shared" si="6"/>
        <v>PASILLO 12</v>
      </c>
      <c r="B438" s="92" t="s">
        <v>3845</v>
      </c>
      <c r="C438" s="11">
        <f>IFERROR(VLOOKUP(CANTIDAD[[#This Row],[Ubicación]],SAP[],3,FALSE),"")</f>
        <v>8400691</v>
      </c>
      <c r="D438" s="29">
        <f>IFERROR(VLOOKUP(CANTIDAD[[#This Row],[Producto]],MARA[],3,FALSE),"")</f>
        <v>37750243079038</v>
      </c>
      <c r="E438" s="11" t="str">
        <f>IFERROR(VLOOKUP(CANTIDAD[[#This Row],[Ubicación]],SAP[],4,FALSE),"")</f>
        <v>DET. BOLIVAR BEBES NIÑOS 1.5KG.8BOL CP</v>
      </c>
      <c r="F438" s="11">
        <f>IFERROR(VLOOKUP(CANTIDAD[[#This Row],[Ubicación]],SAP[],8,FALSE),"")</f>
        <v>22</v>
      </c>
      <c r="G438" s="11" t="str">
        <f>IFERROR(VLOOKUP(CANTIDAD[[#This Row],[Ubicación]],SAP[],9,FALSE),"")</f>
        <v>PQT</v>
      </c>
      <c r="H438" s="11">
        <f>IFERROR(VLOOKUP(CANTIDAD[[#This Row],[Ubicación]],SAP[],5,FALSE),"")</f>
        <v>2607110120</v>
      </c>
      <c r="I438" s="42">
        <f>IFERROR(VLOOKUP(CANTIDAD[[#This Row],[Ubicación]],SAP[],6,FALSE),"")</f>
        <v>47064</v>
      </c>
      <c r="J438" s="11" t="str">
        <f>IFERROR(VLOOKUP(CANTIDAD[[#This Row],[Ubicación]],SAP[],7,FALSE),"")</f>
        <v>1F</v>
      </c>
      <c r="K438" s="11">
        <f>IFERROR(VLOOKUP(CANTIDAD[[#This Row],[Ubicación]],SAP[],10,FALSE),"")</f>
        <v>176</v>
      </c>
      <c r="L438" s="48">
        <f>IFERROR(VLOOKUP(CANTIDAD[[#This Row],[Producto]],MARA[],5,FALSE),"")</f>
        <v>5</v>
      </c>
      <c r="M438" s="48" t="str">
        <f>IFERROR(VLOOKUP(CANTIDAD[[#This Row],[Producto]],MARA[],4,FALSE),"")</f>
        <v>PQT</v>
      </c>
      <c r="N438" s="136" t="s">
        <v>4788</v>
      </c>
    </row>
    <row r="439" spans="1:14" hidden="1">
      <c r="A439" s="139" t="str">
        <f t="shared" si="6"/>
        <v>PASILLO 12</v>
      </c>
      <c r="B439" s="93" t="s">
        <v>3780</v>
      </c>
      <c r="C439" s="11">
        <f>IFERROR(VLOOKUP(CANTIDAD[[#This Row],[Ubicación]],SAP[],3,FALSE),"")</f>
        <v>8400632</v>
      </c>
      <c r="D439" s="30">
        <f>IFERROR(VLOOKUP(CANTIDAD[[#This Row],[Producto]],MARA[],3,FALSE),"")</f>
        <v>17750243079034</v>
      </c>
      <c r="E439" s="13" t="str">
        <f>IFERROR(VLOOKUP(CANTIDAD[[#This Row],[Ubicación]],SAP[],4,FALSE),"")</f>
        <v>DET. BOLIVAR BEBES NIÑOS 1.5KG.8BOL</v>
      </c>
      <c r="F439" s="13">
        <f>IFERROR(VLOOKUP(CANTIDAD[[#This Row],[Ubicación]],SAP[],8,FALSE),"")</f>
        <v>34</v>
      </c>
      <c r="G439" s="13" t="str">
        <f>IFERROR(VLOOKUP(CANTIDAD[[#This Row],[Ubicación]],SAP[],9,FALSE),"")</f>
        <v>PQT</v>
      </c>
      <c r="H439" s="13">
        <f>IFERROR(VLOOKUP(CANTIDAD[[#This Row],[Ubicación]],SAP[],5,FALSE),"")</f>
        <v>2608060120</v>
      </c>
      <c r="I439" s="43">
        <f>IFERROR(VLOOKUP(CANTIDAD[[#This Row],[Ubicación]],SAP[],6,FALSE),"")</f>
        <v>46912</v>
      </c>
      <c r="J439" s="13" t="str">
        <f>IFERROR(VLOOKUP(CANTIDAD[[#This Row],[Ubicación]],SAP[],7,FALSE),"")</f>
        <v>1F</v>
      </c>
      <c r="K439" s="14">
        <f>IFERROR(VLOOKUP(CANTIDAD[[#This Row],[Ubicación]],SAP[],10,FALSE),"")</f>
        <v>272</v>
      </c>
      <c r="L439" s="48">
        <f>IFERROR(VLOOKUP(CANTIDAD[[#This Row],[Producto]],MARA[],5,FALSE),"")</f>
        <v>5</v>
      </c>
      <c r="M439" s="48" t="str">
        <f>IFERROR(VLOOKUP(CANTIDAD[[#This Row],[Producto]],MARA[],4,FALSE),"")</f>
        <v>PQT</v>
      </c>
      <c r="N439" s="136" t="s">
        <v>4789</v>
      </c>
    </row>
    <row r="440" spans="1:14" hidden="1">
      <c r="A440" s="139" t="str">
        <f t="shared" si="6"/>
        <v>PASILLO 12</v>
      </c>
      <c r="B440" s="92" t="s">
        <v>3244</v>
      </c>
      <c r="C440" s="11">
        <f>IFERROR(VLOOKUP(CANTIDAD[[#This Row],[Ubicación]],SAP[],3,FALSE),"")</f>
        <v>8303031</v>
      </c>
      <c r="D440" s="29">
        <f>IFERROR(VLOOKUP(CANTIDAD[[#This Row],[Producto]],MARA[],3,FALSE),"")</f>
        <v>17751851025369</v>
      </c>
      <c r="E440" s="11" t="str">
        <f>IFERROR(VLOOKUP(CANTIDAD[[#This Row],[Ubicación]],SAP[],4,FALSE),"")</f>
        <v>DET.SAP.FLORAL 2KG.6UND</v>
      </c>
      <c r="F440" s="11">
        <f>IFERROR(VLOOKUP(CANTIDAD[[#This Row],[Ubicación]],SAP[],8,FALSE),"")</f>
        <v>33</v>
      </c>
      <c r="G440" s="11" t="str">
        <f>IFERROR(VLOOKUP(CANTIDAD[[#This Row],[Ubicación]],SAP[],9,FALSE),"")</f>
        <v>PQT</v>
      </c>
      <c r="H440" s="11">
        <f>IFERROR(VLOOKUP(CANTIDAD[[#This Row],[Ubicación]],SAP[],5,FALSE),"")</f>
        <v>2608275030</v>
      </c>
      <c r="I440" s="42" t="str">
        <f>IFERROR(VLOOKUP(CANTIDAD[[#This Row],[Ubicación]],SAP[],6,FALSE),"")</f>
        <v>27/08/2029</v>
      </c>
      <c r="J440" s="11" t="str">
        <f>IFERROR(VLOOKUP(CANTIDAD[[#This Row],[Ubicación]],SAP[],7,FALSE),"")</f>
        <v>1F</v>
      </c>
      <c r="K440" s="11">
        <f>IFERROR(VLOOKUP(CANTIDAD[[#This Row],[Ubicación]],SAP[],10,FALSE),"")</f>
        <v>198</v>
      </c>
      <c r="L440" s="48">
        <f>IFERROR(VLOOKUP(CANTIDAD[[#This Row],[Producto]],MARA[],5,FALSE),"")</f>
        <v>5</v>
      </c>
      <c r="M440" s="48" t="str">
        <f>IFERROR(VLOOKUP(CANTIDAD[[#This Row],[Producto]],MARA[],4,FALSE),"")</f>
        <v>PQT</v>
      </c>
      <c r="N440" s="136" t="s">
        <v>4790</v>
      </c>
    </row>
    <row r="441" spans="1:14" hidden="1">
      <c r="A441" s="139" t="str">
        <f t="shared" si="6"/>
        <v>PASILLO 12</v>
      </c>
      <c r="B441" s="93" t="s">
        <v>4791</v>
      </c>
      <c r="C441" s="11" t="str">
        <f>IFERROR(VLOOKUP(CANTIDAD[[#This Row],[Ubicación]],SAP[],3,FALSE),"")</f>
        <v/>
      </c>
      <c r="D441" s="30" t="str">
        <f>IFERROR(VLOOKUP(CANTIDAD[[#This Row],[Producto]],MARA[],3,FALSE),"")</f>
        <v/>
      </c>
      <c r="E441" s="13" t="str">
        <f>IFERROR(VLOOKUP(CANTIDAD[[#This Row],[Ubicación]],SAP[],4,FALSE),"")</f>
        <v/>
      </c>
      <c r="F441" s="13" t="str">
        <f>IFERROR(VLOOKUP(CANTIDAD[[#This Row],[Ubicación]],SAP[],8,FALSE),"")</f>
        <v/>
      </c>
      <c r="G441" s="13" t="str">
        <f>IFERROR(VLOOKUP(CANTIDAD[[#This Row],[Ubicación]],SAP[],9,FALSE),"")</f>
        <v/>
      </c>
      <c r="H441" s="13" t="str">
        <f>IFERROR(VLOOKUP(CANTIDAD[[#This Row],[Ubicación]],SAP[],5,FALSE),"")</f>
        <v/>
      </c>
      <c r="I441" s="43" t="str">
        <f>IFERROR(VLOOKUP(CANTIDAD[[#This Row],[Ubicación]],SAP[],6,FALSE),"")</f>
        <v/>
      </c>
      <c r="J441" s="13" t="str">
        <f>IFERROR(VLOOKUP(CANTIDAD[[#This Row],[Ubicación]],SAP[],7,FALSE),"")</f>
        <v/>
      </c>
      <c r="K441" s="14" t="str">
        <f>IFERROR(VLOOKUP(CANTIDAD[[#This Row],[Ubicación]],SAP[],10,FALSE),"")</f>
        <v/>
      </c>
      <c r="L441" s="48" t="str">
        <f>IFERROR(VLOOKUP(CANTIDAD[[#This Row],[Producto]],MARA[],5,FALSE),"")</f>
        <v/>
      </c>
      <c r="M441" s="48" t="str">
        <f>IFERROR(VLOOKUP(CANTIDAD[[#This Row],[Producto]],MARA[],4,FALSE),"")</f>
        <v/>
      </c>
      <c r="N441" s="136" t="s">
        <v>4792</v>
      </c>
    </row>
    <row r="442" spans="1:14" hidden="1">
      <c r="A442" s="139" t="str">
        <f t="shared" si="6"/>
        <v>PASILLO 12</v>
      </c>
      <c r="B442" s="92" t="s">
        <v>4020</v>
      </c>
      <c r="C442" s="11">
        <f>IFERROR(VLOOKUP(CANTIDAD[[#This Row],[Ubicación]],SAP[],3,FALSE),"")</f>
        <v>8410222</v>
      </c>
      <c r="D442" s="29">
        <f>IFERROR(VLOOKUP(CANTIDAD[[#This Row],[Producto]],MARA[],3,FALSE),"")</f>
        <v>27751851025359</v>
      </c>
      <c r="E442" s="11" t="str">
        <f>IFERROR(VLOOKUP(CANTIDAD[[#This Row],[Ubicación]],SAP[],4,FALSE),"")</f>
        <v>DET.SAP.LIMON 2KG.6UND CP</v>
      </c>
      <c r="F442" s="11">
        <f>IFERROR(VLOOKUP(CANTIDAD[[#This Row],[Ubicación]],SAP[],8,FALSE),"")</f>
        <v>13</v>
      </c>
      <c r="G442" s="11" t="str">
        <f>IFERROR(VLOOKUP(CANTIDAD[[#This Row],[Ubicación]],SAP[],9,FALSE),"")</f>
        <v>PQT</v>
      </c>
      <c r="H442" s="11">
        <f>IFERROR(VLOOKUP(CANTIDAD[[#This Row],[Ubicación]],SAP[],5,FALSE),"")</f>
        <v>2608170120</v>
      </c>
      <c r="I442" s="42" t="str">
        <f>IFERROR(VLOOKUP(CANTIDAD[[#This Row],[Ubicación]],SAP[],6,FALSE),"")</f>
        <v>17/08/2029</v>
      </c>
      <c r="J442" s="11" t="str">
        <f>IFERROR(VLOOKUP(CANTIDAD[[#This Row],[Ubicación]],SAP[],7,FALSE),"")</f>
        <v>1F</v>
      </c>
      <c r="K442" s="11">
        <f>IFERROR(VLOOKUP(CANTIDAD[[#This Row],[Ubicación]],SAP[],10,FALSE),"")</f>
        <v>78</v>
      </c>
      <c r="L442" s="48">
        <f>IFERROR(VLOOKUP(CANTIDAD[[#This Row],[Producto]],MARA[],5,FALSE),"")</f>
        <v>5</v>
      </c>
      <c r="M442" s="48" t="str">
        <f>IFERROR(VLOOKUP(CANTIDAD[[#This Row],[Producto]],MARA[],4,FALSE),"")</f>
        <v>PQT</v>
      </c>
      <c r="N442" s="136" t="s">
        <v>4793</v>
      </c>
    </row>
    <row r="443" spans="1:14" hidden="1">
      <c r="A443" s="139" t="str">
        <f t="shared" si="6"/>
        <v>PASILLO 12</v>
      </c>
      <c r="B443" s="93" t="s">
        <v>3242</v>
      </c>
      <c r="C443" s="11">
        <f>IFERROR(VLOOKUP(CANTIDAD[[#This Row],[Ubicación]],SAP[],3,FALSE),"")</f>
        <v>8303029</v>
      </c>
      <c r="D443" s="30">
        <f>IFERROR(VLOOKUP(CANTIDAD[[#This Row],[Producto]],MARA[],3,FALSE),"")</f>
        <v>17751851025352</v>
      </c>
      <c r="E443" s="13" t="str">
        <f>IFERROR(VLOOKUP(CANTIDAD[[#This Row],[Ubicación]],SAP[],4,FALSE),"")</f>
        <v>DET.SAP.LIMON 2KG.6UND</v>
      </c>
      <c r="F443" s="13">
        <f>IFERROR(VLOOKUP(CANTIDAD[[#This Row],[Ubicación]],SAP[],8,FALSE),"")</f>
        <v>31</v>
      </c>
      <c r="G443" s="13" t="str">
        <f>IFERROR(VLOOKUP(CANTIDAD[[#This Row],[Ubicación]],SAP[],9,FALSE),"")</f>
        <v>PQT</v>
      </c>
      <c r="H443" s="13">
        <f>IFERROR(VLOOKUP(CANTIDAD[[#This Row],[Ubicación]],SAP[],5,FALSE),"")</f>
        <v>2608030120</v>
      </c>
      <c r="I443" s="43">
        <f>IFERROR(VLOOKUP(CANTIDAD[[#This Row],[Ubicación]],SAP[],6,FALSE),"")</f>
        <v>47185</v>
      </c>
      <c r="J443" s="13" t="str">
        <f>IFERROR(VLOOKUP(CANTIDAD[[#This Row],[Ubicación]],SAP[],7,FALSE),"")</f>
        <v>1F</v>
      </c>
      <c r="K443" s="14">
        <f>IFERROR(VLOOKUP(CANTIDAD[[#This Row],[Ubicación]],SAP[],10,FALSE),"")</f>
        <v>186</v>
      </c>
      <c r="L443" s="48">
        <f>IFERROR(VLOOKUP(CANTIDAD[[#This Row],[Producto]],MARA[],5,FALSE),"")</f>
        <v>5</v>
      </c>
      <c r="M443" s="48" t="str">
        <f>IFERROR(VLOOKUP(CANTIDAD[[#This Row],[Producto]],MARA[],4,FALSE),"")</f>
        <v>PQT</v>
      </c>
      <c r="N443" s="136" t="s">
        <v>4794</v>
      </c>
    </row>
    <row r="444" spans="1:14" hidden="1">
      <c r="A444" s="139" t="str">
        <f t="shared" si="6"/>
        <v>PASILLO 12</v>
      </c>
      <c r="B444" s="92" t="s">
        <v>4087</v>
      </c>
      <c r="C444" s="11">
        <f>IFERROR(VLOOKUP(CANTIDAD[[#This Row],[Ubicación]],SAP[],3,FALSE),"")</f>
        <v>8414042</v>
      </c>
      <c r="D444" s="29">
        <f>IFERROR(VLOOKUP(CANTIDAD[[#This Row],[Producto]],MARA[],3,FALSE),"")</f>
        <v>17750243085400</v>
      </c>
      <c r="E444" s="11" t="str">
        <f>IFERROR(VLOOKUP(CANTIDAD[[#This Row],[Ubicación]],SAP[],4,FALSE),"")</f>
        <v>DET. PATITO BICARB. FLORAL 1KG.12BOL PE</v>
      </c>
      <c r="F444" s="11">
        <f>IFERROR(VLOOKUP(CANTIDAD[[#This Row],[Ubicación]],SAP[],8,FALSE),"")</f>
        <v>11</v>
      </c>
      <c r="G444" s="11" t="str">
        <f>IFERROR(VLOOKUP(CANTIDAD[[#This Row],[Ubicación]],SAP[],9,FALSE),"")</f>
        <v>PQT</v>
      </c>
      <c r="H444" s="11">
        <f>IFERROR(VLOOKUP(CANTIDAD[[#This Row],[Ubicación]],SAP[],5,FALSE),"")</f>
        <v>2608060120</v>
      </c>
      <c r="I444" s="42">
        <f>IFERROR(VLOOKUP(CANTIDAD[[#This Row],[Ubicación]],SAP[],6,FALSE),"")</f>
        <v>47277</v>
      </c>
      <c r="J444" s="11" t="str">
        <f>IFERROR(VLOOKUP(CANTIDAD[[#This Row],[Ubicación]],SAP[],7,FALSE),"")</f>
        <v>1F</v>
      </c>
      <c r="K444" s="11">
        <f>IFERROR(VLOOKUP(CANTIDAD[[#This Row],[Ubicación]],SAP[],10,FALSE),"")</f>
        <v>132</v>
      </c>
      <c r="L444" s="48">
        <f>IFERROR(VLOOKUP(CANTIDAD[[#This Row],[Producto]],MARA[],5,FALSE),"")</f>
        <v>5</v>
      </c>
      <c r="M444" s="48" t="str">
        <f>IFERROR(VLOOKUP(CANTIDAD[[#This Row],[Producto]],MARA[],4,FALSE),"")</f>
        <v>PQT</v>
      </c>
      <c r="N444" s="136" t="s">
        <v>4795</v>
      </c>
    </row>
    <row r="445" spans="1:14" hidden="1">
      <c r="A445" s="139" t="str">
        <f t="shared" si="6"/>
        <v>PASILLO 12</v>
      </c>
      <c r="B445" s="93" t="s">
        <v>3973</v>
      </c>
      <c r="C445" s="11">
        <f>IFERROR(VLOOKUP(CANTIDAD[[#This Row],[Ubicación]],SAP[],3,FALSE),"")</f>
        <v>8408041</v>
      </c>
      <c r="D445" s="30">
        <f>IFERROR(VLOOKUP(CANTIDAD[[#This Row],[Producto]],MARA[],3,FALSE),"")</f>
        <v>17750243079683</v>
      </c>
      <c r="E445" s="13" t="str">
        <f>IFERROR(VLOOKUP(CANTIDAD[[#This Row],[Ubicación]],SAP[],4,FALSE),"")</f>
        <v>DET. TROME FLORAL 1000GR.12UND</v>
      </c>
      <c r="F445" s="13">
        <f>IFERROR(VLOOKUP(CANTIDAD[[#This Row],[Ubicación]],SAP[],8,FALSE),"")</f>
        <v>31</v>
      </c>
      <c r="G445" s="13" t="str">
        <f>IFERROR(VLOOKUP(CANTIDAD[[#This Row],[Ubicación]],SAP[],9,FALSE),"")</f>
        <v>PQT</v>
      </c>
      <c r="H445" s="13">
        <f>IFERROR(VLOOKUP(CANTIDAD[[#This Row],[Ubicación]],SAP[],5,FALSE),"")</f>
        <v>2608185030</v>
      </c>
      <c r="I445" s="43" t="str">
        <f>IFERROR(VLOOKUP(CANTIDAD[[#This Row],[Ubicación]],SAP[],6,FALSE),"")</f>
        <v>18/08/2028</v>
      </c>
      <c r="J445" s="13" t="str">
        <f>IFERROR(VLOOKUP(CANTIDAD[[#This Row],[Ubicación]],SAP[],7,FALSE),"")</f>
        <v>1F</v>
      </c>
      <c r="K445" s="14">
        <f>IFERROR(VLOOKUP(CANTIDAD[[#This Row],[Ubicación]],SAP[],10,FALSE),"")</f>
        <v>372</v>
      </c>
      <c r="L445" s="48">
        <f>IFERROR(VLOOKUP(CANTIDAD[[#This Row],[Producto]],MARA[],5,FALSE),"")</f>
        <v>5</v>
      </c>
      <c r="M445" s="48" t="str">
        <f>IFERROR(VLOOKUP(CANTIDAD[[#This Row],[Producto]],MARA[],4,FALSE),"")</f>
        <v>PQT</v>
      </c>
      <c r="N445" s="136" t="s">
        <v>4796</v>
      </c>
    </row>
    <row r="446" spans="1:14" hidden="1">
      <c r="A446" s="139" t="str">
        <f t="shared" si="6"/>
        <v>PASILLO 12</v>
      </c>
      <c r="B446" s="92" t="s">
        <v>3976</v>
      </c>
      <c r="C446" s="11">
        <f>IFERROR(VLOOKUP(CANTIDAD[[#This Row],[Ubicación]],SAP[],3,FALSE),"")</f>
        <v>8408041</v>
      </c>
      <c r="D446" s="29">
        <f>IFERROR(VLOOKUP(CANTIDAD[[#This Row],[Producto]],MARA[],3,FALSE),"")</f>
        <v>17750243079683</v>
      </c>
      <c r="E446" s="11" t="str">
        <f>IFERROR(VLOOKUP(CANTIDAD[[#This Row],[Ubicación]],SAP[],4,FALSE),"")</f>
        <v>DET. TROME FLORAL 1000GR.12UND</v>
      </c>
      <c r="F446" s="11">
        <f>IFERROR(VLOOKUP(CANTIDAD[[#This Row],[Ubicación]],SAP[],8,FALSE),"")</f>
        <v>15</v>
      </c>
      <c r="G446" s="11" t="str">
        <f>IFERROR(VLOOKUP(CANTIDAD[[#This Row],[Ubicación]],SAP[],9,FALSE),"")</f>
        <v>PQT</v>
      </c>
      <c r="H446" s="11">
        <f>IFERROR(VLOOKUP(CANTIDAD[[#This Row],[Ubicación]],SAP[],5,FALSE),"")</f>
        <v>2608185030</v>
      </c>
      <c r="I446" s="42" t="str">
        <f>IFERROR(VLOOKUP(CANTIDAD[[#This Row],[Ubicación]],SAP[],6,FALSE),"")</f>
        <v>18/08/2028</v>
      </c>
      <c r="J446" s="11" t="str">
        <f>IFERROR(VLOOKUP(CANTIDAD[[#This Row],[Ubicación]],SAP[],7,FALSE),"")</f>
        <v>1F</v>
      </c>
      <c r="K446" s="11">
        <f>IFERROR(VLOOKUP(CANTIDAD[[#This Row],[Ubicación]],SAP[],10,FALSE),"")</f>
        <v>180</v>
      </c>
      <c r="L446" s="48">
        <f>IFERROR(VLOOKUP(CANTIDAD[[#This Row],[Producto]],MARA[],5,FALSE),"")</f>
        <v>5</v>
      </c>
      <c r="M446" s="48" t="str">
        <f>IFERROR(VLOOKUP(CANTIDAD[[#This Row],[Producto]],MARA[],4,FALSE),"")</f>
        <v>PQT</v>
      </c>
      <c r="N446" s="136" t="s">
        <v>4797</v>
      </c>
    </row>
    <row r="447" spans="1:14" hidden="1">
      <c r="A447" s="139" t="str">
        <f t="shared" si="6"/>
        <v>PASILLO 12</v>
      </c>
      <c r="B447" s="93" t="s">
        <v>4798</v>
      </c>
      <c r="C447" s="11" t="str">
        <f>IFERROR(VLOOKUP(CANTIDAD[[#This Row],[Ubicación]],SAP[],3,FALSE),"")</f>
        <v/>
      </c>
      <c r="D447" s="30" t="str">
        <f>IFERROR(VLOOKUP(CANTIDAD[[#This Row],[Producto]],MARA[],3,FALSE),"")</f>
        <v/>
      </c>
      <c r="E447" s="13" t="str">
        <f>IFERROR(VLOOKUP(CANTIDAD[[#This Row],[Ubicación]],SAP[],4,FALSE),"")</f>
        <v/>
      </c>
      <c r="F447" s="13" t="str">
        <f>IFERROR(VLOOKUP(CANTIDAD[[#This Row],[Ubicación]],SAP[],8,FALSE),"")</f>
        <v/>
      </c>
      <c r="G447" s="13" t="str">
        <f>IFERROR(VLOOKUP(CANTIDAD[[#This Row],[Ubicación]],SAP[],9,FALSE),"")</f>
        <v/>
      </c>
      <c r="H447" s="13" t="str">
        <f>IFERROR(VLOOKUP(CANTIDAD[[#This Row],[Ubicación]],SAP[],5,FALSE),"")</f>
        <v/>
      </c>
      <c r="I447" s="43" t="str">
        <f>IFERROR(VLOOKUP(CANTIDAD[[#This Row],[Ubicación]],SAP[],6,FALSE),"")</f>
        <v/>
      </c>
      <c r="J447" s="13" t="str">
        <f>IFERROR(VLOOKUP(CANTIDAD[[#This Row],[Ubicación]],SAP[],7,FALSE),"")</f>
        <v/>
      </c>
      <c r="K447" s="14" t="str">
        <f>IFERROR(VLOOKUP(CANTIDAD[[#This Row],[Ubicación]],SAP[],10,FALSE),"")</f>
        <v/>
      </c>
      <c r="L447" s="48" t="str">
        <f>IFERROR(VLOOKUP(CANTIDAD[[#This Row],[Producto]],MARA[],5,FALSE),"")</f>
        <v/>
      </c>
      <c r="M447" s="48" t="str">
        <f>IFERROR(VLOOKUP(CANTIDAD[[#This Row],[Producto]],MARA[],4,FALSE),"")</f>
        <v/>
      </c>
      <c r="N447" s="136" t="s">
        <v>4799</v>
      </c>
    </row>
    <row r="448" spans="1:14" hidden="1">
      <c r="A448" s="139" t="str">
        <f t="shared" si="6"/>
        <v>PASILLO 12</v>
      </c>
      <c r="B448" s="92" t="s">
        <v>4800</v>
      </c>
      <c r="C448" s="11" t="str">
        <f>IFERROR(VLOOKUP(CANTIDAD[[#This Row],[Ubicación]],SAP[],3,FALSE),"")</f>
        <v/>
      </c>
      <c r="D448" s="29" t="str">
        <f>IFERROR(VLOOKUP(CANTIDAD[[#This Row],[Producto]],MARA[],3,FALSE),"")</f>
        <v/>
      </c>
      <c r="E448" s="11" t="str">
        <f>IFERROR(VLOOKUP(CANTIDAD[[#This Row],[Ubicación]],SAP[],4,FALSE),"")</f>
        <v/>
      </c>
      <c r="F448" s="11" t="str">
        <f>IFERROR(VLOOKUP(CANTIDAD[[#This Row],[Ubicación]],SAP[],8,FALSE),"")</f>
        <v/>
      </c>
      <c r="G448" s="11" t="str">
        <f>IFERROR(VLOOKUP(CANTIDAD[[#This Row],[Ubicación]],SAP[],9,FALSE),"")</f>
        <v/>
      </c>
      <c r="H448" s="11" t="str">
        <f>IFERROR(VLOOKUP(CANTIDAD[[#This Row],[Ubicación]],SAP[],5,FALSE),"")</f>
        <v/>
      </c>
      <c r="I448" s="42" t="str">
        <f>IFERROR(VLOOKUP(CANTIDAD[[#This Row],[Ubicación]],SAP[],6,FALSE),"")</f>
        <v/>
      </c>
      <c r="J448" s="11" t="str">
        <f>IFERROR(VLOOKUP(CANTIDAD[[#This Row],[Ubicación]],SAP[],7,FALSE),"")</f>
        <v/>
      </c>
      <c r="K448" s="11" t="str">
        <f>IFERROR(VLOOKUP(CANTIDAD[[#This Row],[Ubicación]],SAP[],10,FALSE),"")</f>
        <v/>
      </c>
      <c r="L448" s="48" t="str">
        <f>IFERROR(VLOOKUP(CANTIDAD[[#This Row],[Producto]],MARA[],5,FALSE),"")</f>
        <v/>
      </c>
      <c r="M448" s="48" t="str">
        <f>IFERROR(VLOOKUP(CANTIDAD[[#This Row],[Producto]],MARA[],4,FALSE),"")</f>
        <v/>
      </c>
      <c r="N448" s="136" t="s">
        <v>4801</v>
      </c>
    </row>
    <row r="449" spans="1:14" hidden="1">
      <c r="A449" s="139" t="str">
        <f t="shared" si="6"/>
        <v>PASILLO 13</v>
      </c>
      <c r="B449" s="93" t="s">
        <v>3811</v>
      </c>
      <c r="C449" s="11">
        <f>IFERROR(VLOOKUP(CANTIDAD[[#This Row],[Ubicación]],SAP[],3,FALSE),"")</f>
        <v>8400640</v>
      </c>
      <c r="D449" s="30">
        <f>IFERROR(VLOOKUP(CANTIDAD[[#This Row],[Producto]],MARA[],3,FALSE),"")</f>
        <v>17750243079102</v>
      </c>
      <c r="E449" s="13" t="str">
        <f>IFERROR(VLOOKUP(CANTIDAD[[#This Row],[Ubicación]],SAP[],4,FALSE),"")</f>
        <v>DET.BOLV CUIDADO SUAVIDAD 430GR 24BOL</v>
      </c>
      <c r="F449" s="13">
        <f>IFERROR(VLOOKUP(CANTIDAD[[#This Row],[Ubicación]],SAP[],8,FALSE),"")</f>
        <v>27</v>
      </c>
      <c r="G449" s="13" t="str">
        <f>IFERROR(VLOOKUP(CANTIDAD[[#This Row],[Ubicación]],SAP[],9,FALSE),"")</f>
        <v>PQT</v>
      </c>
      <c r="H449" s="13">
        <f>IFERROR(VLOOKUP(CANTIDAD[[#This Row],[Ubicación]],SAP[],5,FALSE),"")</f>
        <v>2606280120</v>
      </c>
      <c r="I449" s="43" t="str">
        <f>IFERROR(VLOOKUP(CANTIDAD[[#This Row],[Ubicación]],SAP[],6,FALSE),"")</f>
        <v>28/06/2028</v>
      </c>
      <c r="J449" s="13" t="str">
        <f>IFERROR(VLOOKUP(CANTIDAD[[#This Row],[Ubicación]],SAP[],7,FALSE),"")</f>
        <v>1F</v>
      </c>
      <c r="K449" s="14">
        <f>IFERROR(VLOOKUP(CANTIDAD[[#This Row],[Ubicación]],SAP[],10,FALSE),"")</f>
        <v>648</v>
      </c>
      <c r="L449" s="48">
        <f>IFERROR(VLOOKUP(CANTIDAD[[#This Row],[Producto]],MARA[],5,FALSE),"")</f>
        <v>5</v>
      </c>
      <c r="M449" s="48" t="str">
        <f>IFERROR(VLOOKUP(CANTIDAD[[#This Row],[Producto]],MARA[],4,FALSE),"")</f>
        <v>PQT</v>
      </c>
      <c r="N449" s="136" t="s">
        <v>4802</v>
      </c>
    </row>
    <row r="450" spans="1:14" hidden="1">
      <c r="A450" s="139" t="str">
        <f t="shared" ref="A450:A513" si="7">"PASILLO " &amp; VALUE(MID(B450, 4, 2))</f>
        <v>PASILLO 13</v>
      </c>
      <c r="B450" s="92" t="s">
        <v>3949</v>
      </c>
      <c r="C450" s="11">
        <f>IFERROR(VLOOKUP(CANTIDAD[[#This Row],[Ubicación]],SAP[],3,FALSE),"")</f>
        <v>8406152</v>
      </c>
      <c r="D450" s="29">
        <f>IFERROR(VLOOKUP(CANTIDAD[[#This Row],[Producto]],MARA[],3,FALSE),"")</f>
        <v>17750243080689</v>
      </c>
      <c r="E450" s="11" t="str">
        <f>IFERROR(VLOOKUP(CANTIDAD[[#This Row],[Ubicación]],SAP[],4,FALSE),"")</f>
        <v>DET. OPAL ANTIBAC 430GR.24BO</v>
      </c>
      <c r="F450" s="11">
        <f>IFERROR(VLOOKUP(CANTIDAD[[#This Row],[Ubicación]],SAP[],8,FALSE),"")</f>
        <v>8</v>
      </c>
      <c r="G450" s="11" t="str">
        <f>IFERROR(VLOOKUP(CANTIDAD[[#This Row],[Ubicación]],SAP[],9,FALSE),"")</f>
        <v>PQT</v>
      </c>
      <c r="H450" s="11">
        <f>IFERROR(VLOOKUP(CANTIDAD[[#This Row],[Ubicación]],SAP[],5,FALSE),"")</f>
        <v>2607190120</v>
      </c>
      <c r="I450" s="42" t="str">
        <f>IFERROR(VLOOKUP(CANTIDAD[[#This Row],[Ubicación]],SAP[],6,FALSE),"")</f>
        <v>19/07/2028</v>
      </c>
      <c r="J450" s="11" t="str">
        <f>IFERROR(VLOOKUP(CANTIDAD[[#This Row],[Ubicación]],SAP[],7,FALSE),"")</f>
        <v>1F</v>
      </c>
      <c r="K450" s="11">
        <f>IFERROR(VLOOKUP(CANTIDAD[[#This Row],[Ubicación]],SAP[],10,FALSE),"")</f>
        <v>192</v>
      </c>
      <c r="L450" s="48">
        <f>IFERROR(VLOOKUP(CANTIDAD[[#This Row],[Producto]],MARA[],5,FALSE),"")</f>
        <v>5</v>
      </c>
      <c r="M450" s="48" t="str">
        <f>IFERROR(VLOOKUP(CANTIDAD[[#This Row],[Producto]],MARA[],4,FALSE),"")</f>
        <v>PQT</v>
      </c>
      <c r="N450" s="136" t="s">
        <v>4803</v>
      </c>
    </row>
    <row r="451" spans="1:14" hidden="1">
      <c r="A451" s="139" t="str">
        <f t="shared" si="7"/>
        <v>PASILLO 13</v>
      </c>
      <c r="B451" s="93" t="s">
        <v>3770</v>
      </c>
      <c r="C451" s="11">
        <f>IFERROR(VLOOKUP(CANTIDAD[[#This Row],[Ubicación]],SAP[],3,FALSE),"")</f>
        <v>8400629</v>
      </c>
      <c r="D451" s="30">
        <f>IFERROR(VLOOKUP(CANTIDAD[[#This Row],[Producto]],MARA[],3,FALSE),"")</f>
        <v>17750243079065</v>
      </c>
      <c r="E451" s="13" t="str">
        <f>IFERROR(VLOOKUP(CANTIDAD[[#This Row],[Ubicación]],SAP[],4,FALSE),"")</f>
        <v>DET. BOLIVAR CUIDADO TOTAL 430GR.24BOL</v>
      </c>
      <c r="F451" s="13">
        <f>IFERROR(VLOOKUP(CANTIDAD[[#This Row],[Ubicación]],SAP[],8,FALSE),"")</f>
        <v>2</v>
      </c>
      <c r="G451" s="13" t="str">
        <f>IFERROR(VLOOKUP(CANTIDAD[[#This Row],[Ubicación]],SAP[],9,FALSE),"")</f>
        <v>PQT</v>
      </c>
      <c r="H451" s="13">
        <f>IFERROR(VLOOKUP(CANTIDAD[[#This Row],[Ubicación]],SAP[],5,FALSE),"")</f>
        <v>2510090120</v>
      </c>
      <c r="I451" s="43">
        <f>IFERROR(VLOOKUP(CANTIDAD[[#This Row],[Ubicación]],SAP[],6,FALSE),"")</f>
        <v>46640</v>
      </c>
      <c r="J451" s="13" t="str">
        <f>IFERROR(VLOOKUP(CANTIDAD[[#This Row],[Ubicación]],SAP[],7,FALSE),"")</f>
        <v>1F</v>
      </c>
      <c r="K451" s="14">
        <f>IFERROR(VLOOKUP(CANTIDAD[[#This Row],[Ubicación]],SAP[],10,FALSE),"")</f>
        <v>48</v>
      </c>
      <c r="L451" s="48">
        <f>IFERROR(VLOOKUP(CANTIDAD[[#This Row],[Producto]],MARA[],5,FALSE),"")</f>
        <v>5</v>
      </c>
      <c r="M451" s="48" t="str">
        <f>IFERROR(VLOOKUP(CANTIDAD[[#This Row],[Producto]],MARA[],4,FALSE),"")</f>
        <v>PQT</v>
      </c>
      <c r="N451" s="136" t="s">
        <v>4804</v>
      </c>
    </row>
    <row r="452" spans="1:14" hidden="1">
      <c r="A452" s="139" t="str">
        <f t="shared" si="7"/>
        <v>PASILLO 13</v>
      </c>
      <c r="B452" s="92" t="s">
        <v>3828</v>
      </c>
      <c r="C452" s="11">
        <f>IFERROR(VLOOKUP(CANTIDAD[[#This Row],[Ubicación]],SAP[],3,FALSE),"")</f>
        <v>8400659</v>
      </c>
      <c r="D452" s="29">
        <f>IFERROR(VLOOKUP(CANTIDAD[[#This Row],[Producto]],MARA[],3,FALSE),"")</f>
        <v>17750243083215</v>
      </c>
      <c r="E452" s="11" t="str">
        <f>IFERROR(VLOOKUP(CANTIDAD[[#This Row],[Ubicación]],SAP[],4,FALSE),"")</f>
        <v>DET.OPAL ULTRA FLORAL 650G.15BOL EX.BOL</v>
      </c>
      <c r="F452" s="11">
        <f>IFERROR(VLOOKUP(CANTIDAD[[#This Row],[Ubicación]],SAP[],8,FALSE),"")</f>
        <v>30</v>
      </c>
      <c r="G452" s="11" t="str">
        <f>IFERROR(VLOOKUP(CANTIDAD[[#This Row],[Ubicación]],SAP[],9,FALSE),"")</f>
        <v>PQT</v>
      </c>
      <c r="H452" s="11">
        <f>IFERROR(VLOOKUP(CANTIDAD[[#This Row],[Ubicación]],SAP[],5,FALSE),"")</f>
        <v>2607190120</v>
      </c>
      <c r="I452" s="42" t="str">
        <f>IFERROR(VLOOKUP(CANTIDAD[[#This Row],[Ubicación]],SAP[],6,FALSE),"")</f>
        <v>19/07/2028</v>
      </c>
      <c r="J452" s="11" t="str">
        <f>IFERROR(VLOOKUP(CANTIDAD[[#This Row],[Ubicación]],SAP[],7,FALSE),"")</f>
        <v>1F</v>
      </c>
      <c r="K452" s="11">
        <f>IFERROR(VLOOKUP(CANTIDAD[[#This Row],[Ubicación]],SAP[],10,FALSE),"")</f>
        <v>450</v>
      </c>
      <c r="L452" s="48">
        <f>IFERROR(VLOOKUP(CANTIDAD[[#This Row],[Producto]],MARA[],5,FALSE),"")</f>
        <v>5</v>
      </c>
      <c r="M452" s="48" t="str">
        <f>IFERROR(VLOOKUP(CANTIDAD[[#This Row],[Producto]],MARA[],4,FALSE),"")</f>
        <v>PQT</v>
      </c>
      <c r="N452" s="136" t="s">
        <v>4805</v>
      </c>
    </row>
    <row r="453" spans="1:14" hidden="1">
      <c r="A453" s="139" t="str">
        <f t="shared" si="7"/>
        <v>PASILLO 13</v>
      </c>
      <c r="B453" s="93" t="s">
        <v>4060</v>
      </c>
      <c r="C453" s="11">
        <f>IFERROR(VLOOKUP(CANTIDAD[[#This Row],[Ubicación]],SAP[],3,FALSE),"")</f>
        <v>8412049</v>
      </c>
      <c r="D453" s="30">
        <f>IFERROR(VLOOKUP(CANTIDAD[[#This Row],[Producto]],MARA[],3,FALSE),"")</f>
        <v>17750243079799</v>
      </c>
      <c r="E453" s="13" t="str">
        <f>IFERROR(VLOOKUP(CANTIDAD[[#This Row],[Ubicación]],SAP[],4,FALSE),"")</f>
        <v>DET.PATITO BICARB. BEBE 1600GR.6UND PE</v>
      </c>
      <c r="F453" s="13">
        <f>IFERROR(VLOOKUP(CANTIDAD[[#This Row],[Ubicación]],SAP[],8,FALSE),"")</f>
        <v>20</v>
      </c>
      <c r="G453" s="13" t="str">
        <f>IFERROR(VLOOKUP(CANTIDAD[[#This Row],[Ubicación]],SAP[],9,FALSE),"")</f>
        <v>PQT</v>
      </c>
      <c r="H453" s="13">
        <f>IFERROR(VLOOKUP(CANTIDAD[[#This Row],[Ubicación]],SAP[],5,FALSE),"")</f>
        <v>2607235030</v>
      </c>
      <c r="I453" s="43" t="str">
        <f>IFERROR(VLOOKUP(CANTIDAD[[#This Row],[Ubicación]],SAP[],6,FALSE),"")</f>
        <v>23/07/2029</v>
      </c>
      <c r="J453" s="13" t="str">
        <f>IFERROR(VLOOKUP(CANTIDAD[[#This Row],[Ubicación]],SAP[],7,FALSE),"")</f>
        <v>1F</v>
      </c>
      <c r="K453" s="14">
        <f>IFERROR(VLOOKUP(CANTIDAD[[#This Row],[Ubicación]],SAP[],10,FALSE),"")</f>
        <v>120</v>
      </c>
      <c r="L453" s="48">
        <f>IFERROR(VLOOKUP(CANTIDAD[[#This Row],[Producto]],MARA[],5,FALSE),"")</f>
        <v>5</v>
      </c>
      <c r="M453" s="48" t="str">
        <f>IFERROR(VLOOKUP(CANTIDAD[[#This Row],[Producto]],MARA[],4,FALSE),"")</f>
        <v>PQT</v>
      </c>
      <c r="N453" s="136" t="s">
        <v>4806</v>
      </c>
    </row>
    <row r="454" spans="1:14" hidden="1">
      <c r="A454" s="139" t="str">
        <f t="shared" si="7"/>
        <v>PASILLO 13</v>
      </c>
      <c r="B454" s="92" t="s">
        <v>4056</v>
      </c>
      <c r="C454" s="11">
        <f>IFERROR(VLOOKUP(CANTIDAD[[#This Row],[Ubicación]],SAP[],3,FALSE),"")</f>
        <v>8412047</v>
      </c>
      <c r="D454" s="29">
        <f>IFERROR(VLOOKUP(CANTIDAD[[#This Row],[Producto]],MARA[],3,FALSE),"")</f>
        <v>17750243079775</v>
      </c>
      <c r="E454" s="11" t="str">
        <f>IFERROR(VLOOKUP(CANTIDAD[[#This Row],[Ubicación]],SAP[],4,FALSE),"")</f>
        <v>DET.PATITO BICARB. LIMON 1600GR.6UND PE</v>
      </c>
      <c r="F454" s="11">
        <f>IFERROR(VLOOKUP(CANTIDAD[[#This Row],[Ubicación]],SAP[],8,FALSE),"")</f>
        <v>3</v>
      </c>
      <c r="G454" s="11" t="str">
        <f>IFERROR(VLOOKUP(CANTIDAD[[#This Row],[Ubicación]],SAP[],9,FALSE),"")</f>
        <v>PQT</v>
      </c>
      <c r="H454" s="11">
        <f>IFERROR(VLOOKUP(CANTIDAD[[#This Row],[Ubicación]],SAP[],5,FALSE),"")</f>
        <v>2608145030</v>
      </c>
      <c r="I454" s="42" t="str">
        <f>IFERROR(VLOOKUP(CANTIDAD[[#This Row],[Ubicación]],SAP[],6,FALSE),"")</f>
        <v>14/08/2029</v>
      </c>
      <c r="J454" s="11" t="str">
        <f>IFERROR(VLOOKUP(CANTIDAD[[#This Row],[Ubicación]],SAP[],7,FALSE),"")</f>
        <v>1F</v>
      </c>
      <c r="K454" s="11">
        <f>IFERROR(VLOOKUP(CANTIDAD[[#This Row],[Ubicación]],SAP[],10,FALSE),"")</f>
        <v>18</v>
      </c>
      <c r="L454" s="48">
        <f>IFERROR(VLOOKUP(CANTIDAD[[#This Row],[Producto]],MARA[],5,FALSE),"")</f>
        <v>5</v>
      </c>
      <c r="M454" s="48" t="str">
        <f>IFERROR(VLOOKUP(CANTIDAD[[#This Row],[Producto]],MARA[],4,FALSE),"")</f>
        <v>PQT</v>
      </c>
      <c r="N454" s="136" t="s">
        <v>4807</v>
      </c>
    </row>
    <row r="455" spans="1:14" hidden="1">
      <c r="A455" s="139" t="str">
        <f t="shared" si="7"/>
        <v>PASILLO 13</v>
      </c>
      <c r="B455" s="93" t="s">
        <v>4058</v>
      </c>
      <c r="C455" s="11">
        <f>IFERROR(VLOOKUP(CANTIDAD[[#This Row],[Ubicación]],SAP[],3,FALSE),"")</f>
        <v>8412048</v>
      </c>
      <c r="D455" s="30">
        <f>IFERROR(VLOOKUP(CANTIDAD[[#This Row],[Producto]],MARA[],3,FALSE),"")</f>
        <v>17750243079782</v>
      </c>
      <c r="E455" s="13" t="str">
        <f>IFERROR(VLOOKUP(CANTIDAD[[#This Row],[Ubicación]],SAP[],4,FALSE),"")</f>
        <v>DET.PATITO BICARB. LIMON 640GR.15UND PE</v>
      </c>
      <c r="F455" s="13">
        <f>IFERROR(VLOOKUP(CANTIDAD[[#This Row],[Ubicación]],SAP[],8,FALSE),"")</f>
        <v>18</v>
      </c>
      <c r="G455" s="13" t="str">
        <f>IFERROR(VLOOKUP(CANTIDAD[[#This Row],[Ubicación]],SAP[],9,FALSE),"")</f>
        <v>PQT</v>
      </c>
      <c r="H455" s="13">
        <f>IFERROR(VLOOKUP(CANTIDAD[[#This Row],[Ubicación]],SAP[],5,FALSE),"")</f>
        <v>2607070120</v>
      </c>
      <c r="I455" s="43">
        <f>IFERROR(VLOOKUP(CANTIDAD[[#This Row],[Ubicación]],SAP[],6,FALSE),"")</f>
        <v>47306</v>
      </c>
      <c r="J455" s="13" t="str">
        <f>IFERROR(VLOOKUP(CANTIDAD[[#This Row],[Ubicación]],SAP[],7,FALSE),"")</f>
        <v>1F</v>
      </c>
      <c r="K455" s="14">
        <f>IFERROR(VLOOKUP(CANTIDAD[[#This Row],[Ubicación]],SAP[],10,FALSE),"")</f>
        <v>270</v>
      </c>
      <c r="L455" s="48">
        <f>IFERROR(VLOOKUP(CANTIDAD[[#This Row],[Producto]],MARA[],5,FALSE),"")</f>
        <v>5</v>
      </c>
      <c r="M455" s="48" t="str">
        <f>IFERROR(VLOOKUP(CANTIDAD[[#This Row],[Producto]],MARA[],4,FALSE),"")</f>
        <v>PQT</v>
      </c>
      <c r="N455" s="136" t="s">
        <v>4808</v>
      </c>
    </row>
    <row r="456" spans="1:14" hidden="1">
      <c r="A456" s="139" t="str">
        <f t="shared" si="7"/>
        <v>PASILLO 13</v>
      </c>
      <c r="B456" s="92" t="s">
        <v>4062</v>
      </c>
      <c r="C456" s="11">
        <f>IFERROR(VLOOKUP(CANTIDAD[[#This Row],[Ubicación]],SAP[],3,FALSE),"")</f>
        <v>8412050</v>
      </c>
      <c r="D456" s="29">
        <f>IFERROR(VLOOKUP(CANTIDAD[[#This Row],[Producto]],MARA[],3,FALSE),"")</f>
        <v>17750243079805</v>
      </c>
      <c r="E456" s="11" t="str">
        <f>IFERROR(VLOOKUP(CANTIDAD[[#This Row],[Ubicación]],SAP[],4,FALSE),"")</f>
        <v>DET.PATITO BICARB. BEBE 640GR.15UND PE</v>
      </c>
      <c r="F456" s="11">
        <f>IFERROR(VLOOKUP(CANTIDAD[[#This Row],[Ubicación]],SAP[],8,FALSE),"")</f>
        <v>16</v>
      </c>
      <c r="G456" s="11" t="str">
        <f>IFERROR(VLOOKUP(CANTIDAD[[#This Row],[Ubicación]],SAP[],9,FALSE),"")</f>
        <v>PQT</v>
      </c>
      <c r="H456" s="11">
        <f>IFERROR(VLOOKUP(CANTIDAD[[#This Row],[Ubicación]],SAP[],5,FALSE),"")</f>
        <v>2606135030</v>
      </c>
      <c r="I456" s="42" t="str">
        <f>IFERROR(VLOOKUP(CANTIDAD[[#This Row],[Ubicación]],SAP[],6,FALSE),"")</f>
        <v>13/06/2029</v>
      </c>
      <c r="J456" s="11" t="str">
        <f>IFERROR(VLOOKUP(CANTIDAD[[#This Row],[Ubicación]],SAP[],7,FALSE),"")</f>
        <v>1F</v>
      </c>
      <c r="K456" s="11">
        <f>IFERROR(VLOOKUP(CANTIDAD[[#This Row],[Ubicación]],SAP[],10,FALSE),"")</f>
        <v>240</v>
      </c>
      <c r="L456" s="48">
        <f>IFERROR(VLOOKUP(CANTIDAD[[#This Row],[Producto]],MARA[],5,FALSE),"")</f>
        <v>5</v>
      </c>
      <c r="M456" s="48" t="str">
        <f>IFERROR(VLOOKUP(CANTIDAD[[#This Row],[Producto]],MARA[],4,FALSE),"")</f>
        <v>PQT</v>
      </c>
      <c r="N456" s="136" t="s">
        <v>4809</v>
      </c>
    </row>
    <row r="457" spans="1:14" hidden="1">
      <c r="A457" s="139" t="str">
        <f t="shared" si="7"/>
        <v>PASILLO 13</v>
      </c>
      <c r="B457" s="93" t="s">
        <v>3840</v>
      </c>
      <c r="C457" s="11">
        <f>IFERROR(VLOOKUP(CANTIDAD[[#This Row],[Ubicación]],SAP[],3,FALSE),"")</f>
        <v>8400689</v>
      </c>
      <c r="D457" s="30">
        <f>IFERROR(VLOOKUP(CANTIDAD[[#This Row],[Producto]],MARA[],3,FALSE),"")</f>
        <v>37750243079076</v>
      </c>
      <c r="E457" s="13" t="str">
        <f>IFERROR(VLOOKUP(CANTIDAD[[#This Row],[Ubicación]],SAP[],4,FALSE),"")</f>
        <v>DET. BOL. CUIDADO TOTAL 320GR.30BOL CP</v>
      </c>
      <c r="F457" s="13">
        <f>IFERROR(VLOOKUP(CANTIDAD[[#This Row],[Ubicación]],SAP[],8,FALSE),"")</f>
        <v>4</v>
      </c>
      <c r="G457" s="13" t="str">
        <f>IFERROR(VLOOKUP(CANTIDAD[[#This Row],[Ubicación]],SAP[],9,FALSE),"")</f>
        <v>PQT</v>
      </c>
      <c r="H457" s="13">
        <f>IFERROR(VLOOKUP(CANTIDAD[[#This Row],[Ubicación]],SAP[],5,FALSE),"")</f>
        <v>2608010120</v>
      </c>
      <c r="I457" s="43">
        <f>IFERROR(VLOOKUP(CANTIDAD[[#This Row],[Ubicación]],SAP[],6,FALSE),"")</f>
        <v>46760</v>
      </c>
      <c r="J457" s="13" t="str">
        <f>IFERROR(VLOOKUP(CANTIDAD[[#This Row],[Ubicación]],SAP[],7,FALSE),"")</f>
        <v>1F</v>
      </c>
      <c r="K457" s="14">
        <f>IFERROR(VLOOKUP(CANTIDAD[[#This Row],[Ubicación]],SAP[],10,FALSE),"")</f>
        <v>120</v>
      </c>
      <c r="L457" s="48">
        <f>IFERROR(VLOOKUP(CANTIDAD[[#This Row],[Producto]],MARA[],5,FALSE),"")</f>
        <v>5</v>
      </c>
      <c r="M457" s="48" t="str">
        <f>IFERROR(VLOOKUP(CANTIDAD[[#This Row],[Producto]],MARA[],4,FALSE),"")</f>
        <v>PQT</v>
      </c>
      <c r="N457" s="136" t="s">
        <v>4810</v>
      </c>
    </row>
    <row r="458" spans="1:14" hidden="1">
      <c r="A458" s="139" t="str">
        <f t="shared" si="7"/>
        <v>PASILLO 13</v>
      </c>
      <c r="B458" s="92" t="s">
        <v>3968</v>
      </c>
      <c r="C458" s="11">
        <f>IFERROR(VLOOKUP(CANTIDAD[[#This Row],[Ubicación]],SAP[],3,FALSE),"")</f>
        <v>8406219</v>
      </c>
      <c r="D458" s="29">
        <f>IFERROR(VLOOKUP(CANTIDAD[[#This Row],[Producto]],MARA[],3,FALSE),"")</f>
        <v>37750243080645</v>
      </c>
      <c r="E458" s="11" t="str">
        <f>IFERROR(VLOOKUP(CANTIDAD[[#This Row],[Ubicación]],SAP[],4,FALSE),"")</f>
        <v>DETER. OPAL ULTRA  320GR.30BOL CP</v>
      </c>
      <c r="F458" s="11">
        <f>IFERROR(VLOOKUP(CANTIDAD[[#This Row],[Ubicación]],SAP[],8,FALSE),"")</f>
        <v>41</v>
      </c>
      <c r="G458" s="11" t="str">
        <f>IFERROR(VLOOKUP(CANTIDAD[[#This Row],[Ubicación]],SAP[],9,FALSE),"")</f>
        <v>PQT</v>
      </c>
      <c r="H458" s="11">
        <f>IFERROR(VLOOKUP(CANTIDAD[[#This Row],[Ubicación]],SAP[],5,FALSE),"")</f>
        <v>2607100120</v>
      </c>
      <c r="I458" s="42">
        <f>IFERROR(VLOOKUP(CANTIDAD[[#This Row],[Ubicación]],SAP[],6,FALSE),"")</f>
        <v>47033</v>
      </c>
      <c r="J458" s="11" t="str">
        <f>IFERROR(VLOOKUP(CANTIDAD[[#This Row],[Ubicación]],SAP[],7,FALSE),"")</f>
        <v>1F</v>
      </c>
      <c r="K458" s="17">
        <f>IFERROR(VLOOKUP(CANTIDAD[[#This Row],[Ubicación]],SAP[],10,FALSE),"")</f>
        <v>1230</v>
      </c>
      <c r="L458" s="48">
        <f>IFERROR(VLOOKUP(CANTIDAD[[#This Row],[Producto]],MARA[],5,FALSE),"")</f>
        <v>5</v>
      </c>
      <c r="M458" s="48" t="str">
        <f>IFERROR(VLOOKUP(CANTIDAD[[#This Row],[Producto]],MARA[],4,FALSE),"")</f>
        <v>PQT</v>
      </c>
      <c r="N458" s="136" t="s">
        <v>4811</v>
      </c>
    </row>
    <row r="459" spans="1:14" hidden="1">
      <c r="A459" s="139" t="str">
        <f t="shared" si="7"/>
        <v>PASILLO 13</v>
      </c>
      <c r="B459" s="93" t="s">
        <v>3915</v>
      </c>
      <c r="C459" s="11">
        <f>IFERROR(VLOOKUP(CANTIDAD[[#This Row],[Ubicación]],SAP[],3,FALSE),"")</f>
        <v>8404728</v>
      </c>
      <c r="D459" s="30">
        <f>IFERROR(VLOOKUP(CANTIDAD[[#This Row],[Producto]],MARA[],3,FALSE),"")</f>
        <v>37750243079823</v>
      </c>
      <c r="E459" s="13" t="str">
        <f>IFERROR(VLOOKUP(CANTIDAD[[#This Row],[Ubicación]],SAP[],4,FALSE),"")</f>
        <v>DET. MARSE. LAVANDA ROSAS 320GR 30BOL CP</v>
      </c>
      <c r="F459" s="13">
        <f>IFERROR(VLOOKUP(CANTIDAD[[#This Row],[Ubicación]],SAP[],8,FALSE),"")</f>
        <v>16</v>
      </c>
      <c r="G459" s="13" t="str">
        <f>IFERROR(VLOOKUP(CANTIDAD[[#This Row],[Ubicación]],SAP[],9,FALSE),"")</f>
        <v>PQT</v>
      </c>
      <c r="H459" s="13">
        <f>IFERROR(VLOOKUP(CANTIDAD[[#This Row],[Ubicación]],SAP[],5,FALSE),"")</f>
        <v>2607220120</v>
      </c>
      <c r="I459" s="43" t="str">
        <f>IFERROR(VLOOKUP(CANTIDAD[[#This Row],[Ubicación]],SAP[],6,FALSE),"")</f>
        <v>22/07/2028</v>
      </c>
      <c r="J459" s="13" t="str">
        <f>IFERROR(VLOOKUP(CANTIDAD[[#This Row],[Ubicación]],SAP[],7,FALSE),"")</f>
        <v>1F</v>
      </c>
      <c r="K459" s="14">
        <f>IFERROR(VLOOKUP(CANTIDAD[[#This Row],[Ubicación]],SAP[],10,FALSE),"")</f>
        <v>480</v>
      </c>
      <c r="L459" s="48">
        <f>IFERROR(VLOOKUP(CANTIDAD[[#This Row],[Producto]],MARA[],5,FALSE),"")</f>
        <v>5</v>
      </c>
      <c r="M459" s="48" t="str">
        <f>IFERROR(VLOOKUP(CANTIDAD[[#This Row],[Producto]],MARA[],4,FALSE),"")</f>
        <v>PQT</v>
      </c>
      <c r="N459" s="136" t="s">
        <v>4812</v>
      </c>
    </row>
    <row r="460" spans="1:14" hidden="1">
      <c r="A460" s="139" t="str">
        <f t="shared" si="7"/>
        <v>PASILLO 13</v>
      </c>
      <c r="B460" s="92" t="s">
        <v>3941</v>
      </c>
      <c r="C460" s="11">
        <f>IFERROR(VLOOKUP(CANTIDAD[[#This Row],[Ubicación]],SAP[],3,FALSE),"")</f>
        <v>8406147</v>
      </c>
      <c r="D460" s="29">
        <f>IFERROR(VLOOKUP(CANTIDAD[[#This Row],[Producto]],MARA[],3,FALSE),"")</f>
        <v>17750243080641</v>
      </c>
      <c r="E460" s="11" t="str">
        <f>IFERROR(VLOOKUP(CANTIDAD[[#This Row],[Ubicación]],SAP[],4,FALSE),"")</f>
        <v>DETER. OPAL ULTRA 320GR.30BOL</v>
      </c>
      <c r="F460" s="11">
        <f>IFERROR(VLOOKUP(CANTIDAD[[#This Row],[Ubicación]],SAP[],8,FALSE),"")</f>
        <v>7</v>
      </c>
      <c r="G460" s="11" t="str">
        <f>IFERROR(VLOOKUP(CANTIDAD[[#This Row],[Ubicación]],SAP[],9,FALSE),"")</f>
        <v>PQT</v>
      </c>
      <c r="H460" s="11">
        <f>IFERROR(VLOOKUP(CANTIDAD[[#This Row],[Ubicación]],SAP[],5,FALSE),"")</f>
        <v>2506250120</v>
      </c>
      <c r="I460" s="42" t="str">
        <f>IFERROR(VLOOKUP(CANTIDAD[[#This Row],[Ubicación]],SAP[],6,FALSE),"")</f>
        <v>25/06/2027</v>
      </c>
      <c r="J460" s="11" t="str">
        <f>IFERROR(VLOOKUP(CANTIDAD[[#This Row],[Ubicación]],SAP[],7,FALSE),"")</f>
        <v>1F</v>
      </c>
      <c r="K460" s="11">
        <f>IFERROR(VLOOKUP(CANTIDAD[[#This Row],[Ubicación]],SAP[],10,FALSE),"")</f>
        <v>210</v>
      </c>
      <c r="L460" s="48">
        <f>IFERROR(VLOOKUP(CANTIDAD[[#This Row],[Producto]],MARA[],5,FALSE),"")</f>
        <v>5</v>
      </c>
      <c r="M460" s="48" t="str">
        <f>IFERROR(VLOOKUP(CANTIDAD[[#This Row],[Producto]],MARA[],4,FALSE),"")</f>
        <v>PQT</v>
      </c>
      <c r="N460" s="136" t="s">
        <v>4813</v>
      </c>
    </row>
    <row r="461" spans="1:14" hidden="1">
      <c r="A461" s="139" t="str">
        <f t="shared" si="7"/>
        <v>PASILLO 13</v>
      </c>
      <c r="B461" s="93" t="s">
        <v>3881</v>
      </c>
      <c r="C461" s="11">
        <f>IFERROR(VLOOKUP(CANTIDAD[[#This Row],[Ubicación]],SAP[],3,FALSE),"")</f>
        <v>8404714</v>
      </c>
      <c r="D461" s="30">
        <f>IFERROR(VLOOKUP(CANTIDAD[[#This Row],[Producto]],MARA[],3,FALSE),"")</f>
        <v>17750243079829</v>
      </c>
      <c r="E461" s="13" t="str">
        <f>IFERROR(VLOOKUP(CANTIDAD[[#This Row],[Ubicación]],SAP[],4,FALSE),"")</f>
        <v>DET. MARSELLA LAVANDA ROSAS 320GR 30BOL</v>
      </c>
      <c r="F461" s="13">
        <f>IFERROR(VLOOKUP(CANTIDAD[[#This Row],[Ubicación]],SAP[],8,FALSE),"")</f>
        <v>19</v>
      </c>
      <c r="G461" s="13" t="str">
        <f>IFERROR(VLOOKUP(CANTIDAD[[#This Row],[Ubicación]],SAP[],9,FALSE),"")</f>
        <v>PQT</v>
      </c>
      <c r="H461" s="13">
        <f>IFERROR(VLOOKUP(CANTIDAD[[#This Row],[Ubicación]],SAP[],5,FALSE),"")</f>
        <v>2606050120</v>
      </c>
      <c r="I461" s="43">
        <f>IFERROR(VLOOKUP(CANTIDAD[[#This Row],[Ubicación]],SAP[],6,FALSE),"")</f>
        <v>46879</v>
      </c>
      <c r="J461" s="13" t="str">
        <f>IFERROR(VLOOKUP(CANTIDAD[[#This Row],[Ubicación]],SAP[],7,FALSE),"")</f>
        <v>1F</v>
      </c>
      <c r="K461" s="14">
        <f>IFERROR(VLOOKUP(CANTIDAD[[#This Row],[Ubicación]],SAP[],10,FALSE),"")</f>
        <v>570</v>
      </c>
      <c r="L461" s="48">
        <f>IFERROR(VLOOKUP(CANTIDAD[[#This Row],[Producto]],MARA[],5,FALSE),"")</f>
        <v>5</v>
      </c>
      <c r="M461" s="48" t="str">
        <f>IFERROR(VLOOKUP(CANTIDAD[[#This Row],[Producto]],MARA[],4,FALSE),"")</f>
        <v>PQT</v>
      </c>
      <c r="N461" s="136" t="s">
        <v>4814</v>
      </c>
    </row>
    <row r="462" spans="1:14" hidden="1">
      <c r="A462" s="139" t="str">
        <f t="shared" si="7"/>
        <v>PASILLO 13</v>
      </c>
      <c r="B462" s="92" t="s">
        <v>3767</v>
      </c>
      <c r="C462" s="11">
        <f>IFERROR(VLOOKUP(CANTIDAD[[#This Row],[Ubicación]],SAP[],3,FALSE),"")</f>
        <v>8400628</v>
      </c>
      <c r="D462" s="29">
        <f>IFERROR(VLOOKUP(CANTIDAD[[#This Row],[Producto]],MARA[],3,FALSE),"")</f>
        <v>17750243079072</v>
      </c>
      <c r="E462" s="11" t="str">
        <f>IFERROR(VLOOKUP(CANTIDAD[[#This Row],[Ubicación]],SAP[],4,FALSE),"")</f>
        <v>DET. BOLIVAR CUIDADO TOTAL 320GR.30BOL</v>
      </c>
      <c r="F462" s="11">
        <f>IFERROR(VLOOKUP(CANTIDAD[[#This Row],[Ubicación]],SAP[],8,FALSE),"")</f>
        <v>39</v>
      </c>
      <c r="G462" s="11" t="str">
        <f>IFERROR(VLOOKUP(CANTIDAD[[#This Row],[Ubicación]],SAP[],9,FALSE),"")</f>
        <v>PQT</v>
      </c>
      <c r="H462" s="11">
        <f>IFERROR(VLOOKUP(CANTIDAD[[#This Row],[Ubicación]],SAP[],5,FALSE),"")</f>
        <v>2506030120</v>
      </c>
      <c r="I462" s="42">
        <f>IFERROR(VLOOKUP(CANTIDAD[[#This Row],[Ubicación]],SAP[],6,FALSE),"")</f>
        <v>46452</v>
      </c>
      <c r="J462" s="11" t="str">
        <f>IFERROR(VLOOKUP(CANTIDAD[[#This Row],[Ubicación]],SAP[],7,FALSE),"")</f>
        <v>1F</v>
      </c>
      <c r="K462" s="17">
        <f>IFERROR(VLOOKUP(CANTIDAD[[#This Row],[Ubicación]],SAP[],10,FALSE),"")</f>
        <v>1170</v>
      </c>
      <c r="L462" s="48">
        <f>IFERROR(VLOOKUP(CANTIDAD[[#This Row],[Producto]],MARA[],5,FALSE),"")</f>
        <v>5</v>
      </c>
      <c r="M462" s="48" t="str">
        <f>IFERROR(VLOOKUP(CANTIDAD[[#This Row],[Producto]],MARA[],4,FALSE),"")</f>
        <v>PQT</v>
      </c>
      <c r="N462" s="136" t="s">
        <v>4815</v>
      </c>
    </row>
    <row r="463" spans="1:14" hidden="1">
      <c r="A463" s="139" t="str">
        <f t="shared" si="7"/>
        <v>PASILLO 13</v>
      </c>
      <c r="B463" s="93" t="s">
        <v>4015</v>
      </c>
      <c r="C463" s="11">
        <f>IFERROR(VLOOKUP(CANTIDAD[[#This Row],[Ubicación]],SAP[],3,FALSE),"")</f>
        <v>8410220</v>
      </c>
      <c r="D463" s="30">
        <f>IFERROR(VLOOKUP(CANTIDAD[[#This Row],[Producto]],MARA[],3,FALSE),"")</f>
        <v>37750243065840</v>
      </c>
      <c r="E463" s="13" t="str">
        <f>IFERROR(VLOOKUP(CANTIDAD[[#This Row],[Ubicación]],SAP[],4,FALSE),"")</f>
        <v>DETER.SAPOLIO LIMON 140GR 60UND CP</v>
      </c>
      <c r="F463" s="13">
        <f>IFERROR(VLOOKUP(CANTIDAD[[#This Row],[Ubicación]],SAP[],8,FALSE),"")</f>
        <v>22</v>
      </c>
      <c r="G463" s="13" t="str">
        <f>IFERROR(VLOOKUP(CANTIDAD[[#This Row],[Ubicación]],SAP[],9,FALSE),"")</f>
        <v>PQT</v>
      </c>
      <c r="H463" s="13">
        <f>IFERROR(VLOOKUP(CANTIDAD[[#This Row],[Ubicación]],SAP[],5,FALSE),"")</f>
        <v>2608170120</v>
      </c>
      <c r="I463" s="43" t="str">
        <f>IFERROR(VLOOKUP(CANTIDAD[[#This Row],[Ubicación]],SAP[],6,FALSE),"")</f>
        <v>17/08/2029</v>
      </c>
      <c r="J463" s="13" t="str">
        <f>IFERROR(VLOOKUP(CANTIDAD[[#This Row],[Ubicación]],SAP[],7,FALSE),"")</f>
        <v>1F</v>
      </c>
      <c r="K463" s="18">
        <f>IFERROR(VLOOKUP(CANTIDAD[[#This Row],[Ubicación]],SAP[],10,FALSE),"")</f>
        <v>1320</v>
      </c>
      <c r="L463" s="48">
        <f>IFERROR(VLOOKUP(CANTIDAD[[#This Row],[Producto]],MARA[],5,FALSE),"")</f>
        <v>5</v>
      </c>
      <c r="M463" s="48" t="str">
        <f>IFERROR(VLOOKUP(CANTIDAD[[#This Row],[Producto]],MARA[],4,FALSE),"")</f>
        <v>PQT</v>
      </c>
      <c r="N463" s="136" t="s">
        <v>4816</v>
      </c>
    </row>
    <row r="464" spans="1:14" hidden="1">
      <c r="A464" s="139" t="str">
        <f t="shared" si="7"/>
        <v>PASILLO 13</v>
      </c>
      <c r="B464" s="92" t="s">
        <v>3985</v>
      </c>
      <c r="C464" s="11">
        <f>IFERROR(VLOOKUP(CANTIDAD[[#This Row],[Ubicación]],SAP[],3,FALSE),"")</f>
        <v>8410147</v>
      </c>
      <c r="D464" s="29">
        <f>IFERROR(VLOOKUP(CANTIDAD[[#This Row],[Producto]],MARA[],3,FALSE),"")</f>
        <v>17750243065853</v>
      </c>
      <c r="E464" s="11" t="str">
        <f>IFERROR(VLOOKUP(CANTIDAD[[#This Row],[Ubicación]],SAP[],4,FALSE),"")</f>
        <v>DETER.SAPOLIO FLORAL 140GR 60UND</v>
      </c>
      <c r="F464" s="11">
        <f>IFERROR(VLOOKUP(CANTIDAD[[#This Row],[Ubicación]],SAP[],8,FALSE),"")</f>
        <v>29</v>
      </c>
      <c r="G464" s="11" t="str">
        <f>IFERROR(VLOOKUP(CANTIDAD[[#This Row],[Ubicación]],SAP[],9,FALSE),"")</f>
        <v>PQT</v>
      </c>
      <c r="H464" s="11">
        <f>IFERROR(VLOOKUP(CANTIDAD[[#This Row],[Ubicación]],SAP[],5,FALSE),"")</f>
        <v>2604155030</v>
      </c>
      <c r="I464" s="42" t="str">
        <f>IFERROR(VLOOKUP(CANTIDAD[[#This Row],[Ubicación]],SAP[],6,FALSE),"")</f>
        <v>15/04/2029</v>
      </c>
      <c r="J464" s="11" t="str">
        <f>IFERROR(VLOOKUP(CANTIDAD[[#This Row],[Ubicación]],SAP[],7,FALSE),"")</f>
        <v>1F</v>
      </c>
      <c r="K464" s="17">
        <f>IFERROR(VLOOKUP(CANTIDAD[[#This Row],[Ubicación]],SAP[],10,FALSE),"")</f>
        <v>1740</v>
      </c>
      <c r="L464" s="48">
        <f>IFERROR(VLOOKUP(CANTIDAD[[#This Row],[Producto]],MARA[],5,FALSE),"")</f>
        <v>5</v>
      </c>
      <c r="M464" s="48" t="str">
        <f>IFERROR(VLOOKUP(CANTIDAD[[#This Row],[Producto]],MARA[],4,FALSE),"")</f>
        <v>PQT</v>
      </c>
      <c r="N464" s="136" t="s">
        <v>4817</v>
      </c>
    </row>
    <row r="465" spans="1:14" hidden="1">
      <c r="A465" s="139" t="str">
        <f t="shared" si="7"/>
        <v>PASILLO 13</v>
      </c>
      <c r="B465" s="93" t="s">
        <v>4818</v>
      </c>
      <c r="C465" s="11" t="str">
        <f>IFERROR(VLOOKUP(CANTIDAD[[#This Row],[Ubicación]],SAP[],3,FALSE),"")</f>
        <v/>
      </c>
      <c r="D465" s="30" t="str">
        <f>IFERROR(VLOOKUP(CANTIDAD[[#This Row],[Producto]],MARA[],3,FALSE),"")</f>
        <v/>
      </c>
      <c r="E465" s="13" t="str">
        <f>IFERROR(VLOOKUP(CANTIDAD[[#This Row],[Ubicación]],SAP[],4,FALSE),"")</f>
        <v/>
      </c>
      <c r="F465" s="13" t="str">
        <f>IFERROR(VLOOKUP(CANTIDAD[[#This Row],[Ubicación]],SAP[],8,FALSE),"")</f>
        <v/>
      </c>
      <c r="G465" s="13" t="str">
        <f>IFERROR(VLOOKUP(CANTIDAD[[#This Row],[Ubicación]],SAP[],9,FALSE),"")</f>
        <v/>
      </c>
      <c r="H465" s="13" t="str">
        <f>IFERROR(VLOOKUP(CANTIDAD[[#This Row],[Ubicación]],SAP[],5,FALSE),"")</f>
        <v/>
      </c>
      <c r="I465" s="43" t="str">
        <f>IFERROR(VLOOKUP(CANTIDAD[[#This Row],[Ubicación]],SAP[],6,FALSE),"")</f>
        <v/>
      </c>
      <c r="J465" s="13" t="str">
        <f>IFERROR(VLOOKUP(CANTIDAD[[#This Row],[Ubicación]],SAP[],7,FALSE),"")</f>
        <v/>
      </c>
      <c r="K465" s="14" t="str">
        <f>IFERROR(VLOOKUP(CANTIDAD[[#This Row],[Ubicación]],SAP[],10,FALSE),"")</f>
        <v/>
      </c>
      <c r="L465" s="48" t="str">
        <f>IFERROR(VLOOKUP(CANTIDAD[[#This Row],[Producto]],MARA[],5,FALSE),"")</f>
        <v/>
      </c>
      <c r="M465" s="48" t="str">
        <f>IFERROR(VLOOKUP(CANTIDAD[[#This Row],[Producto]],MARA[],4,FALSE),"")</f>
        <v/>
      </c>
      <c r="N465" s="136" t="s">
        <v>4819</v>
      </c>
    </row>
    <row r="466" spans="1:14" hidden="1">
      <c r="A466" s="139" t="str">
        <f t="shared" si="7"/>
        <v>PASILLO 13</v>
      </c>
      <c r="B466" s="92" t="s">
        <v>4022</v>
      </c>
      <c r="C466" s="11">
        <f>IFERROR(VLOOKUP(CANTIDAD[[#This Row],[Ubicación]],SAP[],3,FALSE),"")</f>
        <v>8410223</v>
      </c>
      <c r="D466" s="29">
        <f>IFERROR(VLOOKUP(CANTIDAD[[#This Row],[Producto]],MARA[],3,FALSE),"")</f>
        <v>17750243087657</v>
      </c>
      <c r="E466" s="11" t="str">
        <f>IFERROR(VLOOKUP(CANTIDAD[[#This Row],[Ubicación]],SAP[],4,FALSE),"")</f>
        <v>DET. SAPOLIO PRO MAXIMO PODER 9x1KG</v>
      </c>
      <c r="F466" s="11">
        <f>IFERROR(VLOOKUP(CANTIDAD[[#This Row],[Ubicación]],SAP[],8,FALSE),"")</f>
        <v>10</v>
      </c>
      <c r="G466" s="11" t="str">
        <f>IFERROR(VLOOKUP(CANTIDAD[[#This Row],[Ubicación]],SAP[],9,FALSE),"")</f>
        <v>PQT</v>
      </c>
      <c r="H466" s="11">
        <f>IFERROR(VLOOKUP(CANTIDAD[[#This Row],[Ubicación]],SAP[],5,FALSE),"")</f>
        <v>2606025030</v>
      </c>
      <c r="I466" s="42">
        <f>IFERROR(VLOOKUP(CANTIDAD[[#This Row],[Ubicación]],SAP[],6,FALSE),"")</f>
        <v>47155</v>
      </c>
      <c r="J466" s="11" t="str">
        <f>IFERROR(VLOOKUP(CANTIDAD[[#This Row],[Ubicación]],SAP[],7,FALSE),"")</f>
        <v>1F</v>
      </c>
      <c r="K466" s="11">
        <f>IFERROR(VLOOKUP(CANTIDAD[[#This Row],[Ubicación]],SAP[],10,FALSE),"")</f>
        <v>90</v>
      </c>
      <c r="L466" s="48">
        <f>IFERROR(VLOOKUP(CANTIDAD[[#This Row],[Producto]],MARA[],5,FALSE),"")</f>
        <v>5</v>
      </c>
      <c r="M466" s="48" t="str">
        <f>IFERROR(VLOOKUP(CANTIDAD[[#This Row],[Producto]],MARA[],4,FALSE),"")</f>
        <v>PQT</v>
      </c>
      <c r="N466" s="136" t="s">
        <v>4820</v>
      </c>
    </row>
    <row r="467" spans="1:14" hidden="1">
      <c r="A467" s="139" t="str">
        <f t="shared" si="7"/>
        <v>PASILLO 13</v>
      </c>
      <c r="B467" s="93" t="s">
        <v>4012</v>
      </c>
      <c r="C467" s="11">
        <f>IFERROR(VLOOKUP(CANTIDAD[[#This Row],[Ubicación]],SAP[],3,FALSE),"")</f>
        <v>8410219</v>
      </c>
      <c r="D467" s="30">
        <f>IFERROR(VLOOKUP(CANTIDAD[[#This Row],[Producto]],MARA[],3,FALSE),"")</f>
        <v>7750243083911</v>
      </c>
      <c r="E467" s="13" t="str">
        <f>IFERROR(VLOOKUP(CANTIDAD[[#This Row],[Ubicación]],SAP[],4,FALSE),"")</f>
        <v>DET. SAPOLIO PRO MAXIMO PODER 9 KG</v>
      </c>
      <c r="F467" s="13">
        <f>IFERROR(VLOOKUP(CANTIDAD[[#This Row],[Ubicación]],SAP[],8,FALSE),"")</f>
        <v>29</v>
      </c>
      <c r="G467" s="13" t="str">
        <f>IFERROR(VLOOKUP(CANTIDAD[[#This Row],[Ubicación]],SAP[],9,FALSE),"")</f>
        <v>UND</v>
      </c>
      <c r="H467" s="13">
        <f>IFERROR(VLOOKUP(CANTIDAD[[#This Row],[Ubicación]],SAP[],5,FALSE),"")</f>
        <v>2607045030</v>
      </c>
      <c r="I467" s="43">
        <f>IFERROR(VLOOKUP(CANTIDAD[[#This Row],[Ubicación]],SAP[],6,FALSE),"")</f>
        <v>47215</v>
      </c>
      <c r="J467" s="13" t="str">
        <f>IFERROR(VLOOKUP(CANTIDAD[[#This Row],[Ubicación]],SAP[],7,FALSE),"")</f>
        <v>1F</v>
      </c>
      <c r="K467" s="14">
        <f>IFERROR(VLOOKUP(CANTIDAD[[#This Row],[Ubicación]],SAP[],10,FALSE),"")</f>
        <v>29</v>
      </c>
      <c r="L467" s="48">
        <f>IFERROR(VLOOKUP(CANTIDAD[[#This Row],[Producto]],MARA[],5,FALSE),"")</f>
        <v>6</v>
      </c>
      <c r="M467" s="48" t="str">
        <f>IFERROR(VLOOKUP(CANTIDAD[[#This Row],[Producto]],MARA[],4,FALSE),"")</f>
        <v>UND</v>
      </c>
      <c r="N467" s="136" t="s">
        <v>4821</v>
      </c>
    </row>
    <row r="468" spans="1:14" hidden="1">
      <c r="A468" s="139" t="str">
        <f t="shared" si="7"/>
        <v>PASILLO 13</v>
      </c>
      <c r="B468" s="92" t="s">
        <v>3796</v>
      </c>
      <c r="C468" s="11">
        <f>IFERROR(VLOOKUP(CANTIDAD[[#This Row],[Ubicación]],SAP[],3,FALSE),"")</f>
        <v>8400637</v>
      </c>
      <c r="D468" s="29">
        <f>IFERROR(VLOOKUP(CANTIDAD[[#This Row],[Producto]],MARA[],3,FALSE),"")</f>
        <v>7750243078986</v>
      </c>
      <c r="E468" s="11" t="str">
        <f>IFERROR(VLOOKUP(CANTIDAD[[#This Row],[Ubicación]],SAP[],4,FALSE),"")</f>
        <v>DET. BOLIVAR CUIDADO TOTAL 9KG 1BOL</v>
      </c>
      <c r="F468" s="11">
        <f>IFERROR(VLOOKUP(CANTIDAD[[#This Row],[Ubicación]],SAP[],8,FALSE),"")</f>
        <v>17</v>
      </c>
      <c r="G468" s="11" t="str">
        <f>IFERROR(VLOOKUP(CANTIDAD[[#This Row],[Ubicación]],SAP[],9,FALSE),"")</f>
        <v>UND</v>
      </c>
      <c r="H468" s="11">
        <f>IFERROR(VLOOKUP(CANTIDAD[[#This Row],[Ubicación]],SAP[],5,FALSE),"")</f>
        <v>2608230120</v>
      </c>
      <c r="I468" s="42" t="str">
        <f>IFERROR(VLOOKUP(CANTIDAD[[#This Row],[Ubicación]],SAP[],6,FALSE),"")</f>
        <v>23/08/2028</v>
      </c>
      <c r="J468" s="11" t="str">
        <f>IFERROR(VLOOKUP(CANTIDAD[[#This Row],[Ubicación]],SAP[],7,FALSE),"")</f>
        <v>1F</v>
      </c>
      <c r="K468" s="11">
        <f>IFERROR(VLOOKUP(CANTIDAD[[#This Row],[Ubicación]],SAP[],10,FALSE),"")</f>
        <v>17</v>
      </c>
      <c r="L468" s="48">
        <f>IFERROR(VLOOKUP(CANTIDAD[[#This Row],[Producto]],MARA[],5,FALSE),"")</f>
        <v>7</v>
      </c>
      <c r="M468" s="48" t="str">
        <f>IFERROR(VLOOKUP(CANTIDAD[[#This Row],[Producto]],MARA[],4,FALSE),"")</f>
        <v>UND</v>
      </c>
      <c r="N468" s="136" t="s">
        <v>4822</v>
      </c>
    </row>
    <row r="469" spans="1:14" hidden="1">
      <c r="A469" s="139" t="str">
        <f t="shared" si="7"/>
        <v>PASILLO 13</v>
      </c>
      <c r="B469" s="93" t="s">
        <v>3799</v>
      </c>
      <c r="C469" s="11">
        <f>IFERROR(VLOOKUP(CANTIDAD[[#This Row],[Ubicación]],SAP[],3,FALSE),"")</f>
        <v>8400637</v>
      </c>
      <c r="D469" s="30">
        <f>IFERROR(VLOOKUP(CANTIDAD[[#This Row],[Producto]],MARA[],3,FALSE),"")</f>
        <v>7750243078986</v>
      </c>
      <c r="E469" s="13" t="str">
        <f>IFERROR(VLOOKUP(CANTIDAD[[#This Row],[Ubicación]],SAP[],4,FALSE),"")</f>
        <v>DET. BOLIVAR CUIDADO TOTAL 9KG 1BOL</v>
      </c>
      <c r="F469" s="13">
        <f>IFERROR(VLOOKUP(CANTIDAD[[#This Row],[Ubicación]],SAP[],8,FALSE),"")</f>
        <v>36</v>
      </c>
      <c r="G469" s="13" t="str">
        <f>IFERROR(VLOOKUP(CANTIDAD[[#This Row],[Ubicación]],SAP[],9,FALSE),"")</f>
        <v>UND</v>
      </c>
      <c r="H469" s="13">
        <f>IFERROR(VLOOKUP(CANTIDAD[[#This Row],[Ubicación]],SAP[],5,FALSE),"")</f>
        <v>2608230120</v>
      </c>
      <c r="I469" s="43" t="str">
        <f>IFERROR(VLOOKUP(CANTIDAD[[#This Row],[Ubicación]],SAP[],6,FALSE),"")</f>
        <v>23/08/2028</v>
      </c>
      <c r="J469" s="13" t="str">
        <f>IFERROR(VLOOKUP(CANTIDAD[[#This Row],[Ubicación]],SAP[],7,FALSE),"")</f>
        <v>1F</v>
      </c>
      <c r="K469" s="14">
        <f>IFERROR(VLOOKUP(CANTIDAD[[#This Row],[Ubicación]],SAP[],10,FALSE),"")</f>
        <v>36</v>
      </c>
      <c r="L469" s="48">
        <f>IFERROR(VLOOKUP(CANTIDAD[[#This Row],[Producto]],MARA[],5,FALSE),"")</f>
        <v>7</v>
      </c>
      <c r="M469" s="48" t="str">
        <f>IFERROR(VLOOKUP(CANTIDAD[[#This Row],[Producto]],MARA[],4,FALSE),"")</f>
        <v>UND</v>
      </c>
      <c r="N469" s="136" t="s">
        <v>4823</v>
      </c>
    </row>
    <row r="470" spans="1:14" hidden="1">
      <c r="A470" s="139" t="str">
        <f t="shared" si="7"/>
        <v>PASILLO 13</v>
      </c>
      <c r="B470" s="92" t="s">
        <v>3921</v>
      </c>
      <c r="C470" s="11">
        <f>IFERROR(VLOOKUP(CANTIDAD[[#This Row],[Ubicación]],SAP[],3,FALSE),"")</f>
        <v>8406134</v>
      </c>
      <c r="D470" s="29">
        <f>IFERROR(VLOOKUP(CANTIDAD[[#This Row],[Producto]],MARA[],3,FALSE),"")</f>
        <v>7750243080576</v>
      </c>
      <c r="E470" s="11" t="str">
        <f>IFERROR(VLOOKUP(CANTIDAD[[#This Row],[Ubicación]],SAP[],4,FALSE),"")</f>
        <v>DETER. OPAL ULTRA 9KG 1BOL</v>
      </c>
      <c r="F470" s="11">
        <f>IFERROR(VLOOKUP(CANTIDAD[[#This Row],[Ubicación]],SAP[],8,FALSE),"")</f>
        <v>24</v>
      </c>
      <c r="G470" s="11" t="str">
        <f>IFERROR(VLOOKUP(CANTIDAD[[#This Row],[Ubicación]],SAP[],9,FALSE),"")</f>
        <v>UND</v>
      </c>
      <c r="H470" s="11">
        <f>IFERROR(VLOOKUP(CANTIDAD[[#This Row],[Ubicación]],SAP[],5,FALSE),"")</f>
        <v>2607190120</v>
      </c>
      <c r="I470" s="42" t="str">
        <f>IFERROR(VLOOKUP(CANTIDAD[[#This Row],[Ubicación]],SAP[],6,FALSE),"")</f>
        <v>19/07/2028</v>
      </c>
      <c r="J470" s="11" t="str">
        <f>IFERROR(VLOOKUP(CANTIDAD[[#This Row],[Ubicación]],SAP[],7,FALSE),"")</f>
        <v>1F</v>
      </c>
      <c r="K470" s="11">
        <f>IFERROR(VLOOKUP(CANTIDAD[[#This Row],[Ubicación]],SAP[],10,FALSE),"")</f>
        <v>24</v>
      </c>
      <c r="L470" s="48">
        <f>IFERROR(VLOOKUP(CANTIDAD[[#This Row],[Producto]],MARA[],5,FALSE),"")</f>
        <v>7</v>
      </c>
      <c r="M470" s="48" t="str">
        <f>IFERROR(VLOOKUP(CANTIDAD[[#This Row],[Producto]],MARA[],4,FALSE),"")</f>
        <v>UND</v>
      </c>
      <c r="N470" s="136" t="s">
        <v>4824</v>
      </c>
    </row>
    <row r="471" spans="1:14" hidden="1">
      <c r="A471" s="139" t="str">
        <f t="shared" si="7"/>
        <v>PASILLO 13</v>
      </c>
      <c r="B471" s="93" t="s">
        <v>4085</v>
      </c>
      <c r="C471" s="11">
        <f>IFERROR(VLOOKUP(CANTIDAD[[#This Row],[Ubicación]],SAP[],3,FALSE),"")</f>
        <v>8414038</v>
      </c>
      <c r="D471" s="30">
        <f>IFERROR(VLOOKUP(CANTIDAD[[#This Row],[Producto]],MARA[],3,FALSE),"")</f>
        <v>17750243079386</v>
      </c>
      <c r="E471" s="13" t="str">
        <f>IFERROR(VLOOKUP(CANTIDAD[[#This Row],[Ubicación]],SAP[],4,FALSE),"")</f>
        <v>DET.SAP.LIMON 430GR.20UND</v>
      </c>
      <c r="F471" s="13">
        <f>IFERROR(VLOOKUP(CANTIDAD[[#This Row],[Ubicación]],SAP[],8,FALSE),"")</f>
        <v>12</v>
      </c>
      <c r="G471" s="13" t="str">
        <f>IFERROR(VLOOKUP(CANTIDAD[[#This Row],[Ubicación]],SAP[],9,FALSE),"")</f>
        <v>PQT</v>
      </c>
      <c r="H471" s="13">
        <f>IFERROR(VLOOKUP(CANTIDAD[[#This Row],[Ubicación]],SAP[],5,FALSE),"")</f>
        <v>2608160120</v>
      </c>
      <c r="I471" s="43" t="str">
        <f>IFERROR(VLOOKUP(CANTIDAD[[#This Row],[Ubicación]],SAP[],6,FALSE),"")</f>
        <v>16/08/2029</v>
      </c>
      <c r="J471" s="13" t="str">
        <f>IFERROR(VLOOKUP(CANTIDAD[[#This Row],[Ubicación]],SAP[],7,FALSE),"")</f>
        <v>1F</v>
      </c>
      <c r="K471" s="14">
        <f>IFERROR(VLOOKUP(CANTIDAD[[#This Row],[Ubicación]],SAP[],10,FALSE),"")</f>
        <v>240</v>
      </c>
      <c r="L471" s="48">
        <f>IFERROR(VLOOKUP(CANTIDAD[[#This Row],[Producto]],MARA[],5,FALSE),"")</f>
        <v>5</v>
      </c>
      <c r="M471" s="48" t="str">
        <f>IFERROR(VLOOKUP(CANTIDAD[[#This Row],[Producto]],MARA[],4,FALSE),"")</f>
        <v>PQT</v>
      </c>
      <c r="N471" s="136" t="s">
        <v>4825</v>
      </c>
    </row>
    <row r="472" spans="1:14" hidden="1">
      <c r="A472" s="139" t="str">
        <f t="shared" si="7"/>
        <v>PASILLO 13</v>
      </c>
      <c r="B472" s="92" t="s">
        <v>4025</v>
      </c>
      <c r="C472" s="11">
        <f>IFERROR(VLOOKUP(CANTIDAD[[#This Row],[Ubicación]],SAP[],3,FALSE),"")</f>
        <v>8412039</v>
      </c>
      <c r="D472" s="29">
        <f>IFERROR(VLOOKUP(CANTIDAD[[#This Row],[Producto]],MARA[],3,FALSE),"")</f>
        <v>17750243079690</v>
      </c>
      <c r="E472" s="11" t="str">
        <f>IFERROR(VLOOKUP(CANTIDAD[[#This Row],[Ubicación]],SAP[],4,FALSE),"")</f>
        <v>DET.PATITO BICARB. LIMON 140GR.60UNDXPQT</v>
      </c>
      <c r="F472" s="11">
        <f>IFERROR(VLOOKUP(CANTIDAD[[#This Row],[Ubicación]],SAP[],8,FALSE),"")</f>
        <v>54</v>
      </c>
      <c r="G472" s="11" t="str">
        <f>IFERROR(VLOOKUP(CANTIDAD[[#This Row],[Ubicación]],SAP[],9,FALSE),"")</f>
        <v>PQT</v>
      </c>
      <c r="H472" s="11">
        <f>IFERROR(VLOOKUP(CANTIDAD[[#This Row],[Ubicación]],SAP[],5,FALSE),"")</f>
        <v>2607225030</v>
      </c>
      <c r="I472" s="42" t="str">
        <f>IFERROR(VLOOKUP(CANTIDAD[[#This Row],[Ubicación]],SAP[],6,FALSE),"")</f>
        <v>22/07/2029</v>
      </c>
      <c r="J472" s="11" t="str">
        <f>IFERROR(VLOOKUP(CANTIDAD[[#This Row],[Ubicación]],SAP[],7,FALSE),"")</f>
        <v>1F</v>
      </c>
      <c r="K472" s="17">
        <f>IFERROR(VLOOKUP(CANTIDAD[[#This Row],[Ubicación]],SAP[],10,FALSE),"")</f>
        <v>3240</v>
      </c>
      <c r="L472" s="48">
        <f>IFERROR(VLOOKUP(CANTIDAD[[#This Row],[Producto]],MARA[],5,FALSE),"")</f>
        <v>5</v>
      </c>
      <c r="M472" s="48" t="str">
        <f>IFERROR(VLOOKUP(CANTIDAD[[#This Row],[Producto]],MARA[],4,FALSE),"")</f>
        <v>PQT</v>
      </c>
      <c r="N472" s="136" t="s">
        <v>4826</v>
      </c>
    </row>
    <row r="473" spans="1:14" hidden="1">
      <c r="A473" s="139" t="str">
        <f t="shared" si="7"/>
        <v>PASILLO 13</v>
      </c>
      <c r="B473" s="93" t="s">
        <v>4027</v>
      </c>
      <c r="C473" s="11">
        <f>IFERROR(VLOOKUP(CANTIDAD[[#This Row],[Ubicación]],SAP[],3,FALSE),"")</f>
        <v>8412039</v>
      </c>
      <c r="D473" s="30">
        <f>IFERROR(VLOOKUP(CANTIDAD[[#This Row],[Producto]],MARA[],3,FALSE),"")</f>
        <v>17750243079690</v>
      </c>
      <c r="E473" s="13" t="str">
        <f>IFERROR(VLOOKUP(CANTIDAD[[#This Row],[Ubicación]],SAP[],4,FALSE),"")</f>
        <v>DET.PATITO BICARB. LIMON 140GR.60UNDXPQT</v>
      </c>
      <c r="F473" s="13">
        <f>IFERROR(VLOOKUP(CANTIDAD[[#This Row],[Ubicación]],SAP[],8,FALSE),"")</f>
        <v>9</v>
      </c>
      <c r="G473" s="13" t="str">
        <f>IFERROR(VLOOKUP(CANTIDAD[[#This Row],[Ubicación]],SAP[],9,FALSE),"")</f>
        <v>PQT</v>
      </c>
      <c r="H473" s="13">
        <f>IFERROR(VLOOKUP(CANTIDAD[[#This Row],[Ubicación]],SAP[],5,FALSE),"")</f>
        <v>2607225030</v>
      </c>
      <c r="I473" s="43" t="str">
        <f>IFERROR(VLOOKUP(CANTIDAD[[#This Row],[Ubicación]],SAP[],6,FALSE),"")</f>
        <v>22/07/2029</v>
      </c>
      <c r="J473" s="13" t="str">
        <f>IFERROR(VLOOKUP(CANTIDAD[[#This Row],[Ubicación]],SAP[],7,FALSE),"")</f>
        <v>1F</v>
      </c>
      <c r="K473" s="18">
        <f>IFERROR(VLOOKUP(CANTIDAD[[#This Row],[Ubicación]],SAP[],10,FALSE),"")</f>
        <v>540</v>
      </c>
      <c r="L473" s="48">
        <f>IFERROR(VLOOKUP(CANTIDAD[[#This Row],[Producto]],MARA[],5,FALSE),"")</f>
        <v>5</v>
      </c>
      <c r="M473" s="48" t="str">
        <f>IFERROR(VLOOKUP(CANTIDAD[[#This Row],[Producto]],MARA[],4,FALSE),"")</f>
        <v>PQT</v>
      </c>
      <c r="N473" s="136" t="s">
        <v>4827</v>
      </c>
    </row>
    <row r="474" spans="1:14" hidden="1">
      <c r="A474" s="139" t="str">
        <f t="shared" si="7"/>
        <v>PASILLO 13</v>
      </c>
      <c r="B474" s="92" t="s">
        <v>4032</v>
      </c>
      <c r="C474" s="11">
        <f>IFERROR(VLOOKUP(CANTIDAD[[#This Row],[Ubicación]],SAP[],3,FALSE),"")</f>
        <v>8412041</v>
      </c>
      <c r="D474" s="29">
        <f>IFERROR(VLOOKUP(CANTIDAD[[#This Row],[Producto]],MARA[],3,FALSE),"")</f>
        <v>17750243079713</v>
      </c>
      <c r="E474" s="11" t="str">
        <f>IFERROR(VLOOKUP(CANTIDAD[[#This Row],[Ubicación]],SAP[],4,FALSE),"")</f>
        <v>DET.PATITO BICARB.BEBE 140GR.60UNDxPQT</v>
      </c>
      <c r="F474" s="11">
        <f>IFERROR(VLOOKUP(CANTIDAD[[#This Row],[Ubicación]],SAP[],8,FALSE),"")</f>
        <v>49</v>
      </c>
      <c r="G474" s="11" t="str">
        <f>IFERROR(VLOOKUP(CANTIDAD[[#This Row],[Ubicación]],SAP[],9,FALSE),"")</f>
        <v>PQT</v>
      </c>
      <c r="H474" s="11">
        <f>IFERROR(VLOOKUP(CANTIDAD[[#This Row],[Ubicación]],SAP[],5,FALSE),"")</f>
        <v>2607305030</v>
      </c>
      <c r="I474" s="42" t="str">
        <f>IFERROR(VLOOKUP(CANTIDAD[[#This Row],[Ubicación]],SAP[],6,FALSE),"")</f>
        <v>30/07/2029</v>
      </c>
      <c r="J474" s="11" t="str">
        <f>IFERROR(VLOOKUP(CANTIDAD[[#This Row],[Ubicación]],SAP[],7,FALSE),"")</f>
        <v>1F</v>
      </c>
      <c r="K474" s="17">
        <f>IFERROR(VLOOKUP(CANTIDAD[[#This Row],[Ubicación]],SAP[],10,FALSE),"")</f>
        <v>2940</v>
      </c>
      <c r="L474" s="48">
        <f>IFERROR(VLOOKUP(CANTIDAD[[#This Row],[Producto]],MARA[],5,FALSE),"")</f>
        <v>5</v>
      </c>
      <c r="M474" s="48" t="str">
        <f>IFERROR(VLOOKUP(CANTIDAD[[#This Row],[Producto]],MARA[],4,FALSE),"")</f>
        <v>PQT</v>
      </c>
      <c r="N474" s="136" t="s">
        <v>4828</v>
      </c>
    </row>
    <row r="475" spans="1:14" hidden="1">
      <c r="A475" s="139" t="str">
        <f t="shared" si="7"/>
        <v>PASILLO 13</v>
      </c>
      <c r="B475" s="93" t="s">
        <v>4036</v>
      </c>
      <c r="C475" s="11">
        <f>IFERROR(VLOOKUP(CANTIDAD[[#This Row],[Ubicación]],SAP[],3,FALSE),"")</f>
        <v>8412041</v>
      </c>
      <c r="D475" s="30">
        <f>IFERROR(VLOOKUP(CANTIDAD[[#This Row],[Producto]],MARA[],3,FALSE),"")</f>
        <v>17750243079713</v>
      </c>
      <c r="E475" s="13" t="str">
        <f>IFERROR(VLOOKUP(CANTIDAD[[#This Row],[Ubicación]],SAP[],4,FALSE),"")</f>
        <v>DET.PATITO BICARB.BEBE 140GR.60UNDxPQT</v>
      </c>
      <c r="F475" s="13">
        <f>IFERROR(VLOOKUP(CANTIDAD[[#This Row],[Ubicación]],SAP[],8,FALSE),"")</f>
        <v>55</v>
      </c>
      <c r="G475" s="13" t="str">
        <f>IFERROR(VLOOKUP(CANTIDAD[[#This Row],[Ubicación]],SAP[],9,FALSE),"")</f>
        <v>PQT</v>
      </c>
      <c r="H475" s="13">
        <f>IFERROR(VLOOKUP(CANTIDAD[[#This Row],[Ubicación]],SAP[],5,FALSE),"")</f>
        <v>2607305030</v>
      </c>
      <c r="I475" s="43" t="str">
        <f>IFERROR(VLOOKUP(CANTIDAD[[#This Row],[Ubicación]],SAP[],6,FALSE),"")</f>
        <v>30/07/2029</v>
      </c>
      <c r="J475" s="13" t="str">
        <f>IFERROR(VLOOKUP(CANTIDAD[[#This Row],[Ubicación]],SAP[],7,FALSE),"")</f>
        <v>1F</v>
      </c>
      <c r="K475" s="18">
        <f>IFERROR(VLOOKUP(CANTIDAD[[#This Row],[Ubicación]],SAP[],10,FALSE),"")</f>
        <v>3300</v>
      </c>
      <c r="L475" s="48">
        <f>IFERROR(VLOOKUP(CANTIDAD[[#This Row],[Producto]],MARA[],5,FALSE),"")</f>
        <v>5</v>
      </c>
      <c r="M475" s="48" t="str">
        <f>IFERROR(VLOOKUP(CANTIDAD[[#This Row],[Producto]],MARA[],4,FALSE),"")</f>
        <v>PQT</v>
      </c>
      <c r="N475" s="136" t="s">
        <v>4829</v>
      </c>
    </row>
    <row r="476" spans="1:14" hidden="1">
      <c r="A476" s="139" t="str">
        <f t="shared" si="7"/>
        <v>PASILLO 13</v>
      </c>
      <c r="B476" s="92" t="s">
        <v>4029</v>
      </c>
      <c r="C476" s="11">
        <f>IFERROR(VLOOKUP(CANTIDAD[[#This Row],[Ubicación]],SAP[],3,FALSE),"")</f>
        <v>8412040</v>
      </c>
      <c r="D476" s="29">
        <f>IFERROR(VLOOKUP(CANTIDAD[[#This Row],[Producto]],MARA[],3,FALSE),"")</f>
        <v>17750243079706</v>
      </c>
      <c r="E476" s="11" t="str">
        <f>IFERROR(VLOOKUP(CANTIDAD[[#This Row],[Ubicación]],SAP[],4,FALSE),"")</f>
        <v>DET.PATITO BICAR. FLORAL 140GR.60UNDxPQ</v>
      </c>
      <c r="F476" s="11">
        <f>IFERROR(VLOOKUP(CANTIDAD[[#This Row],[Ubicación]],SAP[],8,FALSE),"")</f>
        <v>47</v>
      </c>
      <c r="G476" s="11" t="str">
        <f>IFERROR(VLOOKUP(CANTIDAD[[#This Row],[Ubicación]],SAP[],9,FALSE),"")</f>
        <v>PQT</v>
      </c>
      <c r="H476" s="11">
        <f>IFERROR(VLOOKUP(CANTIDAD[[#This Row],[Ubicación]],SAP[],5,FALSE),"")</f>
        <v>2607315030</v>
      </c>
      <c r="I476" s="42" t="str">
        <f>IFERROR(VLOOKUP(CANTIDAD[[#This Row],[Ubicación]],SAP[],6,FALSE),"")</f>
        <v>31/07/2029</v>
      </c>
      <c r="J476" s="11" t="str">
        <f>IFERROR(VLOOKUP(CANTIDAD[[#This Row],[Ubicación]],SAP[],7,FALSE),"")</f>
        <v>1F</v>
      </c>
      <c r="K476" s="17">
        <f>IFERROR(VLOOKUP(CANTIDAD[[#This Row],[Ubicación]],SAP[],10,FALSE),"")</f>
        <v>2820</v>
      </c>
      <c r="L476" s="48">
        <f>IFERROR(VLOOKUP(CANTIDAD[[#This Row],[Producto]],MARA[],5,FALSE),"")</f>
        <v>5</v>
      </c>
      <c r="M476" s="48" t="str">
        <f>IFERROR(VLOOKUP(CANTIDAD[[#This Row],[Producto]],MARA[],4,FALSE),"")</f>
        <v>PQT</v>
      </c>
      <c r="N476" s="136" t="s">
        <v>4830</v>
      </c>
    </row>
    <row r="477" spans="1:14" hidden="1">
      <c r="A477" s="139" t="str">
        <f t="shared" si="7"/>
        <v>PASILLO 13</v>
      </c>
      <c r="B477" s="93" t="s">
        <v>3995</v>
      </c>
      <c r="C477" s="11">
        <f>IFERROR(VLOOKUP(CANTIDAD[[#This Row],[Ubicación]],SAP[],3,FALSE),"")</f>
        <v>8410211</v>
      </c>
      <c r="D477" s="30">
        <f>IFERROR(VLOOKUP(CANTIDAD[[#This Row],[Producto]],MARA[],3,FALSE),"")</f>
        <v>17750243082133</v>
      </c>
      <c r="E477" s="13" t="str">
        <f>IFERROR(VLOOKUP(CANTIDAD[[#This Row],[Ubicación]],SAP[],4,FALSE),"")</f>
        <v>DET. TROME ENCANTO FLORAL 140GR.60BOL</v>
      </c>
      <c r="F477" s="13">
        <f>IFERROR(VLOOKUP(CANTIDAD[[#This Row],[Ubicación]],SAP[],8,FALSE),"")</f>
        <v>25</v>
      </c>
      <c r="G477" s="13" t="str">
        <f>IFERROR(VLOOKUP(CANTIDAD[[#This Row],[Ubicación]],SAP[],9,FALSE),"")</f>
        <v>PQT</v>
      </c>
      <c r="H477" s="13">
        <f>IFERROR(VLOOKUP(CANTIDAD[[#This Row],[Ubicación]],SAP[],5,FALSE),"")</f>
        <v>2608195030</v>
      </c>
      <c r="I477" s="43" t="str">
        <f>IFERROR(VLOOKUP(CANTIDAD[[#This Row],[Ubicación]],SAP[],6,FALSE),"")</f>
        <v>19/08/2028</v>
      </c>
      <c r="J477" s="13" t="str">
        <f>IFERROR(VLOOKUP(CANTIDAD[[#This Row],[Ubicación]],SAP[],7,FALSE),"")</f>
        <v>1F</v>
      </c>
      <c r="K477" s="18">
        <f>IFERROR(VLOOKUP(CANTIDAD[[#This Row],[Ubicación]],SAP[],10,FALSE),"")</f>
        <v>1500</v>
      </c>
      <c r="L477" s="48">
        <f>IFERROR(VLOOKUP(CANTIDAD[[#This Row],[Producto]],MARA[],5,FALSE),"")</f>
        <v>5</v>
      </c>
      <c r="M477" s="48" t="str">
        <f>IFERROR(VLOOKUP(CANTIDAD[[#This Row],[Producto]],MARA[],4,FALSE),"")</f>
        <v>PQT</v>
      </c>
      <c r="N477" s="136" t="s">
        <v>4831</v>
      </c>
    </row>
    <row r="478" spans="1:14" hidden="1">
      <c r="A478" s="139" t="str">
        <f t="shared" si="7"/>
        <v>PASILLO 13</v>
      </c>
      <c r="B478" s="92" t="s">
        <v>3997</v>
      </c>
      <c r="C478" s="11">
        <f>IFERROR(VLOOKUP(CANTIDAD[[#This Row],[Ubicación]],SAP[],3,FALSE),"")</f>
        <v>8410211</v>
      </c>
      <c r="D478" s="29">
        <f>IFERROR(VLOOKUP(CANTIDAD[[#This Row],[Producto]],MARA[],3,FALSE),"")</f>
        <v>17750243082133</v>
      </c>
      <c r="E478" s="11" t="str">
        <f>IFERROR(VLOOKUP(CANTIDAD[[#This Row],[Ubicación]],SAP[],4,FALSE),"")</f>
        <v>DET. TROME ENCANTO FLORAL 140GR.60BOL</v>
      </c>
      <c r="F478" s="11">
        <f>IFERROR(VLOOKUP(CANTIDAD[[#This Row],[Ubicación]],SAP[],8,FALSE),"")</f>
        <v>42</v>
      </c>
      <c r="G478" s="11" t="str">
        <f>IFERROR(VLOOKUP(CANTIDAD[[#This Row],[Ubicación]],SAP[],9,FALSE),"")</f>
        <v>PQT</v>
      </c>
      <c r="H478" s="11">
        <f>IFERROR(VLOOKUP(CANTIDAD[[#This Row],[Ubicación]],SAP[],5,FALSE),"")</f>
        <v>2608195030</v>
      </c>
      <c r="I478" s="42" t="str">
        <f>IFERROR(VLOOKUP(CANTIDAD[[#This Row],[Ubicación]],SAP[],6,FALSE),"")</f>
        <v>19/08/2028</v>
      </c>
      <c r="J478" s="11" t="str">
        <f>IFERROR(VLOOKUP(CANTIDAD[[#This Row],[Ubicación]],SAP[],7,FALSE),"")</f>
        <v>1F</v>
      </c>
      <c r="K478" s="17">
        <f>IFERROR(VLOOKUP(CANTIDAD[[#This Row],[Ubicación]],SAP[],10,FALSE),"")</f>
        <v>2520</v>
      </c>
      <c r="L478" s="48">
        <f>IFERROR(VLOOKUP(CANTIDAD[[#This Row],[Producto]],MARA[],5,FALSE),"")</f>
        <v>5</v>
      </c>
      <c r="M478" s="48" t="str">
        <f>IFERROR(VLOOKUP(CANTIDAD[[#This Row],[Producto]],MARA[],4,FALSE),"")</f>
        <v>PQT</v>
      </c>
      <c r="N478" s="136" t="s">
        <v>4832</v>
      </c>
    </row>
    <row r="479" spans="1:14" hidden="1">
      <c r="A479" s="139" t="str">
        <f t="shared" si="7"/>
        <v>PASILLO 13</v>
      </c>
      <c r="B479" s="93" t="s">
        <v>4001</v>
      </c>
      <c r="C479" s="11">
        <f>IFERROR(VLOOKUP(CANTIDAD[[#This Row],[Ubicación]],SAP[],3,FALSE),"")</f>
        <v>8410213</v>
      </c>
      <c r="D479" s="30">
        <f>IFERROR(VLOOKUP(CANTIDAD[[#This Row],[Producto]],MARA[],3,FALSE),"")</f>
        <v>17750243082157</v>
      </c>
      <c r="E479" s="13" t="str">
        <f>IFERROR(VLOOKUP(CANTIDAD[[#This Row],[Ubicación]],SAP[],4,FALSE),"")</f>
        <v>DET. TROME TERNURA FLORAL 140GR.60BOL</v>
      </c>
      <c r="F479" s="13">
        <f>IFERROR(VLOOKUP(CANTIDAD[[#This Row],[Ubicación]],SAP[],8,FALSE),"")</f>
        <v>40</v>
      </c>
      <c r="G479" s="13" t="str">
        <f>IFERROR(VLOOKUP(CANTIDAD[[#This Row],[Ubicación]],SAP[],9,FALSE),"")</f>
        <v>PQT</v>
      </c>
      <c r="H479" s="13">
        <f>IFERROR(VLOOKUP(CANTIDAD[[#This Row],[Ubicación]],SAP[],5,FALSE),"")</f>
        <v>2608195030</v>
      </c>
      <c r="I479" s="43" t="str">
        <f>IFERROR(VLOOKUP(CANTIDAD[[#This Row],[Ubicación]],SAP[],6,FALSE),"")</f>
        <v>19/08/2028</v>
      </c>
      <c r="J479" s="13" t="str">
        <f>IFERROR(VLOOKUP(CANTIDAD[[#This Row],[Ubicación]],SAP[],7,FALSE),"")</f>
        <v>1F</v>
      </c>
      <c r="K479" s="18">
        <f>IFERROR(VLOOKUP(CANTIDAD[[#This Row],[Ubicación]],SAP[],10,FALSE),"")</f>
        <v>2400</v>
      </c>
      <c r="L479" s="48">
        <f>IFERROR(VLOOKUP(CANTIDAD[[#This Row],[Producto]],MARA[],5,FALSE),"")</f>
        <v>5</v>
      </c>
      <c r="M479" s="48" t="str">
        <f>IFERROR(VLOOKUP(CANTIDAD[[#This Row],[Producto]],MARA[],4,FALSE),"")</f>
        <v>PQT</v>
      </c>
      <c r="N479" s="136" t="s">
        <v>4833</v>
      </c>
    </row>
    <row r="480" spans="1:14" hidden="1">
      <c r="A480" s="139" t="str">
        <f t="shared" si="7"/>
        <v>PASILLO 13</v>
      </c>
      <c r="B480" s="92" t="s">
        <v>4003</v>
      </c>
      <c r="C480" s="11">
        <f>IFERROR(VLOOKUP(CANTIDAD[[#This Row],[Ubicación]],SAP[],3,FALSE),"")</f>
        <v>8410213</v>
      </c>
      <c r="D480" s="31">
        <f>IFERROR(VLOOKUP(CANTIDAD[[#This Row],[Producto]],MARA[],3,FALSE),"")</f>
        <v>17750243082157</v>
      </c>
      <c r="E480" s="19" t="str">
        <f>IFERROR(VLOOKUP(CANTIDAD[[#This Row],[Ubicación]],SAP[],4,FALSE),"")</f>
        <v>DET. TROME TERNURA FLORAL 140GR.60BOL</v>
      </c>
      <c r="F480" s="19">
        <f>IFERROR(VLOOKUP(CANTIDAD[[#This Row],[Ubicación]],SAP[],8,FALSE),"")</f>
        <v>23</v>
      </c>
      <c r="G480" s="19" t="str">
        <f>IFERROR(VLOOKUP(CANTIDAD[[#This Row],[Ubicación]],SAP[],9,FALSE),"")</f>
        <v>PQT</v>
      </c>
      <c r="H480" s="19">
        <f>IFERROR(VLOOKUP(CANTIDAD[[#This Row],[Ubicación]],SAP[],5,FALSE),"")</f>
        <v>2608195030</v>
      </c>
      <c r="I480" s="119" t="str">
        <f>IFERROR(VLOOKUP(CANTIDAD[[#This Row],[Ubicación]],SAP[],6,FALSE),"")</f>
        <v>19/08/2028</v>
      </c>
      <c r="J480" s="19" t="str">
        <f>IFERROR(VLOOKUP(CANTIDAD[[#This Row],[Ubicación]],SAP[],7,FALSE),"")</f>
        <v>1F</v>
      </c>
      <c r="K480" s="20">
        <f>IFERROR(VLOOKUP(CANTIDAD[[#This Row],[Ubicación]],SAP[],10,FALSE),"")</f>
        <v>1380</v>
      </c>
      <c r="L480" s="49">
        <f>IFERROR(VLOOKUP(CANTIDAD[[#This Row],[Producto]],MARA[],5,FALSE),"")</f>
        <v>5</v>
      </c>
      <c r="M480" s="49" t="str">
        <f>IFERROR(VLOOKUP(CANTIDAD[[#This Row],[Producto]],MARA[],4,FALSE),"")</f>
        <v>PQT</v>
      </c>
      <c r="N480" s="136" t="s">
        <v>4834</v>
      </c>
    </row>
    <row r="481" spans="1:14" hidden="1">
      <c r="A481" s="139" t="str">
        <f t="shared" si="7"/>
        <v>PASILLO 13</v>
      </c>
      <c r="B481" s="94" t="s">
        <v>3999</v>
      </c>
      <c r="C481" s="11">
        <f>IFERROR(VLOOKUP(CANTIDAD[[#This Row],[Ubicación]],SAP[],3,FALSE),"")</f>
        <v>8410212</v>
      </c>
      <c r="D481" s="32">
        <f>IFERROR(VLOOKUP(CANTIDAD[[#This Row],[Producto]],MARA[],3,FALSE),"")</f>
        <v>17750243082140</v>
      </c>
      <c r="E481" s="21" t="str">
        <f>IFERROR(VLOOKUP(CANTIDAD[[#This Row],[Ubicación]],SAP[],4,FALSE),"")</f>
        <v>DET. TROME FRESCO LIMON 140GR.60BOL</v>
      </c>
      <c r="F481" s="21">
        <f>IFERROR(VLOOKUP(CANTIDAD[[#This Row],[Ubicación]],SAP[],8,FALSE),"")</f>
        <v>34</v>
      </c>
      <c r="G481" s="21" t="str">
        <f>IFERROR(VLOOKUP(CANTIDAD[[#This Row],[Ubicación]],SAP[],9,FALSE),"")</f>
        <v>PQT</v>
      </c>
      <c r="H481" s="21">
        <f>IFERROR(VLOOKUP(CANTIDAD[[#This Row],[Ubicación]],SAP[],5,FALSE),"")</f>
        <v>2607095030</v>
      </c>
      <c r="I481" s="44">
        <f>IFERROR(VLOOKUP(CANTIDAD[[#This Row],[Ubicación]],SAP[],6,FALSE),"")</f>
        <v>47003</v>
      </c>
      <c r="J481" s="21" t="str">
        <f>IFERROR(VLOOKUP(CANTIDAD[[#This Row],[Ubicación]],SAP[],7,FALSE),"")</f>
        <v>1F</v>
      </c>
      <c r="K481" s="22">
        <f>IFERROR(VLOOKUP(CANTIDAD[[#This Row],[Ubicación]],SAP[],10,FALSE),"")</f>
        <v>2040</v>
      </c>
      <c r="L481" s="50">
        <f>IFERROR(VLOOKUP(CANTIDAD[[#This Row],[Producto]],MARA[],5,FALSE),"")</f>
        <v>5</v>
      </c>
      <c r="M481" s="50" t="str">
        <f>IFERROR(VLOOKUP(CANTIDAD[[#This Row],[Producto]],MARA[],4,FALSE),"")</f>
        <v>PQT</v>
      </c>
      <c r="N481" s="136" t="s">
        <v>4835</v>
      </c>
    </row>
    <row r="482" spans="1:14" hidden="1">
      <c r="A482" s="139" t="str">
        <f t="shared" si="7"/>
        <v>PASILLO 13</v>
      </c>
      <c r="B482" s="95" t="s">
        <v>3919</v>
      </c>
      <c r="C482" s="11">
        <f>IFERROR(VLOOKUP(CANTIDAD[[#This Row],[Ubicación]],SAP[],3,FALSE),"")</f>
        <v>8404730</v>
      </c>
      <c r="D482" s="33">
        <f>IFERROR(VLOOKUP(CANTIDAD[[#This Row],[Producto]],MARA[],3,FALSE),"")</f>
        <v>37750243079878</v>
      </c>
      <c r="E482" s="23" t="str">
        <f>IFERROR(VLOOKUP(CANTIDAD[[#This Row],[Ubicación]],SAP[],4,FALSE),"")</f>
        <v>DET. MARSE. LAVANDA ROSAS 140GR 60BOL CP</v>
      </c>
      <c r="F482" s="23">
        <f>IFERROR(VLOOKUP(CANTIDAD[[#This Row],[Ubicación]],SAP[],8,FALSE),"")</f>
        <v>33</v>
      </c>
      <c r="G482" s="23" t="str">
        <f>IFERROR(VLOOKUP(CANTIDAD[[#This Row],[Ubicación]],SAP[],9,FALSE),"")</f>
        <v>PQT</v>
      </c>
      <c r="H482" s="23">
        <f>IFERROR(VLOOKUP(CANTIDAD[[#This Row],[Ubicación]],SAP[],5,FALSE),"")</f>
        <v>2608020120</v>
      </c>
      <c r="I482" s="45">
        <f>IFERROR(VLOOKUP(CANTIDAD[[#This Row],[Ubicación]],SAP[],6,FALSE),"")</f>
        <v>46791</v>
      </c>
      <c r="J482" s="23" t="str">
        <f>IFERROR(VLOOKUP(CANTIDAD[[#This Row],[Ubicación]],SAP[],7,FALSE),"")</f>
        <v>1F</v>
      </c>
      <c r="K482" s="24">
        <f>IFERROR(VLOOKUP(CANTIDAD[[#This Row],[Ubicación]],SAP[],10,FALSE),"")</f>
        <v>1980</v>
      </c>
      <c r="L482" s="50">
        <f>IFERROR(VLOOKUP(CANTIDAD[[#This Row],[Producto]],MARA[],5,FALSE),"")</f>
        <v>5</v>
      </c>
      <c r="M482" s="50" t="str">
        <f>IFERROR(VLOOKUP(CANTIDAD[[#This Row],[Producto]],MARA[],4,FALSE),"")</f>
        <v>PQT</v>
      </c>
      <c r="N482" s="136" t="s">
        <v>4836</v>
      </c>
    </row>
    <row r="483" spans="1:14" hidden="1">
      <c r="A483" s="139" t="str">
        <f t="shared" si="7"/>
        <v>PASILLO 13</v>
      </c>
      <c r="B483" s="94" t="s">
        <v>3765</v>
      </c>
      <c r="C483" s="11">
        <f>IFERROR(VLOOKUP(CANTIDAD[[#This Row],[Ubicación]],SAP[],3,FALSE),"")</f>
        <v>8400627</v>
      </c>
      <c r="D483" s="32">
        <f>IFERROR(VLOOKUP(CANTIDAD[[#This Row],[Producto]],MARA[],3,FALSE),"")</f>
        <v>17750243078884</v>
      </c>
      <c r="E483" s="21" t="str">
        <f>IFERROR(VLOOKUP(CANTIDAD[[#This Row],[Ubicación]],SAP[],4,FALSE),"")</f>
        <v>DET. BOLIVAR CUIDADO TOTAL 140GR60BOL</v>
      </c>
      <c r="F483" s="21">
        <f>IFERROR(VLOOKUP(CANTIDAD[[#This Row],[Ubicación]],SAP[],8,FALSE),"")</f>
        <v>31</v>
      </c>
      <c r="G483" s="21" t="str">
        <f>IFERROR(VLOOKUP(CANTIDAD[[#This Row],[Ubicación]],SAP[],9,FALSE),"")</f>
        <v>PQT</v>
      </c>
      <c r="H483" s="21">
        <f>IFERROR(VLOOKUP(CANTIDAD[[#This Row],[Ubicación]],SAP[],5,FALSE),"")</f>
        <v>2608110120</v>
      </c>
      <c r="I483" s="44">
        <f>IFERROR(VLOOKUP(CANTIDAD[[#This Row],[Ubicación]],SAP[],6,FALSE),"")</f>
        <v>47065</v>
      </c>
      <c r="J483" s="21" t="str">
        <f>IFERROR(VLOOKUP(CANTIDAD[[#This Row],[Ubicación]],SAP[],7,FALSE),"")</f>
        <v>1F</v>
      </c>
      <c r="K483" s="22">
        <f>IFERROR(VLOOKUP(CANTIDAD[[#This Row],[Ubicación]],SAP[],10,FALSE),"")</f>
        <v>1860</v>
      </c>
      <c r="L483" s="50">
        <f>IFERROR(VLOOKUP(CANTIDAD[[#This Row],[Producto]],MARA[],5,FALSE),"")</f>
        <v>5</v>
      </c>
      <c r="M483" s="50" t="str">
        <f>IFERROR(VLOOKUP(CANTIDAD[[#This Row],[Producto]],MARA[],4,FALSE),"")</f>
        <v>PQT</v>
      </c>
      <c r="N483" s="136" t="s">
        <v>4837</v>
      </c>
    </row>
    <row r="484" spans="1:14" hidden="1">
      <c r="A484" s="139" t="str">
        <f t="shared" si="7"/>
        <v>PASILLO 13</v>
      </c>
      <c r="B484" s="95" t="s">
        <v>3923</v>
      </c>
      <c r="C484" s="11">
        <f>IFERROR(VLOOKUP(CANTIDAD[[#This Row],[Ubicación]],SAP[],3,FALSE),"")</f>
        <v>8406140</v>
      </c>
      <c r="D484" s="33">
        <f>IFERROR(VLOOKUP(CANTIDAD[[#This Row],[Producto]],MARA[],3,FALSE),"")</f>
        <v>17750243080580</v>
      </c>
      <c r="E484" s="23" t="str">
        <f>IFERROR(VLOOKUP(CANTIDAD[[#This Row],[Ubicación]],SAP[],4,FALSE),"")</f>
        <v>DET. OPAL  ULTRA 140GR.60BOL</v>
      </c>
      <c r="F484" s="23">
        <f>IFERROR(VLOOKUP(CANTIDAD[[#This Row],[Ubicación]],SAP[],8,FALSE),"")</f>
        <v>24</v>
      </c>
      <c r="G484" s="23" t="str">
        <f>IFERROR(VLOOKUP(CANTIDAD[[#This Row],[Ubicación]],SAP[],9,FALSE),"")</f>
        <v>PQT</v>
      </c>
      <c r="H484" s="23">
        <f>IFERROR(VLOOKUP(CANTIDAD[[#This Row],[Ubicación]],SAP[],5,FALSE),"")</f>
        <v>2607310120</v>
      </c>
      <c r="I484" s="45" t="str">
        <f>IFERROR(VLOOKUP(CANTIDAD[[#This Row],[Ubicación]],SAP[],6,FALSE),"")</f>
        <v>31/07/2028</v>
      </c>
      <c r="J484" s="23" t="str">
        <f>IFERROR(VLOOKUP(CANTIDAD[[#This Row],[Ubicación]],SAP[],7,FALSE),"")</f>
        <v>1F</v>
      </c>
      <c r="K484" s="24">
        <f>IFERROR(VLOOKUP(CANTIDAD[[#This Row],[Ubicación]],SAP[],10,FALSE),"")</f>
        <v>1440</v>
      </c>
      <c r="L484" s="50">
        <f>IFERROR(VLOOKUP(CANTIDAD[[#This Row],[Producto]],MARA[],5,FALSE),"")</f>
        <v>5</v>
      </c>
      <c r="M484" s="50" t="str">
        <f>IFERROR(VLOOKUP(CANTIDAD[[#This Row],[Producto]],MARA[],4,FALSE),"")</f>
        <v>PQT</v>
      </c>
      <c r="N484" s="136" t="s">
        <v>4838</v>
      </c>
    </row>
    <row r="485" spans="1:14" hidden="1">
      <c r="A485" s="139" t="str">
        <f t="shared" si="7"/>
        <v>PASILLO 13</v>
      </c>
      <c r="B485" s="93" t="s">
        <v>3867</v>
      </c>
      <c r="C485" s="11">
        <f>IFERROR(VLOOKUP(CANTIDAD[[#This Row],[Ubicación]],SAP[],3,FALSE),"")</f>
        <v>8404095</v>
      </c>
      <c r="D485" s="34">
        <f>IFERROR(VLOOKUP(CANTIDAD[[#This Row],[Producto]],MARA[],3,FALSE),"")</f>
        <v>17750243083611</v>
      </c>
      <c r="E485" s="25" t="str">
        <f>IFERROR(VLOOKUP(CANTIDAD[[#This Row],[Ubicación]],SAP[],4,FALSE),"")</f>
        <v>DET.MARSELLA BRISAS NORTE 140GR.60BOL</v>
      </c>
      <c r="F485" s="25">
        <f>IFERROR(VLOOKUP(CANTIDAD[[#This Row],[Ubicación]],SAP[],8,FALSE),"")</f>
        <v>9</v>
      </c>
      <c r="G485" s="25" t="str">
        <f>IFERROR(VLOOKUP(CANTIDAD[[#This Row],[Ubicación]],SAP[],9,FALSE),"")</f>
        <v>PQT</v>
      </c>
      <c r="H485" s="25">
        <f>IFERROR(VLOOKUP(CANTIDAD[[#This Row],[Ubicación]],SAP[],5,FALSE),"")</f>
        <v>2607230120</v>
      </c>
      <c r="I485" s="47" t="str">
        <f>IFERROR(VLOOKUP(CANTIDAD[[#This Row],[Ubicación]],SAP[],6,FALSE),"")</f>
        <v>23/07/2028</v>
      </c>
      <c r="J485" s="25" t="str">
        <f>IFERROR(VLOOKUP(CANTIDAD[[#This Row],[Ubicación]],SAP[],7,FALSE),"")</f>
        <v>1F</v>
      </c>
      <c r="K485" s="25">
        <f>IFERROR(VLOOKUP(CANTIDAD[[#This Row],[Ubicación]],SAP[],10,FALSE),"")</f>
        <v>540</v>
      </c>
      <c r="L485" s="51">
        <f>IFERROR(VLOOKUP(CANTIDAD[[#This Row],[Producto]],MARA[],5,FALSE),"")</f>
        <v>5</v>
      </c>
      <c r="M485" s="51" t="str">
        <f>IFERROR(VLOOKUP(CANTIDAD[[#This Row],[Producto]],MARA[],4,FALSE),"")</f>
        <v>PQT</v>
      </c>
      <c r="N485" s="137" t="s">
        <v>4839</v>
      </c>
    </row>
    <row r="486" spans="1:14" hidden="1">
      <c r="A486" s="139" t="str">
        <f t="shared" si="7"/>
        <v>PASILLO 13</v>
      </c>
      <c r="B486" s="92" t="s">
        <v>3778</v>
      </c>
      <c r="C486" s="11">
        <f>IFERROR(VLOOKUP(CANTIDAD[[#This Row],[Ubicación]],SAP[],3,FALSE),"")</f>
        <v>8400631</v>
      </c>
      <c r="D486" s="35">
        <f>IFERROR(VLOOKUP(CANTIDAD[[#This Row],[Producto]],MARA[],3,FALSE),"")</f>
        <v>17750243079041</v>
      </c>
      <c r="E486" s="26" t="str">
        <f>IFERROR(VLOOKUP(CANTIDAD[[#This Row],[Ubicación]],SAP[],4,FALSE),"")</f>
        <v>DET. BOLIVAR BEBES NIÑOS 140GR.60BOL</v>
      </c>
      <c r="F486" s="26">
        <f>IFERROR(VLOOKUP(CANTIDAD[[#This Row],[Ubicación]],SAP[],8,FALSE),"")</f>
        <v>38</v>
      </c>
      <c r="G486" s="26" t="str">
        <f>IFERROR(VLOOKUP(CANTIDAD[[#This Row],[Ubicación]],SAP[],9,FALSE),"")</f>
        <v>PQT</v>
      </c>
      <c r="H486" s="26">
        <f>IFERROR(VLOOKUP(CANTIDAD[[#This Row],[Ubicación]],SAP[],5,FALSE),"")</f>
        <v>2607230120</v>
      </c>
      <c r="I486" s="46" t="str">
        <f>IFERROR(VLOOKUP(CANTIDAD[[#This Row],[Ubicación]],SAP[],6,FALSE),"")</f>
        <v>23/07/2028</v>
      </c>
      <c r="J486" s="26" t="str">
        <f>IFERROR(VLOOKUP(CANTIDAD[[#This Row],[Ubicación]],SAP[],7,FALSE),"")</f>
        <v>1F</v>
      </c>
      <c r="K486" s="27">
        <f>IFERROR(VLOOKUP(CANTIDAD[[#This Row],[Ubicación]],SAP[],10,FALSE),"")</f>
        <v>2280</v>
      </c>
      <c r="L486" s="52">
        <f>IFERROR(VLOOKUP(CANTIDAD[[#This Row],[Producto]],MARA[],5,FALSE),"")</f>
        <v>5</v>
      </c>
      <c r="M486" s="52" t="str">
        <f>IFERROR(VLOOKUP(CANTIDAD[[#This Row],[Producto]],MARA[],4,FALSE),"")</f>
        <v>PQT</v>
      </c>
      <c r="N486" s="136" t="s">
        <v>4840</v>
      </c>
    </row>
    <row r="487" spans="1:14" hidden="1">
      <c r="A487" s="139" t="str">
        <f t="shared" si="7"/>
        <v>PASILLO 13</v>
      </c>
      <c r="B487" s="93" t="s">
        <v>3869</v>
      </c>
      <c r="C487" s="11">
        <f>IFERROR(VLOOKUP(CANTIDAD[[#This Row],[Ubicación]],SAP[],3,FALSE),"")</f>
        <v>8404704</v>
      </c>
      <c r="D487" s="34">
        <f>IFERROR(VLOOKUP(CANTIDAD[[#This Row],[Producto]],MARA[],3,FALSE),"")</f>
        <v>17750243078891</v>
      </c>
      <c r="E487" s="25" t="str">
        <f>IFERROR(VLOOKUP(CANTIDAD[[#This Row],[Ubicación]],SAP[],4,FALSE),"")</f>
        <v>DET. MARSELLA DESTINOS SELVA 140GR.60BOL</v>
      </c>
      <c r="F487" s="25">
        <f>IFERROR(VLOOKUP(CANTIDAD[[#This Row],[Ubicación]],SAP[],8,FALSE),"")</f>
        <v>43</v>
      </c>
      <c r="G487" s="25" t="str">
        <f>IFERROR(VLOOKUP(CANTIDAD[[#This Row],[Ubicación]],SAP[],9,FALSE),"")</f>
        <v>PQT</v>
      </c>
      <c r="H487" s="25">
        <f>IFERROR(VLOOKUP(CANTIDAD[[#This Row],[Ubicación]],SAP[],5,FALSE),"")</f>
        <v>2604280120</v>
      </c>
      <c r="I487" s="47" t="str">
        <f>IFERROR(VLOOKUP(CANTIDAD[[#This Row],[Ubicación]],SAP[],6,FALSE),"")</f>
        <v>28/04/2028</v>
      </c>
      <c r="J487" s="25" t="str">
        <f>IFERROR(VLOOKUP(CANTIDAD[[#This Row],[Ubicación]],SAP[],7,FALSE),"")</f>
        <v>1F</v>
      </c>
      <c r="K487" s="28">
        <f>IFERROR(VLOOKUP(CANTIDAD[[#This Row],[Ubicación]],SAP[],10,FALSE),"")</f>
        <v>2580</v>
      </c>
      <c r="L487" s="51">
        <f>IFERROR(VLOOKUP(CANTIDAD[[#This Row],[Producto]],MARA[],5,FALSE),"")</f>
        <v>5</v>
      </c>
      <c r="M487" s="51" t="str">
        <f>IFERROR(VLOOKUP(CANTIDAD[[#This Row],[Producto]],MARA[],4,FALSE),"")</f>
        <v>PQT</v>
      </c>
      <c r="N487" s="136" t="s">
        <v>4841</v>
      </c>
    </row>
    <row r="488" spans="1:14" hidden="1">
      <c r="A488" s="139" t="str">
        <f t="shared" si="7"/>
        <v>PASILLO 13</v>
      </c>
      <c r="B488" s="92" t="s">
        <v>3831</v>
      </c>
      <c r="C488" s="11">
        <f>IFERROR(VLOOKUP(CANTIDAD[[#This Row],[Ubicación]],SAP[],3,FALSE),"")</f>
        <v>8400672</v>
      </c>
      <c r="D488" s="35">
        <f>IFERROR(VLOOKUP(CANTIDAD[[#This Row],[Producto]],MARA[],3,FALSE),"")</f>
        <v>17750243083994</v>
      </c>
      <c r="E488" s="26" t="str">
        <f>IFERROR(VLOOKUP(CANTIDAD[[#This Row],[Ubicación]],SAP[],4,FALSE),"")</f>
        <v>DET. BOLIVAR CUIDADO MICELAR 140GR60BOL</v>
      </c>
      <c r="F488" s="26">
        <f>IFERROR(VLOOKUP(CANTIDAD[[#This Row],[Ubicación]],SAP[],8,FALSE),"")</f>
        <v>32</v>
      </c>
      <c r="G488" s="26" t="str">
        <f>IFERROR(VLOOKUP(CANTIDAD[[#This Row],[Ubicación]],SAP[],9,FALSE),"")</f>
        <v>PQT</v>
      </c>
      <c r="H488" s="26">
        <f>IFERROR(VLOOKUP(CANTIDAD[[#This Row],[Ubicación]],SAP[],5,FALSE),"")</f>
        <v>2509040120</v>
      </c>
      <c r="I488" s="46">
        <f>IFERROR(VLOOKUP(CANTIDAD[[#This Row],[Ubicación]],SAP[],6,FALSE),"")</f>
        <v>46486</v>
      </c>
      <c r="J488" s="26" t="str">
        <f>IFERROR(VLOOKUP(CANTIDAD[[#This Row],[Ubicación]],SAP[],7,FALSE),"")</f>
        <v>1F</v>
      </c>
      <c r="K488" s="27">
        <f>IFERROR(VLOOKUP(CANTIDAD[[#This Row],[Ubicación]],SAP[],10,FALSE),"")</f>
        <v>1920</v>
      </c>
      <c r="L488" s="52">
        <f>IFERROR(VLOOKUP(CANTIDAD[[#This Row],[Producto]],MARA[],5,FALSE),"")</f>
        <v>5</v>
      </c>
      <c r="M488" s="52" t="str">
        <f>IFERROR(VLOOKUP(CANTIDAD[[#This Row],[Producto]],MARA[],4,FALSE),"")</f>
        <v>PQT</v>
      </c>
      <c r="N488" s="136" t="s">
        <v>4842</v>
      </c>
    </row>
    <row r="489" spans="1:14" hidden="1">
      <c r="A489" s="139" t="str">
        <f t="shared" si="7"/>
        <v>PASILLO 13</v>
      </c>
      <c r="B489" s="93" t="s">
        <v>3833</v>
      </c>
      <c r="C489" s="11">
        <f>IFERROR(VLOOKUP(CANTIDAD[[#This Row],[Ubicación]],SAP[],3,FALSE),"")</f>
        <v>8400673</v>
      </c>
      <c r="D489" s="34">
        <f>IFERROR(VLOOKUP(CANTIDAD[[#This Row],[Producto]],MARA[],3,FALSE),"")</f>
        <v>17750243084069</v>
      </c>
      <c r="E489" s="25" t="str">
        <f>IFERROR(VLOOKUP(CANTIDAD[[#This Row],[Ubicación]],SAP[],4,FALSE),"")</f>
        <v>DET. BOLIVAR SUAVIDAD 140GR60BOL</v>
      </c>
      <c r="F489" s="25">
        <f>IFERROR(VLOOKUP(CANTIDAD[[#This Row],[Ubicación]],SAP[],8,FALSE),"")</f>
        <v>43</v>
      </c>
      <c r="G489" s="25" t="str">
        <f>IFERROR(VLOOKUP(CANTIDAD[[#This Row],[Ubicación]],SAP[],9,FALSE),"")</f>
        <v>PQT</v>
      </c>
      <c r="H489" s="25">
        <f>IFERROR(VLOOKUP(CANTIDAD[[#This Row],[Ubicación]],SAP[],5,FALSE),"")</f>
        <v>2601180120</v>
      </c>
      <c r="I489" s="47" t="str">
        <f>IFERROR(VLOOKUP(CANTIDAD[[#This Row],[Ubicación]],SAP[],6,FALSE),"")</f>
        <v>18/01/2028</v>
      </c>
      <c r="J489" s="25" t="str">
        <f>IFERROR(VLOOKUP(CANTIDAD[[#This Row],[Ubicación]],SAP[],7,FALSE),"")</f>
        <v>1F</v>
      </c>
      <c r="K489" s="28">
        <f>IFERROR(VLOOKUP(CANTIDAD[[#This Row],[Ubicación]],SAP[],10,FALSE),"")</f>
        <v>2580</v>
      </c>
      <c r="L489" s="51">
        <f>IFERROR(VLOOKUP(CANTIDAD[[#This Row],[Producto]],MARA[],5,FALSE),"")</f>
        <v>5</v>
      </c>
      <c r="M489" s="51" t="str">
        <f>IFERROR(VLOOKUP(CANTIDAD[[#This Row],[Producto]],MARA[],4,FALSE),"")</f>
        <v>PQT</v>
      </c>
      <c r="N489" s="136" t="s">
        <v>4843</v>
      </c>
    </row>
    <row r="490" spans="1:14" hidden="1">
      <c r="A490" s="139" t="str">
        <f t="shared" si="7"/>
        <v>PASILLO 13</v>
      </c>
      <c r="B490" s="92" t="s">
        <v>3894</v>
      </c>
      <c r="C490" s="11">
        <f>IFERROR(VLOOKUP(CANTIDAD[[#This Row],[Ubicación]],SAP[],3,FALSE),"")</f>
        <v>8404719</v>
      </c>
      <c r="D490" s="35">
        <f>IFERROR(VLOOKUP(CANTIDAD[[#This Row],[Producto]],MARA[],3,FALSE),"")</f>
        <v>17750243079874</v>
      </c>
      <c r="E490" s="26" t="str">
        <f>IFERROR(VLOOKUP(CANTIDAD[[#This Row],[Ubicación]],SAP[],4,FALSE),"")</f>
        <v>DET. MARSELLA LAVANDA ROSAS 140GR 60BOL</v>
      </c>
      <c r="F490" s="26">
        <f>IFERROR(VLOOKUP(CANTIDAD[[#This Row],[Ubicación]],SAP[],8,FALSE),"")</f>
        <v>34</v>
      </c>
      <c r="G490" s="26" t="str">
        <f>IFERROR(VLOOKUP(CANTIDAD[[#This Row],[Ubicación]],SAP[],9,FALSE),"")</f>
        <v>PQT</v>
      </c>
      <c r="H490" s="26">
        <f>IFERROR(VLOOKUP(CANTIDAD[[#This Row],[Ubicación]],SAP[],5,FALSE),"")</f>
        <v>2506160120</v>
      </c>
      <c r="I490" s="46" t="str">
        <f>IFERROR(VLOOKUP(CANTIDAD[[#This Row],[Ubicación]],SAP[],6,FALSE),"")</f>
        <v>16/06/2027</v>
      </c>
      <c r="J490" s="26" t="str">
        <f>IFERROR(VLOOKUP(CANTIDAD[[#This Row],[Ubicación]],SAP[],7,FALSE),"")</f>
        <v>1F</v>
      </c>
      <c r="K490" s="27">
        <f>IFERROR(VLOOKUP(CANTIDAD[[#This Row],[Ubicación]],SAP[],10,FALSE),"")</f>
        <v>2040</v>
      </c>
      <c r="L490" s="52">
        <f>IFERROR(VLOOKUP(CANTIDAD[[#This Row],[Producto]],MARA[],5,FALSE),"")</f>
        <v>5</v>
      </c>
      <c r="M490" s="52" t="str">
        <f>IFERROR(VLOOKUP(CANTIDAD[[#This Row],[Producto]],MARA[],4,FALSE),"")</f>
        <v>PQT</v>
      </c>
      <c r="N490" s="136" t="s">
        <v>4844</v>
      </c>
    </row>
    <row r="491" spans="1:14" hidden="1">
      <c r="A491" s="139" t="str">
        <f t="shared" si="7"/>
        <v>PASILLO 13</v>
      </c>
      <c r="B491" s="93" t="s">
        <v>3892</v>
      </c>
      <c r="C491" s="11">
        <f>IFERROR(VLOOKUP(CANTIDAD[[#This Row],[Ubicación]],SAP[],3,FALSE),"")</f>
        <v>8404718</v>
      </c>
      <c r="D491" s="34">
        <f>IFERROR(VLOOKUP(CANTIDAD[[#This Row],[Producto]],MARA[],3,FALSE),"")</f>
        <v>7750243079860</v>
      </c>
      <c r="E491" s="25" t="str">
        <f>IFERROR(VLOOKUP(CANTIDAD[[#This Row],[Ubicación]],SAP[],4,FALSE),"")</f>
        <v>DET. MARSELLA LAVANDA ROSAS 8KG 1BOL</v>
      </c>
      <c r="F491" s="25">
        <f>IFERROR(VLOOKUP(CANTIDAD[[#This Row],[Ubicación]],SAP[],8,FALSE),"")</f>
        <v>13</v>
      </c>
      <c r="G491" s="25" t="str">
        <f>IFERROR(VLOOKUP(CANTIDAD[[#This Row],[Ubicación]],SAP[],9,FALSE),"")</f>
        <v>UND</v>
      </c>
      <c r="H491" s="25">
        <f>IFERROR(VLOOKUP(CANTIDAD[[#This Row],[Ubicación]],SAP[],5,FALSE),"")</f>
        <v>2608130120</v>
      </c>
      <c r="I491" s="47" t="str">
        <f>IFERROR(VLOOKUP(CANTIDAD[[#This Row],[Ubicación]],SAP[],6,FALSE),"")</f>
        <v>13/08/2028</v>
      </c>
      <c r="J491" s="25" t="str">
        <f>IFERROR(VLOOKUP(CANTIDAD[[#This Row],[Ubicación]],SAP[],7,FALSE),"")</f>
        <v>1F</v>
      </c>
      <c r="K491" s="25">
        <f>IFERROR(VLOOKUP(CANTIDAD[[#This Row],[Ubicación]],SAP[],10,FALSE),"")</f>
        <v>13</v>
      </c>
      <c r="L491" s="51">
        <f>IFERROR(VLOOKUP(CANTIDAD[[#This Row],[Producto]],MARA[],5,FALSE),"")</f>
        <v>7</v>
      </c>
      <c r="M491" s="51" t="str">
        <f>IFERROR(VLOOKUP(CANTIDAD[[#This Row],[Producto]],MARA[],4,FALSE),"")</f>
        <v>UND</v>
      </c>
      <c r="N491" s="136" t="s">
        <v>4845</v>
      </c>
    </row>
    <row r="492" spans="1:14" hidden="1">
      <c r="A492" s="139" t="str">
        <f t="shared" si="7"/>
        <v>PASILLO 13</v>
      </c>
      <c r="B492" s="92" t="s">
        <v>4008</v>
      </c>
      <c r="C492" s="11">
        <f>IFERROR(VLOOKUP(CANTIDAD[[#This Row],[Ubicación]],SAP[],3,FALSE),"")</f>
        <v>8410218</v>
      </c>
      <c r="D492" s="35">
        <f>IFERROR(VLOOKUP(CANTIDAD[[#This Row],[Producto]],MARA[],3,FALSE),"")</f>
        <v>7750243083904</v>
      </c>
      <c r="E492" s="26" t="str">
        <f>IFERROR(VLOOKUP(CANTIDAD[[#This Row],[Ubicación]],SAP[],4,FALSE),"")</f>
        <v>DET. SAP PRO MAX PODER 140GR PACK 12BOL</v>
      </c>
      <c r="F492" s="26">
        <f>IFERROR(VLOOKUP(CANTIDAD[[#This Row],[Ubicación]],SAP[],8,FALSE),"")</f>
        <v>159</v>
      </c>
      <c r="G492" s="26" t="str">
        <f>IFERROR(VLOOKUP(CANTIDAD[[#This Row],[Ubicación]],SAP[],9,FALSE),"")</f>
        <v>PCK</v>
      </c>
      <c r="H492" s="26">
        <f>IFERROR(VLOOKUP(CANTIDAD[[#This Row],[Ubicación]],SAP[],5,FALSE),"")</f>
        <v>2605195030</v>
      </c>
      <c r="I492" s="46" t="str">
        <f>IFERROR(VLOOKUP(CANTIDAD[[#This Row],[Ubicación]],SAP[],6,FALSE),"")</f>
        <v>19/05/2029</v>
      </c>
      <c r="J492" s="26" t="str">
        <f>IFERROR(VLOOKUP(CANTIDAD[[#This Row],[Ubicación]],SAP[],7,FALSE),"")</f>
        <v>1F</v>
      </c>
      <c r="K492" s="26">
        <f>IFERROR(VLOOKUP(CANTIDAD[[#This Row],[Ubicación]],SAP[],10,FALSE),"")</f>
        <v>159</v>
      </c>
      <c r="L492" s="52">
        <f>IFERROR(VLOOKUP(CANTIDAD[[#This Row],[Producto]],MARA[],5,FALSE),"")</f>
        <v>14</v>
      </c>
      <c r="M492" s="52" t="str">
        <f>IFERROR(VLOOKUP(CANTIDAD[[#This Row],[Producto]],MARA[],4,FALSE),"")</f>
        <v>PCK</v>
      </c>
      <c r="N492" s="136" t="s">
        <v>4846</v>
      </c>
    </row>
    <row r="493" spans="1:14" hidden="1">
      <c r="A493" s="139" t="str">
        <f t="shared" si="7"/>
        <v>PASILLO 13</v>
      </c>
      <c r="B493" s="93" t="s">
        <v>3992</v>
      </c>
      <c r="C493" s="11">
        <f>IFERROR(VLOOKUP(CANTIDAD[[#This Row],[Ubicación]],SAP[],3,FALSE),"")</f>
        <v>8410192</v>
      </c>
      <c r="D493" s="34">
        <f>IFERROR(VLOOKUP(CANTIDAD[[#This Row],[Producto]],MARA[],3,FALSE),"")</f>
        <v>7750243076449</v>
      </c>
      <c r="E493" s="25" t="str">
        <f>IFERROR(VLOOKUP(CANTIDAD[[#This Row],[Ubicación]],SAP[],4,FALSE),"")</f>
        <v>DET. PRO SAPOLIO 140GR PACK 12BOL.</v>
      </c>
      <c r="F493" s="25">
        <f>IFERROR(VLOOKUP(CANTIDAD[[#This Row],[Ubicación]],SAP[],8,FALSE),"")</f>
        <v>139</v>
      </c>
      <c r="G493" s="25" t="str">
        <f>IFERROR(VLOOKUP(CANTIDAD[[#This Row],[Ubicación]],SAP[],9,FALSE),"")</f>
        <v>PCK</v>
      </c>
      <c r="H493" s="25">
        <f>IFERROR(VLOOKUP(CANTIDAD[[#This Row],[Ubicación]],SAP[],5,FALSE),"")</f>
        <v>2505165030</v>
      </c>
      <c r="I493" s="47" t="str">
        <f>IFERROR(VLOOKUP(CANTIDAD[[#This Row],[Ubicación]],SAP[],6,FALSE),"")</f>
        <v>16/05/2028</v>
      </c>
      <c r="J493" s="25" t="str">
        <f>IFERROR(VLOOKUP(CANTIDAD[[#This Row],[Ubicación]],SAP[],7,FALSE),"")</f>
        <v>1F</v>
      </c>
      <c r="K493" s="25">
        <f>IFERROR(VLOOKUP(CANTIDAD[[#This Row],[Ubicación]],SAP[],10,FALSE),"")</f>
        <v>139</v>
      </c>
      <c r="L493" s="51">
        <f>IFERROR(VLOOKUP(CANTIDAD[[#This Row],[Producto]],MARA[],5,FALSE),"")</f>
        <v>14</v>
      </c>
      <c r="M493" s="51" t="str">
        <f>IFERROR(VLOOKUP(CANTIDAD[[#This Row],[Producto]],MARA[],4,FALSE),"")</f>
        <v>PCK</v>
      </c>
      <c r="N493" s="136" t="s">
        <v>4847</v>
      </c>
    </row>
    <row r="494" spans="1:14" hidden="1">
      <c r="A494" s="139" t="str">
        <f t="shared" si="7"/>
        <v>PASILLO 13</v>
      </c>
      <c r="B494" s="92" t="s">
        <v>4848</v>
      </c>
      <c r="C494" s="11" t="str">
        <f>IFERROR(VLOOKUP(CANTIDAD[[#This Row],[Ubicación]],SAP[],3,FALSE),"")</f>
        <v/>
      </c>
      <c r="D494" s="35" t="str">
        <f>IFERROR(VLOOKUP(CANTIDAD[[#This Row],[Producto]],MARA[],3,FALSE),"")</f>
        <v/>
      </c>
      <c r="E494" s="26" t="str">
        <f>IFERROR(VLOOKUP(CANTIDAD[[#This Row],[Ubicación]],SAP[],4,FALSE),"")</f>
        <v/>
      </c>
      <c r="F494" s="26" t="str">
        <f>IFERROR(VLOOKUP(CANTIDAD[[#This Row],[Ubicación]],SAP[],8,FALSE),"")</f>
        <v/>
      </c>
      <c r="G494" s="26" t="str">
        <f>IFERROR(VLOOKUP(CANTIDAD[[#This Row],[Ubicación]],SAP[],9,FALSE),"")</f>
        <v/>
      </c>
      <c r="H494" s="26" t="str">
        <f>IFERROR(VLOOKUP(CANTIDAD[[#This Row],[Ubicación]],SAP[],5,FALSE),"")</f>
        <v/>
      </c>
      <c r="I494" s="46" t="str">
        <f>IFERROR(VLOOKUP(CANTIDAD[[#This Row],[Ubicación]],SAP[],6,FALSE),"")</f>
        <v/>
      </c>
      <c r="J494" s="26" t="str">
        <f>IFERROR(VLOOKUP(CANTIDAD[[#This Row],[Ubicación]],SAP[],7,FALSE),"")</f>
        <v/>
      </c>
      <c r="K494" s="26" t="str">
        <f>IFERROR(VLOOKUP(CANTIDAD[[#This Row],[Ubicación]],SAP[],10,FALSE),"")</f>
        <v/>
      </c>
      <c r="L494" s="52" t="str">
        <f>IFERROR(VLOOKUP(CANTIDAD[[#This Row],[Producto]],MARA[],5,FALSE),"")</f>
        <v/>
      </c>
      <c r="M494" s="52" t="str">
        <f>IFERROR(VLOOKUP(CANTIDAD[[#This Row],[Producto]],MARA[],4,FALSE),"")</f>
        <v/>
      </c>
      <c r="N494" s="136" t="s">
        <v>4849</v>
      </c>
    </row>
    <row r="495" spans="1:14" hidden="1">
      <c r="A495" s="139" t="str">
        <f t="shared" si="7"/>
        <v>PASILLO 13</v>
      </c>
      <c r="B495" s="93" t="s">
        <v>4850</v>
      </c>
      <c r="C495" s="11" t="str">
        <f>IFERROR(VLOOKUP(CANTIDAD[[#This Row],[Ubicación]],SAP[],3,FALSE),"")</f>
        <v/>
      </c>
      <c r="D495" s="34" t="str">
        <f>IFERROR(VLOOKUP(CANTIDAD[[#This Row],[Producto]],MARA[],3,FALSE),"")</f>
        <v/>
      </c>
      <c r="E495" s="25" t="str">
        <f>IFERROR(VLOOKUP(CANTIDAD[[#This Row],[Ubicación]],SAP[],4,FALSE),"")</f>
        <v/>
      </c>
      <c r="F495" s="25" t="str">
        <f>IFERROR(VLOOKUP(CANTIDAD[[#This Row],[Ubicación]],SAP[],8,FALSE),"")</f>
        <v/>
      </c>
      <c r="G495" s="25" t="str">
        <f>IFERROR(VLOOKUP(CANTIDAD[[#This Row],[Ubicación]],SAP[],9,FALSE),"")</f>
        <v/>
      </c>
      <c r="H495" s="25" t="str">
        <f>IFERROR(VLOOKUP(CANTIDAD[[#This Row],[Ubicación]],SAP[],5,FALSE),"")</f>
        <v/>
      </c>
      <c r="I495" s="47" t="str">
        <f>IFERROR(VLOOKUP(CANTIDAD[[#This Row],[Ubicación]],SAP[],6,FALSE),"")</f>
        <v/>
      </c>
      <c r="J495" s="25" t="str">
        <f>IFERROR(VLOOKUP(CANTIDAD[[#This Row],[Ubicación]],SAP[],7,FALSE),"")</f>
        <v/>
      </c>
      <c r="K495" s="25" t="str">
        <f>IFERROR(VLOOKUP(CANTIDAD[[#This Row],[Ubicación]],SAP[],10,FALSE),"")</f>
        <v/>
      </c>
      <c r="L495" s="51" t="str">
        <f>IFERROR(VLOOKUP(CANTIDAD[[#This Row],[Producto]],MARA[],5,FALSE),"")</f>
        <v/>
      </c>
      <c r="M495" s="51" t="str">
        <f>IFERROR(VLOOKUP(CANTIDAD[[#This Row],[Producto]],MARA[],4,FALSE),"")</f>
        <v/>
      </c>
      <c r="N495" s="136" t="s">
        <v>4851</v>
      </c>
    </row>
    <row r="496" spans="1:14" hidden="1">
      <c r="A496" s="139" t="str">
        <f t="shared" si="7"/>
        <v>PASILLO 13</v>
      </c>
      <c r="B496" s="92" t="s">
        <v>4852</v>
      </c>
      <c r="C496" s="11" t="str">
        <f>IFERROR(VLOOKUP(CANTIDAD[[#This Row],[Ubicación]],SAP[],3,FALSE),"")</f>
        <v/>
      </c>
      <c r="D496" s="35" t="str">
        <f>IFERROR(VLOOKUP(CANTIDAD[[#This Row],[Producto]],MARA[],3,FALSE),"")</f>
        <v/>
      </c>
      <c r="E496" s="26" t="str">
        <f>IFERROR(VLOOKUP(CANTIDAD[[#This Row],[Ubicación]],SAP[],4,FALSE),"")</f>
        <v/>
      </c>
      <c r="F496" s="26" t="str">
        <f>IFERROR(VLOOKUP(CANTIDAD[[#This Row],[Ubicación]],SAP[],8,FALSE),"")</f>
        <v/>
      </c>
      <c r="G496" s="26" t="str">
        <f>IFERROR(VLOOKUP(CANTIDAD[[#This Row],[Ubicación]],SAP[],9,FALSE),"")</f>
        <v/>
      </c>
      <c r="H496" s="26" t="str">
        <f>IFERROR(VLOOKUP(CANTIDAD[[#This Row],[Ubicación]],SAP[],5,FALSE),"")</f>
        <v/>
      </c>
      <c r="I496" s="46" t="str">
        <f>IFERROR(VLOOKUP(CANTIDAD[[#This Row],[Ubicación]],SAP[],6,FALSE),"")</f>
        <v/>
      </c>
      <c r="J496" s="26" t="str">
        <f>IFERROR(VLOOKUP(CANTIDAD[[#This Row],[Ubicación]],SAP[],7,FALSE),"")</f>
        <v/>
      </c>
      <c r="K496" s="26" t="str">
        <f>IFERROR(VLOOKUP(CANTIDAD[[#This Row],[Ubicación]],SAP[],10,FALSE),"")</f>
        <v/>
      </c>
      <c r="L496" s="52" t="str">
        <f>IFERROR(VLOOKUP(CANTIDAD[[#This Row],[Producto]],MARA[],5,FALSE),"")</f>
        <v/>
      </c>
      <c r="M496" s="52" t="str">
        <f>IFERROR(VLOOKUP(CANTIDAD[[#This Row],[Producto]],MARA[],4,FALSE),"")</f>
        <v/>
      </c>
      <c r="N496" s="136" t="s">
        <v>4853</v>
      </c>
    </row>
    <row r="497" spans="1:14" hidden="1">
      <c r="A497" s="139" t="str">
        <f t="shared" si="7"/>
        <v>PASILLO 13</v>
      </c>
      <c r="B497" s="93" t="s">
        <v>4854</v>
      </c>
      <c r="C497" s="11" t="str">
        <f>IFERROR(VLOOKUP(CANTIDAD[[#This Row],[Ubicación]],SAP[],3,FALSE),"")</f>
        <v/>
      </c>
      <c r="D497" s="34" t="str">
        <f>IFERROR(VLOOKUP(CANTIDAD[[#This Row],[Producto]],MARA[],3,FALSE),"")</f>
        <v/>
      </c>
      <c r="E497" s="25" t="str">
        <f>IFERROR(VLOOKUP(CANTIDAD[[#This Row],[Ubicación]],SAP[],4,FALSE),"")</f>
        <v/>
      </c>
      <c r="F497" s="25" t="str">
        <f>IFERROR(VLOOKUP(CANTIDAD[[#This Row],[Ubicación]],SAP[],8,FALSE),"")</f>
        <v/>
      </c>
      <c r="G497" s="25" t="str">
        <f>IFERROR(VLOOKUP(CANTIDAD[[#This Row],[Ubicación]],SAP[],9,FALSE),"")</f>
        <v/>
      </c>
      <c r="H497" s="25" t="str">
        <f>IFERROR(VLOOKUP(CANTIDAD[[#This Row],[Ubicación]],SAP[],5,FALSE),"")</f>
        <v/>
      </c>
      <c r="I497" s="47" t="str">
        <f>IFERROR(VLOOKUP(CANTIDAD[[#This Row],[Ubicación]],SAP[],6,FALSE),"")</f>
        <v/>
      </c>
      <c r="J497" s="25" t="str">
        <f>IFERROR(VLOOKUP(CANTIDAD[[#This Row],[Ubicación]],SAP[],7,FALSE),"")</f>
        <v/>
      </c>
      <c r="K497" s="25" t="str">
        <f>IFERROR(VLOOKUP(CANTIDAD[[#This Row],[Ubicación]],SAP[],10,FALSE),"")</f>
        <v/>
      </c>
      <c r="L497" s="51" t="str">
        <f>IFERROR(VLOOKUP(CANTIDAD[[#This Row],[Producto]],MARA[],5,FALSE),"")</f>
        <v/>
      </c>
      <c r="M497" s="51" t="str">
        <f>IFERROR(VLOOKUP(CANTIDAD[[#This Row],[Producto]],MARA[],4,FALSE),"")</f>
        <v/>
      </c>
      <c r="N497" s="136" t="s">
        <v>4855</v>
      </c>
    </row>
    <row r="498" spans="1:14" hidden="1">
      <c r="A498" s="139" t="str">
        <f t="shared" si="7"/>
        <v>PASILLO 13</v>
      </c>
      <c r="B498" s="92" t="s">
        <v>4856</v>
      </c>
      <c r="C498" s="11" t="str">
        <f>IFERROR(VLOOKUP(CANTIDAD[[#This Row],[Ubicación]],SAP[],3,FALSE),"")</f>
        <v/>
      </c>
      <c r="D498" s="35" t="str">
        <f>IFERROR(VLOOKUP(CANTIDAD[[#This Row],[Producto]],MARA[],3,FALSE),"")</f>
        <v/>
      </c>
      <c r="E498" s="26" t="str">
        <f>IFERROR(VLOOKUP(CANTIDAD[[#This Row],[Ubicación]],SAP[],4,FALSE),"")</f>
        <v/>
      </c>
      <c r="F498" s="26" t="str">
        <f>IFERROR(VLOOKUP(CANTIDAD[[#This Row],[Ubicación]],SAP[],8,FALSE),"")</f>
        <v/>
      </c>
      <c r="G498" s="26" t="str">
        <f>IFERROR(VLOOKUP(CANTIDAD[[#This Row],[Ubicación]],SAP[],9,FALSE),"")</f>
        <v/>
      </c>
      <c r="H498" s="26" t="str">
        <f>IFERROR(VLOOKUP(CANTIDAD[[#This Row],[Ubicación]],SAP[],5,FALSE),"")</f>
        <v/>
      </c>
      <c r="I498" s="46" t="str">
        <f>IFERROR(VLOOKUP(CANTIDAD[[#This Row],[Ubicación]],SAP[],6,FALSE),"")</f>
        <v/>
      </c>
      <c r="J498" s="26" t="str">
        <f>IFERROR(VLOOKUP(CANTIDAD[[#This Row],[Ubicación]],SAP[],7,FALSE),"")</f>
        <v/>
      </c>
      <c r="K498" s="26" t="str">
        <f>IFERROR(VLOOKUP(CANTIDAD[[#This Row],[Ubicación]],SAP[],10,FALSE),"")</f>
        <v/>
      </c>
      <c r="L498" s="52" t="str">
        <f>IFERROR(VLOOKUP(CANTIDAD[[#This Row],[Producto]],MARA[],5,FALSE),"")</f>
        <v/>
      </c>
      <c r="M498" s="52" t="str">
        <f>IFERROR(VLOOKUP(CANTIDAD[[#This Row],[Producto]],MARA[],4,FALSE),"")</f>
        <v/>
      </c>
      <c r="N498" s="136" t="s">
        <v>4857</v>
      </c>
    </row>
    <row r="499" spans="1:14" hidden="1">
      <c r="A499" s="139" t="str">
        <f t="shared" si="7"/>
        <v>PASILLO 13</v>
      </c>
      <c r="B499" s="93" t="s">
        <v>4858</v>
      </c>
      <c r="C499" s="11" t="str">
        <f>IFERROR(VLOOKUP(CANTIDAD[[#This Row],[Ubicación]],SAP[],3,FALSE),"")</f>
        <v/>
      </c>
      <c r="D499" s="34" t="str">
        <f>IFERROR(VLOOKUP(CANTIDAD[[#This Row],[Producto]],MARA[],3,FALSE),"")</f>
        <v/>
      </c>
      <c r="E499" s="25" t="str">
        <f>IFERROR(VLOOKUP(CANTIDAD[[#This Row],[Ubicación]],SAP[],4,FALSE),"")</f>
        <v/>
      </c>
      <c r="F499" s="25" t="str">
        <f>IFERROR(VLOOKUP(CANTIDAD[[#This Row],[Ubicación]],SAP[],8,FALSE),"")</f>
        <v/>
      </c>
      <c r="G499" s="25" t="str">
        <f>IFERROR(VLOOKUP(CANTIDAD[[#This Row],[Ubicación]],SAP[],9,FALSE),"")</f>
        <v/>
      </c>
      <c r="H499" s="25" t="str">
        <f>IFERROR(VLOOKUP(CANTIDAD[[#This Row],[Ubicación]],SAP[],5,FALSE),"")</f>
        <v/>
      </c>
      <c r="I499" s="47" t="str">
        <f>IFERROR(VLOOKUP(CANTIDAD[[#This Row],[Ubicación]],SAP[],6,FALSE),"")</f>
        <v/>
      </c>
      <c r="J499" s="25" t="str">
        <f>IFERROR(VLOOKUP(CANTIDAD[[#This Row],[Ubicación]],SAP[],7,FALSE),"")</f>
        <v/>
      </c>
      <c r="K499" s="25" t="str">
        <f>IFERROR(VLOOKUP(CANTIDAD[[#This Row],[Ubicación]],SAP[],10,FALSE),"")</f>
        <v/>
      </c>
      <c r="L499" s="51" t="str">
        <f>IFERROR(VLOOKUP(CANTIDAD[[#This Row],[Producto]],MARA[],5,FALSE),"")</f>
        <v/>
      </c>
      <c r="M499" s="51" t="str">
        <f>IFERROR(VLOOKUP(CANTIDAD[[#This Row],[Producto]],MARA[],4,FALSE),"")</f>
        <v/>
      </c>
      <c r="N499" s="136" t="s">
        <v>4859</v>
      </c>
    </row>
    <row r="500" spans="1:14">
      <c r="A500" s="139" t="str">
        <f t="shared" si="7"/>
        <v>PASILLO 15</v>
      </c>
      <c r="B500" s="92" t="s">
        <v>3391</v>
      </c>
      <c r="C500" s="11">
        <f>IFERROR(VLOOKUP(CANTIDAD[[#This Row],[Ubicación]],SAP[],3,FALSE),"")</f>
        <v>8305356</v>
      </c>
      <c r="D500" s="35">
        <f>IFERROR(VLOOKUP(CANTIDAD[[#This Row],[Producto]],MARA[],3,FALSE),"")</f>
        <v>17861036791016</v>
      </c>
      <c r="E500" s="26" t="str">
        <f>IFERROR(VLOOKUP(CANTIDAD[[#This Row],[Ubicación]],SAP[],4,FALSE),"")</f>
        <v>LAV. LIQ LAVAX DP LIMON TE V. 600MLX14U</v>
      </c>
      <c r="F500" s="26">
        <f>IFERROR(VLOOKUP(CANTIDAD[[#This Row],[Ubicación]],SAP[],8,FALSE),"")</f>
        <v>8</v>
      </c>
      <c r="G500" s="26" t="str">
        <f>IFERROR(VLOOKUP(CANTIDAD[[#This Row],[Ubicación]],SAP[],9,FALSE),"")</f>
        <v>CJA</v>
      </c>
      <c r="H500" s="26">
        <f>IFERROR(VLOOKUP(CANTIDAD[[#This Row],[Ubicación]],SAP[],5,FALSE),"")</f>
        <v>251010002</v>
      </c>
      <c r="I500" s="46">
        <f>IFERROR(VLOOKUP(CANTIDAD[[#This Row],[Ubicación]],SAP[],6,FALSE),"")</f>
        <v>46670</v>
      </c>
      <c r="J500" s="26" t="str">
        <f>IFERROR(VLOOKUP(CANTIDAD[[#This Row],[Ubicación]],SAP[],7,FALSE),"")</f>
        <v>1F</v>
      </c>
      <c r="K500" s="26">
        <f>IFERROR(VLOOKUP(CANTIDAD[[#This Row],[Ubicación]],SAP[],10,FALSE),"")</f>
        <v>112</v>
      </c>
      <c r="L500" s="52">
        <f>IFERROR(VLOOKUP(CANTIDAD[[#This Row],[Producto]],MARA[],5,FALSE),"")</f>
        <v>15</v>
      </c>
      <c r="M500" s="52" t="str">
        <f>IFERROR(VLOOKUP(CANTIDAD[[#This Row],[Producto]],MARA[],4,FALSE),"")</f>
        <v>CJA</v>
      </c>
      <c r="N500" s="136" t="s">
        <v>4860</v>
      </c>
    </row>
    <row r="501" spans="1:14">
      <c r="A501" s="139" t="str">
        <f t="shared" si="7"/>
        <v>PASILLO 15</v>
      </c>
      <c r="B501" s="93" t="s">
        <v>3389</v>
      </c>
      <c r="C501" s="11">
        <f>IFERROR(VLOOKUP(CANTIDAD[[#This Row],[Ubicación]],SAP[],3,FALSE),"")</f>
        <v>8305355</v>
      </c>
      <c r="D501" s="34">
        <f>IFERROR(VLOOKUP(CANTIDAD[[#This Row],[Producto]],MARA[],3,FALSE),"")</f>
        <v>17861036791009</v>
      </c>
      <c r="E501" s="25" t="str">
        <f>IFERROR(VLOOKUP(CANTIDAD[[#This Row],[Ubicación]],SAP[],4,FALSE),"")</f>
        <v>LAV. LIQ LAVAX DP SANDIA PEPIN 600MLX14U</v>
      </c>
      <c r="F501" s="25">
        <f>IFERROR(VLOOKUP(CANTIDAD[[#This Row],[Ubicación]],SAP[],8,FALSE),"")</f>
        <v>16</v>
      </c>
      <c r="G501" s="25" t="str">
        <f>IFERROR(VLOOKUP(CANTIDAD[[#This Row],[Ubicación]],SAP[],9,FALSE),"")</f>
        <v>CJA</v>
      </c>
      <c r="H501" s="25">
        <f>IFERROR(VLOOKUP(CANTIDAD[[#This Row],[Ubicación]],SAP[],5,FALSE),"")</f>
        <v>251009002</v>
      </c>
      <c r="I501" s="47">
        <f>IFERROR(VLOOKUP(CANTIDAD[[#This Row],[Ubicación]],SAP[],6,FALSE),"")</f>
        <v>46640</v>
      </c>
      <c r="J501" s="25" t="str">
        <f>IFERROR(VLOOKUP(CANTIDAD[[#This Row],[Ubicación]],SAP[],7,FALSE),"")</f>
        <v>1F</v>
      </c>
      <c r="K501" s="25">
        <f>IFERROR(VLOOKUP(CANTIDAD[[#This Row],[Ubicación]],SAP[],10,FALSE),"")</f>
        <v>224</v>
      </c>
      <c r="L501" s="51">
        <f>IFERROR(VLOOKUP(CANTIDAD[[#This Row],[Producto]],MARA[],5,FALSE),"")</f>
        <v>15</v>
      </c>
      <c r="M501" s="51" t="str">
        <f>IFERROR(VLOOKUP(CANTIDAD[[#This Row],[Producto]],MARA[],4,FALSE),"")</f>
        <v>CJA</v>
      </c>
      <c r="N501" s="136" t="s">
        <v>4861</v>
      </c>
    </row>
    <row r="502" spans="1:14">
      <c r="A502" s="139" t="str">
        <f t="shared" si="7"/>
        <v>PASILLO 15</v>
      </c>
      <c r="B502" s="92" t="s">
        <v>3543</v>
      </c>
      <c r="C502" s="11">
        <f>IFERROR(VLOOKUP(CANTIDAD[[#This Row],[Ubicación]],SAP[],3,FALSE),"")</f>
        <v>8315045</v>
      </c>
      <c r="D502" s="35">
        <f>IFERROR(VLOOKUP(CANTIDAD[[#This Row],[Producto]],MARA[],3,FALSE),"")</f>
        <v>17751851559307</v>
      </c>
      <c r="E502" s="26" t="str">
        <f>IFERROR(VLOOKUP(CANTIDAD[[#This Row],[Ubicación]],SAP[],4,FALSE),"")</f>
        <v>LIMPIAVIDRIOS SAP GT 650ML 12UN</v>
      </c>
      <c r="F502" s="26">
        <f>IFERROR(VLOOKUP(CANTIDAD[[#This Row],[Ubicación]],SAP[],8,FALSE),"")</f>
        <v>11</v>
      </c>
      <c r="G502" s="26" t="str">
        <f>IFERROR(VLOOKUP(CANTIDAD[[#This Row],[Ubicación]],SAP[],9,FALSE),"")</f>
        <v>CJA</v>
      </c>
      <c r="H502" s="26">
        <f>IFERROR(VLOOKUP(CANTIDAD[[#This Row],[Ubicación]],SAP[],5,FALSE),"")</f>
        <v>2607225060</v>
      </c>
      <c r="I502" s="46" t="str">
        <f>IFERROR(VLOOKUP(CANTIDAD[[#This Row],[Ubicación]],SAP[],6,FALSE),"")</f>
        <v>22/07/2029</v>
      </c>
      <c r="J502" s="26" t="str">
        <f>IFERROR(VLOOKUP(CANTIDAD[[#This Row],[Ubicación]],SAP[],7,FALSE),"")</f>
        <v>1F</v>
      </c>
      <c r="K502" s="26">
        <f>IFERROR(VLOOKUP(CANTIDAD[[#This Row],[Ubicación]],SAP[],10,FALSE),"")</f>
        <v>132</v>
      </c>
      <c r="L502" s="52">
        <f>IFERROR(VLOOKUP(CANTIDAD[[#This Row],[Producto]],MARA[],5,FALSE),"")</f>
        <v>15</v>
      </c>
      <c r="M502" s="52" t="str">
        <f>IFERROR(VLOOKUP(CANTIDAD[[#This Row],[Producto]],MARA[],4,FALSE),"")</f>
        <v>CJA</v>
      </c>
      <c r="N502" s="136" t="s">
        <v>4862</v>
      </c>
    </row>
    <row r="503" spans="1:14">
      <c r="A503" s="139" t="str">
        <f t="shared" si="7"/>
        <v>PASILLO 15</v>
      </c>
      <c r="B503" s="93" t="s">
        <v>3545</v>
      </c>
      <c r="C503" s="11">
        <f>IFERROR(VLOOKUP(CANTIDAD[[#This Row],[Ubicación]],SAP[],3,FALSE),"")</f>
        <v>8315045</v>
      </c>
      <c r="D503" s="34">
        <f>IFERROR(VLOOKUP(CANTIDAD[[#This Row],[Producto]],MARA[],3,FALSE),"")</f>
        <v>17751851559307</v>
      </c>
      <c r="E503" s="25" t="str">
        <f>IFERROR(VLOOKUP(CANTIDAD[[#This Row],[Ubicación]],SAP[],4,FALSE),"")</f>
        <v>LIMPIAVIDRIOS SAP GT 650ML 12UN</v>
      </c>
      <c r="F503" s="25">
        <f>IFERROR(VLOOKUP(CANTIDAD[[#This Row],[Ubicación]],SAP[],8,FALSE),"")</f>
        <v>18</v>
      </c>
      <c r="G503" s="25" t="str">
        <f>IFERROR(VLOOKUP(CANTIDAD[[#This Row],[Ubicación]],SAP[],9,FALSE),"")</f>
        <v>CJA</v>
      </c>
      <c r="H503" s="25">
        <f>IFERROR(VLOOKUP(CANTIDAD[[#This Row],[Ubicación]],SAP[],5,FALSE),"")</f>
        <v>2607225060</v>
      </c>
      <c r="I503" s="47" t="str">
        <f>IFERROR(VLOOKUP(CANTIDAD[[#This Row],[Ubicación]],SAP[],6,FALSE),"")</f>
        <v>22/07/2029</v>
      </c>
      <c r="J503" s="25" t="str">
        <f>IFERROR(VLOOKUP(CANTIDAD[[#This Row],[Ubicación]],SAP[],7,FALSE),"")</f>
        <v>1F</v>
      </c>
      <c r="K503" s="25">
        <f>IFERROR(VLOOKUP(CANTIDAD[[#This Row],[Ubicación]],SAP[],10,FALSE),"")</f>
        <v>216</v>
      </c>
      <c r="L503" s="51">
        <f>IFERROR(VLOOKUP(CANTIDAD[[#This Row],[Producto]],MARA[],5,FALSE),"")</f>
        <v>15</v>
      </c>
      <c r="M503" s="51" t="str">
        <f>IFERROR(VLOOKUP(CANTIDAD[[#This Row],[Producto]],MARA[],4,FALSE),"")</f>
        <v>CJA</v>
      </c>
      <c r="N503" s="136" t="s">
        <v>4863</v>
      </c>
    </row>
    <row r="504" spans="1:14">
      <c r="A504" s="139" t="str">
        <f t="shared" si="7"/>
        <v>PASILLO 15</v>
      </c>
      <c r="B504" s="92" t="s">
        <v>3549</v>
      </c>
      <c r="C504" s="11">
        <f>IFERROR(VLOOKUP(CANTIDAD[[#This Row],[Ubicación]],SAP[],3,FALSE),"")</f>
        <v>8315047</v>
      </c>
      <c r="D504" s="35">
        <f>IFERROR(VLOOKUP(CANTIDAD[[#This Row],[Producto]],MARA[],3,FALSE),"")</f>
        <v>17751851559321</v>
      </c>
      <c r="E504" s="26" t="str">
        <f>IFERROR(VLOOKUP(CANTIDAD[[#This Row],[Ubicación]],SAP[],4,FALSE),"")</f>
        <v>SACAGRASA LIMON SAPOLIO GT 650ML 12UND</v>
      </c>
      <c r="F504" s="26">
        <f>IFERROR(VLOOKUP(CANTIDAD[[#This Row],[Ubicación]],SAP[],8,FALSE),"")</f>
        <v>1</v>
      </c>
      <c r="G504" s="26" t="str">
        <f>IFERROR(VLOOKUP(CANTIDAD[[#This Row],[Ubicación]],SAP[],9,FALSE),"")</f>
        <v>CJA</v>
      </c>
      <c r="H504" s="26">
        <f>IFERROR(VLOOKUP(CANTIDAD[[#This Row],[Ubicación]],SAP[],5,FALSE),"")</f>
        <v>2606025060</v>
      </c>
      <c r="I504" s="46">
        <f>IFERROR(VLOOKUP(CANTIDAD[[#This Row],[Ubicación]],SAP[],6,FALSE),"")</f>
        <v>47155</v>
      </c>
      <c r="J504" s="26" t="str">
        <f>IFERROR(VLOOKUP(CANTIDAD[[#This Row],[Ubicación]],SAP[],7,FALSE),"")</f>
        <v>1F</v>
      </c>
      <c r="K504" s="26">
        <f>IFERROR(VLOOKUP(CANTIDAD[[#This Row],[Ubicación]],SAP[],10,FALSE),"")</f>
        <v>12</v>
      </c>
      <c r="L504" s="52">
        <f>IFERROR(VLOOKUP(CANTIDAD[[#This Row],[Producto]],MARA[],5,FALSE),"")</f>
        <v>15</v>
      </c>
      <c r="M504" s="52" t="str">
        <f>IFERROR(VLOOKUP(CANTIDAD[[#This Row],[Producto]],MARA[],4,FALSE),"")</f>
        <v>CJA</v>
      </c>
      <c r="N504" s="136" t="s">
        <v>4864</v>
      </c>
    </row>
    <row r="505" spans="1:14">
      <c r="A505" s="139" t="str">
        <f t="shared" si="7"/>
        <v>PASILLO 15</v>
      </c>
      <c r="B505" s="93" t="s">
        <v>3366</v>
      </c>
      <c r="C505" s="11">
        <f>IFERROR(VLOOKUP(CANTIDAD[[#This Row],[Ubicación]],SAP[],3,FALSE),"")</f>
        <v>8305344</v>
      </c>
      <c r="D505" s="34">
        <f>IFERROR(VLOOKUP(CANTIDAD[[#This Row],[Producto]],MARA[],3,FALSE),"")</f>
        <v>17861036793072</v>
      </c>
      <c r="E505" s="25" t="str">
        <f>IFERROR(VLOOKUP(CANTIDAD[[#This Row],[Ubicación]],SAP[],4,FALSE),"")</f>
        <v>CREMA LAVAVAJILLA LAVAX UVA 700 G X 12 U</v>
      </c>
      <c r="F505" s="25">
        <f>IFERROR(VLOOKUP(CANTIDAD[[#This Row],[Ubicación]],SAP[],8,FALSE),"")</f>
        <v>23</v>
      </c>
      <c r="G505" s="25" t="str">
        <f>IFERROR(VLOOKUP(CANTIDAD[[#This Row],[Ubicación]],SAP[],9,FALSE),"")</f>
        <v>CJA</v>
      </c>
      <c r="H505" s="25">
        <f>IFERROR(VLOOKUP(CANTIDAD[[#This Row],[Ubicación]],SAP[],5,FALSE),"")</f>
        <v>230709</v>
      </c>
      <c r="I505" s="47" t="str">
        <f>IFERROR(VLOOKUP(CANTIDAD[[#This Row],[Ubicación]],SAP[],6,FALSE),"")</f>
        <v>23/06/2028</v>
      </c>
      <c r="J505" s="25" t="str">
        <f>IFERROR(VLOOKUP(CANTIDAD[[#This Row],[Ubicación]],SAP[],7,FALSE),"")</f>
        <v>1F</v>
      </c>
      <c r="K505" s="25">
        <f>IFERROR(VLOOKUP(CANTIDAD[[#This Row],[Ubicación]],SAP[],10,FALSE),"")</f>
        <v>276</v>
      </c>
      <c r="L505" s="51">
        <f>IFERROR(VLOOKUP(CANTIDAD[[#This Row],[Producto]],MARA[],5,FALSE),"")</f>
        <v>8</v>
      </c>
      <c r="M505" s="51" t="str">
        <f>IFERROR(VLOOKUP(CANTIDAD[[#This Row],[Producto]],MARA[],4,FALSE),"")</f>
        <v>CJA</v>
      </c>
      <c r="N505" s="136" t="s">
        <v>4865</v>
      </c>
    </row>
    <row r="506" spans="1:14">
      <c r="A506" s="139" t="str">
        <f t="shared" si="7"/>
        <v>PASILLO 15</v>
      </c>
      <c r="B506" s="92" t="s">
        <v>3360</v>
      </c>
      <c r="C506" s="11">
        <f>IFERROR(VLOOKUP(CANTIDAD[[#This Row],[Ubicación]],SAP[],3,FALSE),"")</f>
        <v>8305339</v>
      </c>
      <c r="D506" s="35">
        <f>IFERROR(VLOOKUP(CANTIDAD[[#This Row],[Producto]],MARA[],3,FALSE),"")</f>
        <v>17861036793027</v>
      </c>
      <c r="E506" s="26" t="str">
        <f>IFERROR(VLOOKUP(CANTIDAD[[#This Row],[Ubicación]],SAP[],4,FALSE),"")</f>
        <v>CREM LAVAVAJILLA LAVAX VERDE 700G X 12 U</v>
      </c>
      <c r="F506" s="26">
        <f>IFERROR(VLOOKUP(CANTIDAD[[#This Row],[Ubicación]],SAP[],8,FALSE),"")</f>
        <v>48</v>
      </c>
      <c r="G506" s="26" t="str">
        <f>IFERROR(VLOOKUP(CANTIDAD[[#This Row],[Ubicación]],SAP[],9,FALSE),"")</f>
        <v>CJA</v>
      </c>
      <c r="H506" s="26">
        <f>IFERROR(VLOOKUP(CANTIDAD[[#This Row],[Ubicación]],SAP[],5,FALSE),"")</f>
        <v>260508000</v>
      </c>
      <c r="I506" s="46">
        <f>IFERROR(VLOOKUP(CANTIDAD[[#This Row],[Ubicación]],SAP[],6,FALSE),"")</f>
        <v>46970</v>
      </c>
      <c r="J506" s="26" t="str">
        <f>IFERROR(VLOOKUP(CANTIDAD[[#This Row],[Ubicación]],SAP[],7,FALSE),"")</f>
        <v>1F</v>
      </c>
      <c r="K506" s="26">
        <f>IFERROR(VLOOKUP(CANTIDAD[[#This Row],[Ubicación]],SAP[],10,FALSE),"")</f>
        <v>576</v>
      </c>
      <c r="L506" s="52">
        <f>IFERROR(VLOOKUP(CANTIDAD[[#This Row],[Producto]],MARA[],5,FALSE),"")</f>
        <v>8</v>
      </c>
      <c r="M506" s="52" t="str">
        <f>IFERROR(VLOOKUP(CANTIDAD[[#This Row],[Producto]],MARA[],4,FALSE),"")</f>
        <v>CJA</v>
      </c>
      <c r="N506" s="136" t="s">
        <v>4866</v>
      </c>
    </row>
    <row r="507" spans="1:14">
      <c r="A507" s="139" t="str">
        <f t="shared" si="7"/>
        <v>PASILLO 15</v>
      </c>
      <c r="B507" s="93" t="s">
        <v>3363</v>
      </c>
      <c r="C507" s="11">
        <f>IFERROR(VLOOKUP(CANTIDAD[[#This Row],[Ubicación]],SAP[],3,FALSE),"")</f>
        <v>8305343</v>
      </c>
      <c r="D507" s="34">
        <f>IFERROR(VLOOKUP(CANTIDAD[[#This Row],[Producto]],MARA[],3,FALSE),"")</f>
        <v>17861036793065</v>
      </c>
      <c r="E507" s="25" t="str">
        <f>IFERROR(VLOOKUP(CANTIDAD[[#This Row],[Ubicación]],SAP[],4,FALSE),"")</f>
        <v>CREMA LAVAVAJILLA LAVAX ROSADO 700 GX12U</v>
      </c>
      <c r="F507" s="25">
        <f>IFERROR(VLOOKUP(CANTIDAD[[#This Row],[Ubicación]],SAP[],8,FALSE),"")</f>
        <v>36</v>
      </c>
      <c r="G507" s="25" t="str">
        <f>IFERROR(VLOOKUP(CANTIDAD[[#This Row],[Ubicación]],SAP[],9,FALSE),"")</f>
        <v>CJA</v>
      </c>
      <c r="H507" s="25">
        <f>IFERROR(VLOOKUP(CANTIDAD[[#This Row],[Ubicación]],SAP[],5,FALSE),"")</f>
        <v>228442</v>
      </c>
      <c r="I507" s="47" t="str">
        <f>IFERROR(VLOOKUP(CANTIDAD[[#This Row],[Ubicación]],SAP[],6,FALSE),"")</f>
        <v>29/04/2028</v>
      </c>
      <c r="J507" s="25" t="str">
        <f>IFERROR(VLOOKUP(CANTIDAD[[#This Row],[Ubicación]],SAP[],7,FALSE),"")</f>
        <v>1F</v>
      </c>
      <c r="K507" s="25">
        <f>IFERROR(VLOOKUP(CANTIDAD[[#This Row],[Ubicación]],SAP[],10,FALSE),"")</f>
        <v>432</v>
      </c>
      <c r="L507" s="51">
        <f>IFERROR(VLOOKUP(CANTIDAD[[#This Row],[Producto]],MARA[],5,FALSE),"")</f>
        <v>8</v>
      </c>
      <c r="M507" s="51" t="str">
        <f>IFERROR(VLOOKUP(CANTIDAD[[#This Row],[Producto]],MARA[],4,FALSE),"")</f>
        <v>CJA</v>
      </c>
      <c r="N507" s="136" t="s">
        <v>4867</v>
      </c>
    </row>
    <row r="508" spans="1:14">
      <c r="A508" s="139" t="str">
        <f t="shared" si="7"/>
        <v>PASILLO 15</v>
      </c>
      <c r="B508" s="92" t="s">
        <v>3285</v>
      </c>
      <c r="C508" s="11">
        <f>IFERROR(VLOOKUP(CANTIDAD[[#This Row],[Ubicación]],SAP[],3,FALSE),"")</f>
        <v>8305190</v>
      </c>
      <c r="D508" s="35">
        <f>IFERROR(VLOOKUP(CANTIDAD[[#This Row],[Producto]],MARA[],3,FALSE),"")</f>
        <v>17750243080528</v>
      </c>
      <c r="E508" s="26" t="str">
        <f>IFERROR(VLOOKUP(CANTIDAD[[#This Row],[Ubicación]],SAP[],4,FALSE),"")</f>
        <v>SAP.PROF.LAVAV. LIQ. LIMÓN 1.25L 6FCO</v>
      </c>
      <c r="F508" s="26">
        <f>IFERROR(VLOOKUP(CANTIDAD[[#This Row],[Ubicación]],SAP[],8,FALSE),"")</f>
        <v>3</v>
      </c>
      <c r="G508" s="26" t="str">
        <f>IFERROR(VLOOKUP(CANTIDAD[[#This Row],[Ubicación]],SAP[],9,FALSE),"")</f>
        <v>CJA</v>
      </c>
      <c r="H508" s="26">
        <f>IFERROR(VLOOKUP(CANTIDAD[[#This Row],[Ubicación]],SAP[],5,FALSE),"")</f>
        <v>2607155060</v>
      </c>
      <c r="I508" s="46" t="str">
        <f>IFERROR(VLOOKUP(CANTIDAD[[#This Row],[Ubicación]],SAP[],6,FALSE),"")</f>
        <v>15/07/2029</v>
      </c>
      <c r="J508" s="26" t="str">
        <f>IFERROR(VLOOKUP(CANTIDAD[[#This Row],[Ubicación]],SAP[],7,FALSE),"")</f>
        <v>1F</v>
      </c>
      <c r="K508" s="26">
        <f>IFERROR(VLOOKUP(CANTIDAD[[#This Row],[Ubicación]],SAP[],10,FALSE),"")</f>
        <v>18</v>
      </c>
      <c r="L508" s="52">
        <f>IFERROR(VLOOKUP(CANTIDAD[[#This Row],[Producto]],MARA[],5,FALSE),"")</f>
        <v>20</v>
      </c>
      <c r="M508" s="52" t="str">
        <f>IFERROR(VLOOKUP(CANTIDAD[[#This Row],[Producto]],MARA[],4,FALSE),"")</f>
        <v>CJA</v>
      </c>
      <c r="N508" s="136" t="s">
        <v>4868</v>
      </c>
    </row>
    <row r="509" spans="1:14">
      <c r="A509" s="139" t="str">
        <f t="shared" si="7"/>
        <v>PASILLO 15</v>
      </c>
      <c r="B509" s="93" t="s">
        <v>3146</v>
      </c>
      <c r="C509" s="11">
        <f>IFERROR(VLOOKUP(CANTIDAD[[#This Row],[Ubicación]],SAP[],3,FALSE),"")</f>
        <v>8300111</v>
      </c>
      <c r="D509" s="34">
        <f>IFERROR(VLOOKUP(CANTIDAD[[#This Row],[Producto]],MARA[],3,FALSE),"")</f>
        <v>17750243082225</v>
      </c>
      <c r="E509" s="25" t="str">
        <f>IFERROR(VLOOKUP(CANTIDAD[[#This Row],[Ubicación]],SAP[],4,FALSE),"")</f>
        <v>LEJÍA I PATITO B CLORO 650G 12 UND</v>
      </c>
      <c r="F509" s="25">
        <f>IFERROR(VLOOKUP(CANTIDAD[[#This Row],[Ubicación]],SAP[],8,FALSE),"")</f>
        <v>61</v>
      </c>
      <c r="G509" s="25" t="str">
        <f>IFERROR(VLOOKUP(CANTIDAD[[#This Row],[Ubicación]],SAP[],9,FALSE),"")</f>
        <v>CJA</v>
      </c>
      <c r="H509" s="25">
        <f>IFERROR(VLOOKUP(CANTIDAD[[#This Row],[Ubicación]],SAP[],5,FALSE),"")</f>
        <v>2608245060</v>
      </c>
      <c r="I509" s="47" t="str">
        <f>IFERROR(VLOOKUP(CANTIDAD[[#This Row],[Ubicación]],SAP[],6,FALSE),"")</f>
        <v>24/08/2027</v>
      </c>
      <c r="J509" s="25" t="str">
        <f>IFERROR(VLOOKUP(CANTIDAD[[#This Row],[Ubicación]],SAP[],7,FALSE),"")</f>
        <v>1F</v>
      </c>
      <c r="K509" s="25">
        <f>IFERROR(VLOOKUP(CANTIDAD[[#This Row],[Ubicación]],SAP[],10,FALSE),"")</f>
        <v>732</v>
      </c>
      <c r="L509" s="51">
        <f>IFERROR(VLOOKUP(CANTIDAD[[#This Row],[Producto]],MARA[],5,FALSE),"")</f>
        <v>17</v>
      </c>
      <c r="M509" s="51" t="str">
        <f>IFERROR(VLOOKUP(CANTIDAD[[#This Row],[Producto]],MARA[],4,FALSE),"")</f>
        <v>CJA</v>
      </c>
      <c r="N509" s="136" t="s">
        <v>4869</v>
      </c>
    </row>
    <row r="510" spans="1:14">
      <c r="A510" s="139" t="str">
        <f t="shared" si="7"/>
        <v>PASILLO 15</v>
      </c>
      <c r="B510" s="92" t="s">
        <v>3308</v>
      </c>
      <c r="C510" s="11">
        <f>IFERROR(VLOOKUP(CANTIDAD[[#This Row],[Ubicación]],SAP[],3,FALSE),"")</f>
        <v>8305275</v>
      </c>
      <c r="D510" s="35">
        <f>IFERROR(VLOOKUP(CANTIDAD[[#This Row],[Producto]],MARA[],3,FALSE),"")</f>
        <v>37751851025080</v>
      </c>
      <c r="E510" s="26" t="str">
        <f>IFERROR(VLOOKUP(CANTIDAD[[#This Row],[Ubicación]],SAP[],4,FALSE),"")</f>
        <v>LAVAV. LIQ.SAPOLIO LIMÓN 1250ML 6FCO PE</v>
      </c>
      <c r="F510" s="26">
        <f>IFERROR(VLOOKUP(CANTIDAD[[#This Row],[Ubicación]],SAP[],8,FALSE),"")</f>
        <v>46</v>
      </c>
      <c r="G510" s="26" t="str">
        <f>IFERROR(VLOOKUP(CANTIDAD[[#This Row],[Ubicación]],SAP[],9,FALSE),"")</f>
        <v>CJA</v>
      </c>
      <c r="H510" s="26">
        <f>IFERROR(VLOOKUP(CANTIDAD[[#This Row],[Ubicación]],SAP[],5,FALSE),"")</f>
        <v>2608065060</v>
      </c>
      <c r="I510" s="46">
        <f>IFERROR(VLOOKUP(CANTIDAD[[#This Row],[Ubicación]],SAP[],6,FALSE),"")</f>
        <v>47277</v>
      </c>
      <c r="J510" s="26" t="str">
        <f>IFERROR(VLOOKUP(CANTIDAD[[#This Row],[Ubicación]],SAP[],7,FALSE),"")</f>
        <v>1F</v>
      </c>
      <c r="K510" s="26">
        <f>IFERROR(VLOOKUP(CANTIDAD[[#This Row],[Ubicación]],SAP[],10,FALSE),"")</f>
        <v>276</v>
      </c>
      <c r="L510" s="52">
        <f>IFERROR(VLOOKUP(CANTIDAD[[#This Row],[Producto]],MARA[],5,FALSE),"")</f>
        <v>20</v>
      </c>
      <c r="M510" s="52" t="str">
        <f>IFERROR(VLOOKUP(CANTIDAD[[#This Row],[Producto]],MARA[],4,FALSE),"")</f>
        <v>CJA</v>
      </c>
      <c r="N510" s="136" t="s">
        <v>4870</v>
      </c>
    </row>
    <row r="511" spans="1:14">
      <c r="A511" s="139" t="str">
        <f t="shared" si="7"/>
        <v>PASILLO 15</v>
      </c>
      <c r="B511" s="93" t="s">
        <v>3311</v>
      </c>
      <c r="C511" s="11">
        <f>IFERROR(VLOOKUP(CANTIDAD[[#This Row],[Ubicación]],SAP[],3,FALSE),"")</f>
        <v>8305276</v>
      </c>
      <c r="D511" s="34">
        <f>IFERROR(VLOOKUP(CANTIDAD[[#This Row],[Producto]],MARA[],3,FALSE),"")</f>
        <v>37751851025097</v>
      </c>
      <c r="E511" s="25" t="str">
        <f>IFERROR(VLOOKUP(CANTIDAD[[#This Row],[Ubicación]],SAP[],4,FALSE),"")</f>
        <v>LAVAV.LIQ.SAPOLIO MANZANA 1250ML 6FCO PE</v>
      </c>
      <c r="F511" s="25">
        <f>IFERROR(VLOOKUP(CANTIDAD[[#This Row],[Ubicación]],SAP[],8,FALSE),"")</f>
        <v>26</v>
      </c>
      <c r="G511" s="25" t="str">
        <f>IFERROR(VLOOKUP(CANTIDAD[[#This Row],[Ubicación]],SAP[],9,FALSE),"")</f>
        <v>CJA</v>
      </c>
      <c r="H511" s="25">
        <f>IFERROR(VLOOKUP(CANTIDAD[[#This Row],[Ubicación]],SAP[],5,FALSE),"")</f>
        <v>2607205060</v>
      </c>
      <c r="I511" s="47" t="str">
        <f>IFERROR(VLOOKUP(CANTIDAD[[#This Row],[Ubicación]],SAP[],6,FALSE),"")</f>
        <v>20/07/2029</v>
      </c>
      <c r="J511" s="25" t="str">
        <f>IFERROR(VLOOKUP(CANTIDAD[[#This Row],[Ubicación]],SAP[],7,FALSE),"")</f>
        <v>1F</v>
      </c>
      <c r="K511" s="25">
        <f>IFERROR(VLOOKUP(CANTIDAD[[#This Row],[Ubicación]],SAP[],10,FALSE),"")</f>
        <v>156</v>
      </c>
      <c r="L511" s="51">
        <f>IFERROR(VLOOKUP(CANTIDAD[[#This Row],[Producto]],MARA[],5,FALSE),"")</f>
        <v>20</v>
      </c>
      <c r="M511" s="51" t="str">
        <f>IFERROR(VLOOKUP(CANTIDAD[[#This Row],[Producto]],MARA[],4,FALSE),"")</f>
        <v>CJA</v>
      </c>
      <c r="N511" s="136" t="s">
        <v>4871</v>
      </c>
    </row>
    <row r="512" spans="1:14">
      <c r="A512" s="139" t="str">
        <f t="shared" si="7"/>
        <v>PASILLO 15</v>
      </c>
      <c r="B512" s="92" t="s">
        <v>3315</v>
      </c>
      <c r="C512" s="11">
        <f>IFERROR(VLOOKUP(CANTIDAD[[#This Row],[Ubicación]],SAP[],3,FALSE),"")</f>
        <v>8305277</v>
      </c>
      <c r="D512" s="35">
        <f>IFERROR(VLOOKUP(CANTIDAD[[#This Row],[Producto]],MARA[],3,FALSE),"")</f>
        <v>27751851026516</v>
      </c>
      <c r="E512" s="26" t="str">
        <f>IFERROR(VLOOKUP(CANTIDAD[[#This Row],[Ubicación]],SAP[],4,FALSE),"")</f>
        <v>LAVAV.LIQ.SAPOLIO LIMALIMÓN 1250ML6FC PE</v>
      </c>
      <c r="F512" s="26">
        <f>IFERROR(VLOOKUP(CANTIDAD[[#This Row],[Ubicación]],SAP[],8,FALSE),"")</f>
        <v>29</v>
      </c>
      <c r="G512" s="26" t="str">
        <f>IFERROR(VLOOKUP(CANTIDAD[[#This Row],[Ubicación]],SAP[],9,FALSE),"")</f>
        <v>CJA</v>
      </c>
      <c r="H512" s="26">
        <f>IFERROR(VLOOKUP(CANTIDAD[[#This Row],[Ubicación]],SAP[],5,FALSE),"")</f>
        <v>2607155060</v>
      </c>
      <c r="I512" s="46" t="str">
        <f>IFERROR(VLOOKUP(CANTIDAD[[#This Row],[Ubicación]],SAP[],6,FALSE),"")</f>
        <v>15/07/2029</v>
      </c>
      <c r="J512" s="26" t="str">
        <f>IFERROR(VLOOKUP(CANTIDAD[[#This Row],[Ubicación]],SAP[],7,FALSE),"")</f>
        <v>1F</v>
      </c>
      <c r="K512" s="26">
        <f>IFERROR(VLOOKUP(CANTIDAD[[#This Row],[Ubicación]],SAP[],10,FALSE),"")</f>
        <v>174</v>
      </c>
      <c r="L512" s="52">
        <f>IFERROR(VLOOKUP(CANTIDAD[[#This Row],[Producto]],MARA[],5,FALSE),"")</f>
        <v>20</v>
      </c>
      <c r="M512" s="52" t="str">
        <f>IFERROR(VLOOKUP(CANTIDAD[[#This Row],[Producto]],MARA[],4,FALSE),"")</f>
        <v>CJA</v>
      </c>
      <c r="N512" s="136" t="s">
        <v>4872</v>
      </c>
    </row>
    <row r="513" spans="1:14">
      <c r="A513" s="139" t="str">
        <f t="shared" si="7"/>
        <v>PASILLO 15</v>
      </c>
      <c r="B513" s="93" t="s">
        <v>4135</v>
      </c>
      <c r="C513" s="11">
        <f>IFERROR(VLOOKUP(CANTIDAD[[#This Row],[Ubicación]],SAP[],3,FALSE),"")</f>
        <v>8606050</v>
      </c>
      <c r="D513" s="34">
        <f>IFERROR(VLOOKUP(CANTIDAD[[#This Row],[Producto]],MARA[],3,FALSE),"")</f>
        <v>17750672003181</v>
      </c>
      <c r="E513" s="25" t="str">
        <f>IFERROR(VLOOKUP(CANTIDAD[[#This Row],[Ubicación]],SAP[],4,FALSE),"")</f>
        <v>JABON TROME FLORAL IDE 190G 40BRR EXO</v>
      </c>
      <c r="F513" s="25">
        <f>IFERROR(VLOOKUP(CANTIDAD[[#This Row],[Ubicación]],SAP[],8,FALSE),"")</f>
        <v>75</v>
      </c>
      <c r="G513" s="25" t="str">
        <f>IFERROR(VLOOKUP(CANTIDAD[[#This Row],[Ubicación]],SAP[],9,FALSE),"")</f>
        <v>PQT</v>
      </c>
      <c r="H513" s="25">
        <f>IFERROR(VLOOKUP(CANTIDAD[[#This Row],[Ubicación]],SAP[],5,FALSE),"")</f>
        <v>260807215</v>
      </c>
      <c r="I513" s="47">
        <f>IFERROR(VLOOKUP(CANTIDAD[[#This Row],[Ubicación]],SAP[],6,FALSE),"")</f>
        <v>46576</v>
      </c>
      <c r="J513" s="25" t="str">
        <f>IFERROR(VLOOKUP(CANTIDAD[[#This Row],[Ubicación]],SAP[],7,FALSE),"")</f>
        <v>1F</v>
      </c>
      <c r="K513" s="28">
        <f>IFERROR(VLOOKUP(CANTIDAD[[#This Row],[Ubicación]],SAP[],10,FALSE),"")</f>
        <v>3000</v>
      </c>
      <c r="L513" s="51">
        <f>IFERROR(VLOOKUP(CANTIDAD[[#This Row],[Producto]],MARA[],5,FALSE),"")</f>
        <v>12</v>
      </c>
      <c r="M513" s="51" t="str">
        <f>IFERROR(VLOOKUP(CANTIDAD[[#This Row],[Producto]],MARA[],4,FALSE),"")</f>
        <v>PQT</v>
      </c>
      <c r="N513" s="136" t="s">
        <v>4873</v>
      </c>
    </row>
    <row r="514" spans="1:14">
      <c r="A514" s="139" t="str">
        <f t="shared" ref="A514:A577" si="8">"PASILLO " &amp; VALUE(MID(B514, 4, 2))</f>
        <v>PASILLO 15</v>
      </c>
      <c r="B514" s="92" t="s">
        <v>3393</v>
      </c>
      <c r="C514" s="11">
        <f>IFERROR(VLOOKUP(CANTIDAD[[#This Row],[Ubicación]],SAP[],3,FALSE),"")</f>
        <v>8305357</v>
      </c>
      <c r="D514" s="35">
        <f>IFERROR(VLOOKUP(CANTIDAD[[#This Row],[Producto]],MARA[],3,FALSE),"")</f>
        <v>17861036793638</v>
      </c>
      <c r="E514" s="26" t="str">
        <f>IFERROR(VLOOKUP(CANTIDAD[[#This Row],[Ubicación]],SAP[],4,FALSE),"")</f>
        <v>CREMA LAVAVAJILLA LAVAX LIMON 200G X 36U</v>
      </c>
      <c r="F514" s="26">
        <f>IFERROR(VLOOKUP(CANTIDAD[[#This Row],[Ubicación]],SAP[],8,FALSE),"")</f>
        <v>9</v>
      </c>
      <c r="G514" s="26" t="str">
        <f>IFERROR(VLOOKUP(CANTIDAD[[#This Row],[Ubicación]],SAP[],9,FALSE),"")</f>
        <v>CJA</v>
      </c>
      <c r="H514" s="26">
        <f>IFERROR(VLOOKUP(CANTIDAD[[#This Row],[Ubicación]],SAP[],5,FALSE),"")</f>
        <v>221299</v>
      </c>
      <c r="I514" s="46">
        <f>IFERROR(VLOOKUP(CANTIDAD[[#This Row],[Ubicación]],SAP[],6,FALSE),"")</f>
        <v>46785</v>
      </c>
      <c r="J514" s="26" t="str">
        <f>IFERROR(VLOOKUP(CANTIDAD[[#This Row],[Ubicación]],SAP[],7,FALSE),"")</f>
        <v>1F</v>
      </c>
      <c r="K514" s="26">
        <f>IFERROR(VLOOKUP(CANTIDAD[[#This Row],[Ubicación]],SAP[],10,FALSE),"")</f>
        <v>324</v>
      </c>
      <c r="L514" s="52">
        <f>IFERROR(VLOOKUP(CANTIDAD[[#This Row],[Producto]],MARA[],5,FALSE),"")</f>
        <v>11</v>
      </c>
      <c r="M514" s="52" t="str">
        <f>IFERROR(VLOOKUP(CANTIDAD[[#This Row],[Producto]],MARA[],4,FALSE),"")</f>
        <v>CJA</v>
      </c>
      <c r="N514" s="136" t="s">
        <v>4874</v>
      </c>
    </row>
    <row r="515" spans="1:14">
      <c r="A515" s="139" t="str">
        <f t="shared" si="8"/>
        <v>PASILLO 15</v>
      </c>
      <c r="B515" s="93" t="s">
        <v>4108</v>
      </c>
      <c r="C515" s="11">
        <f>IFERROR(VLOOKUP(CANTIDAD[[#This Row],[Ubicación]],SAP[],3,FALSE),"")</f>
        <v>8600139</v>
      </c>
      <c r="D515" s="34">
        <f>IFERROR(VLOOKUP(CANTIDAD[[#This Row],[Producto]],MARA[],3,FALSE),"")</f>
        <v>17750243080443</v>
      </c>
      <c r="E515" s="25" t="str">
        <f>IFERROR(VLOOKUP(CANTIDAD[[#This Row],[Ubicación]],SAP[],4,FALSE),"")</f>
        <v>JABON TROME ENCANTO FLORAL 190G 40BRR</v>
      </c>
      <c r="F515" s="25">
        <f>IFERROR(VLOOKUP(CANTIDAD[[#This Row],[Ubicación]],SAP[],8,FALSE),"")</f>
        <v>75</v>
      </c>
      <c r="G515" s="25" t="str">
        <f>IFERROR(VLOOKUP(CANTIDAD[[#This Row],[Ubicación]],SAP[],9,FALSE),"")</f>
        <v>CJA</v>
      </c>
      <c r="H515" s="25">
        <f>IFERROR(VLOOKUP(CANTIDAD[[#This Row],[Ubicación]],SAP[],5,FALSE),"")</f>
        <v>2607150120</v>
      </c>
      <c r="I515" s="47" t="str">
        <f>IFERROR(VLOOKUP(CANTIDAD[[#This Row],[Ubicación]],SAP[],6,FALSE),"")</f>
        <v>15/07/2027</v>
      </c>
      <c r="J515" s="25" t="str">
        <f>IFERROR(VLOOKUP(CANTIDAD[[#This Row],[Ubicación]],SAP[],7,FALSE),"")</f>
        <v>1F</v>
      </c>
      <c r="K515" s="28">
        <f>IFERROR(VLOOKUP(CANTIDAD[[#This Row],[Ubicación]],SAP[],10,FALSE),"")</f>
        <v>3000</v>
      </c>
      <c r="L515" s="51">
        <f>IFERROR(VLOOKUP(CANTIDAD[[#This Row],[Producto]],MARA[],5,FALSE),"")</f>
        <v>22</v>
      </c>
      <c r="M515" s="51" t="str">
        <f>IFERROR(VLOOKUP(CANTIDAD[[#This Row],[Producto]],MARA[],4,FALSE),"")</f>
        <v>CJA</v>
      </c>
      <c r="N515" s="136" t="s">
        <v>4875</v>
      </c>
    </row>
    <row r="516" spans="1:14">
      <c r="A516" s="139" t="str">
        <f t="shared" si="8"/>
        <v>PASILLO 15</v>
      </c>
      <c r="B516" s="92" t="s">
        <v>4110</v>
      </c>
      <c r="C516" s="11">
        <f>IFERROR(VLOOKUP(CANTIDAD[[#This Row],[Ubicación]],SAP[],3,FALSE),"")</f>
        <v>8600140</v>
      </c>
      <c r="D516" s="35">
        <f>IFERROR(VLOOKUP(CANTIDAD[[#This Row],[Producto]],MARA[],3,FALSE),"")</f>
        <v>17750243080450</v>
      </c>
      <c r="E516" s="26" t="str">
        <f>IFERROR(VLOOKUP(CANTIDAD[[#This Row],[Ubicación]],SAP[],4,FALSE),"")</f>
        <v>JABON TROME FRESCO LIMON 190G 40BRR</v>
      </c>
      <c r="F516" s="26">
        <f>IFERROR(VLOOKUP(CANTIDAD[[#This Row],[Ubicación]],SAP[],8,FALSE),"")</f>
        <v>50</v>
      </c>
      <c r="G516" s="26" t="str">
        <f>IFERROR(VLOOKUP(CANTIDAD[[#This Row],[Ubicación]],SAP[],9,FALSE),"")</f>
        <v>CJA</v>
      </c>
      <c r="H516" s="26">
        <f>IFERROR(VLOOKUP(CANTIDAD[[#This Row],[Ubicación]],SAP[],5,FALSE),"")</f>
        <v>2607210120</v>
      </c>
      <c r="I516" s="46" t="str">
        <f>IFERROR(VLOOKUP(CANTIDAD[[#This Row],[Ubicación]],SAP[],6,FALSE),"")</f>
        <v>21/07/2027</v>
      </c>
      <c r="J516" s="26" t="str">
        <f>IFERROR(VLOOKUP(CANTIDAD[[#This Row],[Ubicación]],SAP[],7,FALSE),"")</f>
        <v>1F</v>
      </c>
      <c r="K516" s="27">
        <f>IFERROR(VLOOKUP(CANTIDAD[[#This Row],[Ubicación]],SAP[],10,FALSE),"")</f>
        <v>2000</v>
      </c>
      <c r="L516" s="52">
        <f>IFERROR(VLOOKUP(CANTIDAD[[#This Row],[Producto]],MARA[],5,FALSE),"")</f>
        <v>22</v>
      </c>
      <c r="M516" s="52" t="str">
        <f>IFERROR(VLOOKUP(CANTIDAD[[#This Row],[Producto]],MARA[],4,FALSE),"")</f>
        <v>CJA</v>
      </c>
      <c r="N516" s="136" t="s">
        <v>4876</v>
      </c>
    </row>
    <row r="517" spans="1:14">
      <c r="A517" s="139" t="str">
        <f t="shared" si="8"/>
        <v>PASILLO 15</v>
      </c>
      <c r="B517" s="93" t="s">
        <v>4130</v>
      </c>
      <c r="C517" s="11">
        <f>IFERROR(VLOOKUP(CANTIDAD[[#This Row],[Ubicación]],SAP[],3,FALSE),"")</f>
        <v>8606037</v>
      </c>
      <c r="D517" s="34">
        <f>IFERROR(VLOOKUP(CANTIDAD[[#This Row],[Producto]],MARA[],3,FALSE),"")</f>
        <v>17750243070031</v>
      </c>
      <c r="E517" s="25" t="str">
        <f>IFERROR(VLOOKUP(CANTIDAD[[#This Row],[Ubicación]],SAP[],4,FALSE),"")</f>
        <v>JABON JUMBO FLORAL 190GR 40BRR</v>
      </c>
      <c r="F517" s="25">
        <f>IFERROR(VLOOKUP(CANTIDAD[[#This Row],[Ubicación]],SAP[],8,FALSE),"")</f>
        <v>29</v>
      </c>
      <c r="G517" s="25" t="str">
        <f>IFERROR(VLOOKUP(CANTIDAD[[#This Row],[Ubicación]],SAP[],9,FALSE),"")</f>
        <v>CJA</v>
      </c>
      <c r="H517" s="25">
        <f>IFERROR(VLOOKUP(CANTIDAD[[#This Row],[Ubicación]],SAP[],5,FALSE),"")</f>
        <v>2605030120</v>
      </c>
      <c r="I517" s="47">
        <f>IFERROR(VLOOKUP(CANTIDAD[[#This Row],[Ubicación]],SAP[],6,FALSE),"")</f>
        <v>46451</v>
      </c>
      <c r="J517" s="25" t="str">
        <f>IFERROR(VLOOKUP(CANTIDAD[[#This Row],[Ubicación]],SAP[],7,FALSE),"")</f>
        <v>1F</v>
      </c>
      <c r="K517" s="28">
        <f>IFERROR(VLOOKUP(CANTIDAD[[#This Row],[Ubicación]],SAP[],10,FALSE),"")</f>
        <v>1160</v>
      </c>
      <c r="L517" s="51">
        <f>IFERROR(VLOOKUP(CANTIDAD[[#This Row],[Producto]],MARA[],5,FALSE),"")</f>
        <v>22</v>
      </c>
      <c r="M517" s="51" t="str">
        <f>IFERROR(VLOOKUP(CANTIDAD[[#This Row],[Producto]],MARA[],4,FALSE),"")</f>
        <v>CJA</v>
      </c>
      <c r="N517" s="136" t="s">
        <v>4877</v>
      </c>
    </row>
    <row r="518" spans="1:14">
      <c r="A518" s="139" t="str">
        <f t="shared" si="8"/>
        <v>PASILLO 15</v>
      </c>
      <c r="B518" s="92" t="s">
        <v>4132</v>
      </c>
      <c r="C518" s="11">
        <f>IFERROR(VLOOKUP(CANTIDAD[[#This Row],[Ubicación]],SAP[],3,FALSE),"")</f>
        <v>8606041</v>
      </c>
      <c r="D518" s="35">
        <f>IFERROR(VLOOKUP(CANTIDAD[[#This Row],[Producto]],MARA[],3,FALSE),"")</f>
        <v>17750243084052</v>
      </c>
      <c r="E518" s="26" t="str">
        <f>IFERROR(VLOOKUP(CANTIDAD[[#This Row],[Ubicación]],SAP[],4,FALSE),"")</f>
        <v>JABON PATITO FLORAL 175G 40BRR</v>
      </c>
      <c r="F518" s="26">
        <f>IFERROR(VLOOKUP(CANTIDAD[[#This Row],[Ubicación]],SAP[],8,FALSE),"")</f>
        <v>80</v>
      </c>
      <c r="G518" s="26" t="str">
        <f>IFERROR(VLOOKUP(CANTIDAD[[#This Row],[Ubicación]],SAP[],9,FALSE),"")</f>
        <v>CJA</v>
      </c>
      <c r="H518" s="26">
        <f>IFERROR(VLOOKUP(CANTIDAD[[#This Row],[Ubicación]],SAP[],5,FALSE),"")</f>
        <v>2604180120</v>
      </c>
      <c r="I518" s="46" t="str">
        <f>IFERROR(VLOOKUP(CANTIDAD[[#This Row],[Ubicación]],SAP[],6,FALSE),"")</f>
        <v>18/04/2027</v>
      </c>
      <c r="J518" s="26" t="str">
        <f>IFERROR(VLOOKUP(CANTIDAD[[#This Row],[Ubicación]],SAP[],7,FALSE),"")</f>
        <v>1F</v>
      </c>
      <c r="K518" s="27">
        <f>IFERROR(VLOOKUP(CANTIDAD[[#This Row],[Ubicación]],SAP[],10,FALSE),"")</f>
        <v>3200</v>
      </c>
      <c r="L518" s="52">
        <f>IFERROR(VLOOKUP(CANTIDAD[[#This Row],[Producto]],MARA[],5,FALSE),"")</f>
        <v>22</v>
      </c>
      <c r="M518" s="52" t="str">
        <f>IFERROR(VLOOKUP(CANTIDAD[[#This Row],[Producto]],MARA[],4,FALSE),"")</f>
        <v>CJA</v>
      </c>
      <c r="N518" s="136" t="s">
        <v>4878</v>
      </c>
    </row>
    <row r="519" spans="1:14">
      <c r="A519" s="139" t="str">
        <f t="shared" si="8"/>
        <v>PASILLO 15</v>
      </c>
      <c r="B519" s="93" t="s">
        <v>3395</v>
      </c>
      <c r="C519" s="11">
        <f>IFERROR(VLOOKUP(CANTIDAD[[#This Row],[Ubicación]],SAP[],3,FALSE),"")</f>
        <v>8305358</v>
      </c>
      <c r="D519" s="34">
        <f>IFERROR(VLOOKUP(CANTIDAD[[#This Row],[Producto]],MARA[],3,FALSE),"")</f>
        <v>17861036793645</v>
      </c>
      <c r="E519" s="25" t="str">
        <f>IFERROR(VLOOKUP(CANTIDAD[[#This Row],[Ubicación]],SAP[],4,FALSE),"")</f>
        <v>CREMA LAVAVAJILLA LAVAX LIMON 400G X 18U</v>
      </c>
      <c r="F519" s="25">
        <f>IFERROR(VLOOKUP(CANTIDAD[[#This Row],[Ubicación]],SAP[],8,FALSE),"")</f>
        <v>22</v>
      </c>
      <c r="G519" s="25" t="str">
        <f>IFERROR(VLOOKUP(CANTIDAD[[#This Row],[Ubicación]],SAP[],9,FALSE),"")</f>
        <v>CJA</v>
      </c>
      <c r="H519" s="25">
        <f>IFERROR(VLOOKUP(CANTIDAD[[#This Row],[Ubicación]],SAP[],5,FALSE),"")</f>
        <v>250710002</v>
      </c>
      <c r="I519" s="47">
        <f>IFERROR(VLOOKUP(CANTIDAD[[#This Row],[Ubicación]],SAP[],6,FALSE),"")</f>
        <v>46667</v>
      </c>
      <c r="J519" s="25" t="str">
        <f>IFERROR(VLOOKUP(CANTIDAD[[#This Row],[Ubicación]],SAP[],7,FALSE),"")</f>
        <v>1F</v>
      </c>
      <c r="K519" s="25">
        <f>IFERROR(VLOOKUP(CANTIDAD[[#This Row],[Ubicación]],SAP[],10,FALSE),"")</f>
        <v>396</v>
      </c>
      <c r="L519" s="51">
        <f>IFERROR(VLOOKUP(CANTIDAD[[#This Row],[Producto]],MARA[],5,FALSE),"")</f>
        <v>11</v>
      </c>
      <c r="M519" s="51" t="str">
        <f>IFERROR(VLOOKUP(CANTIDAD[[#This Row],[Producto]],MARA[],4,FALSE),"")</f>
        <v>CJA</v>
      </c>
      <c r="N519" s="136" t="s">
        <v>4879</v>
      </c>
    </row>
    <row r="520" spans="1:14">
      <c r="A520" s="139" t="str">
        <f t="shared" si="8"/>
        <v>PASILLO 15</v>
      </c>
      <c r="B520" s="92" t="s">
        <v>4122</v>
      </c>
      <c r="C520" s="11">
        <f>IFERROR(VLOOKUP(CANTIDAD[[#This Row],[Ubicación]],SAP[],3,FALSE),"")</f>
        <v>8603029</v>
      </c>
      <c r="D520" s="35">
        <f>IFERROR(VLOOKUP(CANTIDAD[[#This Row],[Producto]],MARA[],3,FALSE),"")</f>
        <v>17750243081570</v>
      </c>
      <c r="E520" s="26" t="str">
        <f>IFERROR(VLOOKUP(CANTIDAD[[#This Row],[Ubicación]],SAP[],4,FALSE),"")</f>
        <v>JABON MARSELLA FLORAL C/P 175G 40BR</v>
      </c>
      <c r="F520" s="26">
        <f>IFERROR(VLOOKUP(CANTIDAD[[#This Row],[Ubicación]],SAP[],8,FALSE),"")</f>
        <v>6</v>
      </c>
      <c r="G520" s="26" t="str">
        <f>IFERROR(VLOOKUP(CANTIDAD[[#This Row],[Ubicación]],SAP[],9,FALSE),"")</f>
        <v>CJA</v>
      </c>
      <c r="H520" s="26">
        <f>IFERROR(VLOOKUP(CANTIDAD[[#This Row],[Ubicación]],SAP[],5,FALSE),"")</f>
        <v>2608070120</v>
      </c>
      <c r="I520" s="46">
        <f>IFERROR(VLOOKUP(CANTIDAD[[#This Row],[Ubicación]],SAP[],6,FALSE),"")</f>
        <v>46576</v>
      </c>
      <c r="J520" s="26" t="str">
        <f>IFERROR(VLOOKUP(CANTIDAD[[#This Row],[Ubicación]],SAP[],7,FALSE),"")</f>
        <v>1F</v>
      </c>
      <c r="K520" s="26">
        <f>IFERROR(VLOOKUP(CANTIDAD[[#This Row],[Ubicación]],SAP[],10,FALSE),"")</f>
        <v>240</v>
      </c>
      <c r="L520" s="52">
        <f>IFERROR(VLOOKUP(CANTIDAD[[#This Row],[Producto]],MARA[],5,FALSE),"")</f>
        <v>22</v>
      </c>
      <c r="M520" s="52" t="str">
        <f>IFERROR(VLOOKUP(CANTIDAD[[#This Row],[Producto]],MARA[],4,FALSE),"")</f>
        <v>CJA</v>
      </c>
      <c r="N520" s="136" t="s">
        <v>4880</v>
      </c>
    </row>
    <row r="521" spans="1:14">
      <c r="A521" s="139" t="str">
        <f t="shared" si="8"/>
        <v>PASILLO 15</v>
      </c>
      <c r="B521" s="93" t="s">
        <v>4124</v>
      </c>
      <c r="C521" s="11">
        <f>IFERROR(VLOOKUP(CANTIDAD[[#This Row],[Ubicación]],SAP[],3,FALSE),"")</f>
        <v>8603030</v>
      </c>
      <c r="D521" s="34">
        <f>IFERROR(VLOOKUP(CANTIDAD[[#This Row],[Producto]],MARA[],3,FALSE),"")</f>
        <v>17750243083017</v>
      </c>
      <c r="E521" s="25" t="str">
        <f>IFERROR(VLOOKUP(CANTIDAD[[#This Row],[Ubicación]],SAP[],4,FALSE),"")</f>
        <v>JABON MARSELLA FLORAL N 175G 40BRR</v>
      </c>
      <c r="F521" s="25">
        <f>IFERROR(VLOOKUP(CANTIDAD[[#This Row],[Ubicación]],SAP[],8,FALSE),"")</f>
        <v>17</v>
      </c>
      <c r="G521" s="25" t="str">
        <f>IFERROR(VLOOKUP(CANTIDAD[[#This Row],[Ubicación]],SAP[],9,FALSE),"")</f>
        <v>CJA</v>
      </c>
      <c r="H521" s="25">
        <f>IFERROR(VLOOKUP(CANTIDAD[[#This Row],[Ubicación]],SAP[],5,FALSE),"")</f>
        <v>2608140120</v>
      </c>
      <c r="I521" s="47" t="str">
        <f>IFERROR(VLOOKUP(CANTIDAD[[#This Row],[Ubicación]],SAP[],6,FALSE),"")</f>
        <v>14/08/2027</v>
      </c>
      <c r="J521" s="25" t="str">
        <f>IFERROR(VLOOKUP(CANTIDAD[[#This Row],[Ubicación]],SAP[],7,FALSE),"")</f>
        <v>1F</v>
      </c>
      <c r="K521" s="25">
        <f>IFERROR(VLOOKUP(CANTIDAD[[#This Row],[Ubicación]],SAP[],10,FALSE),"")</f>
        <v>680</v>
      </c>
      <c r="L521" s="51">
        <f>IFERROR(VLOOKUP(CANTIDAD[[#This Row],[Producto]],MARA[],5,FALSE),"")</f>
        <v>22</v>
      </c>
      <c r="M521" s="51" t="str">
        <f>IFERROR(VLOOKUP(CANTIDAD[[#This Row],[Producto]],MARA[],4,FALSE),"")</f>
        <v>CJA</v>
      </c>
      <c r="N521" s="136" t="s">
        <v>4881</v>
      </c>
    </row>
    <row r="522" spans="1:14">
      <c r="A522" s="139" t="str">
        <f t="shared" si="8"/>
        <v>PASILLO 15</v>
      </c>
      <c r="B522" s="92" t="s">
        <v>4127</v>
      </c>
      <c r="C522" s="11">
        <f>IFERROR(VLOOKUP(CANTIDAD[[#This Row],[Ubicación]],SAP[],3,FALSE),"")</f>
        <v>8603031</v>
      </c>
      <c r="D522" s="35">
        <f>IFERROR(VLOOKUP(CANTIDAD[[#This Row],[Producto]],MARA[],3,FALSE),"")</f>
        <v>17750243083024</v>
      </c>
      <c r="E522" s="26" t="str">
        <f>IFERROR(VLOOKUP(CANTIDAD[[#This Row],[Ubicación]],SAP[],4,FALSE),"")</f>
        <v>JABON MARSELLA FLORAL N 350G 20PQT</v>
      </c>
      <c r="F522" s="26">
        <f>IFERROR(VLOOKUP(CANTIDAD[[#This Row],[Ubicación]],SAP[],8,FALSE),"")</f>
        <v>75</v>
      </c>
      <c r="G522" s="26" t="str">
        <f>IFERROR(VLOOKUP(CANTIDAD[[#This Row],[Ubicación]],SAP[],9,FALSE),"")</f>
        <v>CJA</v>
      </c>
      <c r="H522" s="26">
        <f>IFERROR(VLOOKUP(CANTIDAD[[#This Row],[Ubicación]],SAP[],5,FALSE),"")</f>
        <v>2608150120</v>
      </c>
      <c r="I522" s="46" t="str">
        <f>IFERROR(VLOOKUP(CANTIDAD[[#This Row],[Ubicación]],SAP[],6,FALSE),"")</f>
        <v>15/08/2027</v>
      </c>
      <c r="J522" s="26" t="str">
        <f>IFERROR(VLOOKUP(CANTIDAD[[#This Row],[Ubicación]],SAP[],7,FALSE),"")</f>
        <v>1F</v>
      </c>
      <c r="K522" s="27">
        <f>IFERROR(VLOOKUP(CANTIDAD[[#This Row],[Ubicación]],SAP[],10,FALSE),"")</f>
        <v>1500</v>
      </c>
      <c r="L522" s="52">
        <f>IFERROR(VLOOKUP(CANTIDAD[[#This Row],[Producto]],MARA[],5,FALSE),"")</f>
        <v>22</v>
      </c>
      <c r="M522" s="52" t="str">
        <f>IFERROR(VLOOKUP(CANTIDAD[[#This Row],[Producto]],MARA[],4,FALSE),"")</f>
        <v>CJA</v>
      </c>
      <c r="N522" s="136" t="s">
        <v>4882</v>
      </c>
    </row>
    <row r="523" spans="1:14">
      <c r="A523" s="139" t="str">
        <f t="shared" si="8"/>
        <v>PASILLO 15</v>
      </c>
      <c r="B523" s="93" t="s">
        <v>3422</v>
      </c>
      <c r="C523" s="11">
        <f>IFERROR(VLOOKUP(CANTIDAD[[#This Row],[Ubicación]],SAP[],3,FALSE),"")</f>
        <v>8306032</v>
      </c>
      <c r="D523" s="34">
        <f>IFERROR(VLOOKUP(CANTIDAD[[#This Row],[Producto]],MARA[],3,FALSE),"")</f>
        <v>17750243068205</v>
      </c>
      <c r="E523" s="25" t="str">
        <f>IFERROR(VLOOKUP(CANTIDAD[[#This Row],[Ubicación]],SAP[],4,FALSE),"")</f>
        <v>ROPA COLOR SAPOLIO 550ML 12UND</v>
      </c>
      <c r="F523" s="25">
        <f>IFERROR(VLOOKUP(CANTIDAD[[#This Row],[Ubicación]],SAP[],8,FALSE),"")</f>
        <v>16</v>
      </c>
      <c r="G523" s="25" t="str">
        <f>IFERROR(VLOOKUP(CANTIDAD[[#This Row],[Ubicación]],SAP[],9,FALSE),"")</f>
        <v>CJA</v>
      </c>
      <c r="H523" s="25" t="str">
        <f>IFERROR(VLOOKUP(CANTIDAD[[#This Row],[Ubicación]],SAP[],5,FALSE),"")</f>
        <v>20826016M</v>
      </c>
      <c r="I523" s="47" t="str">
        <f>IFERROR(VLOOKUP(CANTIDAD[[#This Row],[Ubicación]],SAP[],6,FALSE),"")</f>
        <v>13/08/2028</v>
      </c>
      <c r="J523" s="25" t="str">
        <f>IFERROR(VLOOKUP(CANTIDAD[[#This Row],[Ubicación]],SAP[],7,FALSE),"")</f>
        <v>1F</v>
      </c>
      <c r="K523" s="25">
        <f>IFERROR(VLOOKUP(CANTIDAD[[#This Row],[Ubicación]],SAP[],10,FALSE),"")</f>
        <v>192</v>
      </c>
      <c r="L523" s="51">
        <f>IFERROR(VLOOKUP(CANTIDAD[[#This Row],[Producto]],MARA[],5,FALSE),"")</f>
        <v>15</v>
      </c>
      <c r="M523" s="51" t="str">
        <f>IFERROR(VLOOKUP(CANTIDAD[[#This Row],[Producto]],MARA[],4,FALSE),"")</f>
        <v>CJA</v>
      </c>
      <c r="N523" s="136" t="s">
        <v>4883</v>
      </c>
    </row>
    <row r="524" spans="1:14">
      <c r="A524" s="139" t="str">
        <f t="shared" si="8"/>
        <v>PASILLO 15</v>
      </c>
      <c r="B524" s="92" t="s">
        <v>3511</v>
      </c>
      <c r="C524" s="11">
        <f>IFERROR(VLOOKUP(CANTIDAD[[#This Row],[Ubicación]],SAP[],3,FALSE),"")</f>
        <v>8315013</v>
      </c>
      <c r="D524" s="35">
        <f>IFERROR(VLOOKUP(CANTIDAD[[#This Row],[Producto]],MARA[],3,FALSE),"")</f>
        <v>17751851024003</v>
      </c>
      <c r="E524" s="26" t="str">
        <f>IFERROR(VLOOKUP(CANTIDAD[[#This Row],[Ubicación]],SAP[],4,FALSE),"")</f>
        <v>WC POWER MAX NEGRO SAPOLIO 500ML 12UND</v>
      </c>
      <c r="F524" s="26">
        <f>IFERROR(VLOOKUP(CANTIDAD[[#This Row],[Ubicación]],SAP[],8,FALSE),"")</f>
        <v>37</v>
      </c>
      <c r="G524" s="26" t="str">
        <f>IFERROR(VLOOKUP(CANTIDAD[[#This Row],[Ubicación]],SAP[],9,FALSE),"")</f>
        <v>CJA</v>
      </c>
      <c r="H524" s="26">
        <f>IFERROR(VLOOKUP(CANTIDAD[[#This Row],[Ubicación]],SAP[],5,FALSE),"")</f>
        <v>2608255070</v>
      </c>
      <c r="I524" s="46" t="str">
        <f>IFERROR(VLOOKUP(CANTIDAD[[#This Row],[Ubicación]],SAP[],6,FALSE),"")</f>
        <v>25/08/2027</v>
      </c>
      <c r="J524" s="26" t="str">
        <f>IFERROR(VLOOKUP(CANTIDAD[[#This Row],[Ubicación]],SAP[],7,FALSE),"")</f>
        <v>1F</v>
      </c>
      <c r="K524" s="26">
        <f>IFERROR(VLOOKUP(CANTIDAD[[#This Row],[Ubicación]],SAP[],10,FALSE),"")</f>
        <v>444</v>
      </c>
      <c r="L524" s="52">
        <f>IFERROR(VLOOKUP(CANTIDAD[[#This Row],[Producto]],MARA[],5,FALSE),"")</f>
        <v>17</v>
      </c>
      <c r="M524" s="52" t="str">
        <f>IFERROR(VLOOKUP(CANTIDAD[[#This Row],[Producto]],MARA[],4,FALSE),"")</f>
        <v>CJA</v>
      </c>
      <c r="N524" s="136" t="s">
        <v>4884</v>
      </c>
    </row>
    <row r="525" spans="1:14">
      <c r="A525" s="139" t="str">
        <f t="shared" si="8"/>
        <v>PASILLO 15</v>
      </c>
      <c r="B525" s="93" t="s">
        <v>3420</v>
      </c>
      <c r="C525" s="11">
        <f>IFERROR(VLOOKUP(CANTIDAD[[#This Row],[Ubicación]],SAP[],3,FALSE),"")</f>
        <v>8306031</v>
      </c>
      <c r="D525" s="34">
        <f>IFERROR(VLOOKUP(CANTIDAD[[#This Row],[Producto]],MARA[],3,FALSE),"")</f>
        <v>17750243068199</v>
      </c>
      <c r="E525" s="25" t="str">
        <f>IFERROR(VLOOKUP(CANTIDAD[[#This Row],[Ubicación]],SAP[],4,FALSE),"")</f>
        <v>ROPA COLOR SAPOLIO 265ML 24UND</v>
      </c>
      <c r="F525" s="25">
        <f>IFERROR(VLOOKUP(CANTIDAD[[#This Row],[Ubicación]],SAP[],8,FALSE),"")</f>
        <v>30</v>
      </c>
      <c r="G525" s="25" t="str">
        <f>IFERROR(VLOOKUP(CANTIDAD[[#This Row],[Ubicación]],SAP[],9,FALSE),"")</f>
        <v>PQT</v>
      </c>
      <c r="H525" s="25">
        <f>IFERROR(VLOOKUP(CANTIDAD[[#This Row],[Ubicación]],SAP[],5,FALSE),"")</f>
        <v>2608055060</v>
      </c>
      <c r="I525" s="47">
        <f>IFERROR(VLOOKUP(CANTIDAD[[#This Row],[Ubicación]],SAP[],6,FALSE),"")</f>
        <v>46881</v>
      </c>
      <c r="J525" s="25" t="str">
        <f>IFERROR(VLOOKUP(CANTIDAD[[#This Row],[Ubicación]],SAP[],7,FALSE),"")</f>
        <v>1F</v>
      </c>
      <c r="K525" s="25">
        <f>IFERROR(VLOOKUP(CANTIDAD[[#This Row],[Ubicación]],SAP[],10,FALSE),"")</f>
        <v>720</v>
      </c>
      <c r="L525" s="51">
        <f>IFERROR(VLOOKUP(CANTIDAD[[#This Row],[Producto]],MARA[],5,FALSE),"")</f>
        <v>10</v>
      </c>
      <c r="M525" s="51" t="str">
        <f>IFERROR(VLOOKUP(CANTIDAD[[#This Row],[Producto]],MARA[],4,FALSE),"")</f>
        <v>PQT</v>
      </c>
      <c r="N525" s="136" t="s">
        <v>4885</v>
      </c>
    </row>
    <row r="526" spans="1:14">
      <c r="A526" s="139" t="str">
        <f t="shared" si="8"/>
        <v>PASILLO 15</v>
      </c>
      <c r="B526" s="92" t="s">
        <v>3587</v>
      </c>
      <c r="C526" s="11">
        <f>IFERROR(VLOOKUP(CANTIDAD[[#This Row],[Ubicación]],SAP[],3,FALSE),"")</f>
        <v>8316030</v>
      </c>
      <c r="D526" s="35">
        <f>IFERROR(VLOOKUP(CANTIDAD[[#This Row],[Producto]],MARA[],3,FALSE),"")</f>
        <v>17751851086131</v>
      </c>
      <c r="E526" s="26" t="str">
        <f>IFERROR(VLOOKUP(CANTIDAD[[#This Row],[Ubicación]],SAP[],4,FALSE),"")</f>
        <v>SACASARRO SAPOLIO 500ML 12UND</v>
      </c>
      <c r="F526" s="26">
        <f>IFERROR(VLOOKUP(CANTIDAD[[#This Row],[Ubicación]],SAP[],8,FALSE),"")</f>
        <v>48</v>
      </c>
      <c r="G526" s="26" t="str">
        <f>IFERROR(VLOOKUP(CANTIDAD[[#This Row],[Ubicación]],SAP[],9,FALSE),"")</f>
        <v>CJA</v>
      </c>
      <c r="H526" s="26">
        <f>IFERROR(VLOOKUP(CANTIDAD[[#This Row],[Ubicación]],SAP[],5,FALSE),"")</f>
        <v>2607145060</v>
      </c>
      <c r="I526" s="46" t="str">
        <f>IFERROR(VLOOKUP(CANTIDAD[[#This Row],[Ubicación]],SAP[],6,FALSE),"")</f>
        <v>14/07/2029</v>
      </c>
      <c r="J526" s="26" t="str">
        <f>IFERROR(VLOOKUP(CANTIDAD[[#This Row],[Ubicación]],SAP[],7,FALSE),"")</f>
        <v>1F</v>
      </c>
      <c r="K526" s="26">
        <f>IFERROR(VLOOKUP(CANTIDAD[[#This Row],[Ubicación]],SAP[],10,FALSE),"")</f>
        <v>576</v>
      </c>
      <c r="L526" s="52">
        <f>IFERROR(VLOOKUP(CANTIDAD[[#This Row],[Producto]],MARA[],5,FALSE),"")</f>
        <v>20</v>
      </c>
      <c r="M526" s="52" t="str">
        <f>IFERROR(VLOOKUP(CANTIDAD[[#This Row],[Producto]],MARA[],4,FALSE),"")</f>
        <v>CJA</v>
      </c>
      <c r="N526" s="136" t="s">
        <v>4886</v>
      </c>
    </row>
    <row r="527" spans="1:14">
      <c r="A527" s="139" t="str">
        <f t="shared" si="8"/>
        <v>PASILLO 15</v>
      </c>
      <c r="B527" s="93" t="s">
        <v>3519</v>
      </c>
      <c r="C527" s="11">
        <f>IFERROR(VLOOKUP(CANTIDAD[[#This Row],[Ubicación]],SAP[],3,FALSE),"")</f>
        <v>8315018</v>
      </c>
      <c r="D527" s="34">
        <f>IFERROR(VLOOKUP(CANTIDAD[[#This Row],[Producto]],MARA[],3,FALSE),"")</f>
        <v>17751851559109</v>
      </c>
      <c r="E527" s="25" t="str">
        <f>IFERROR(VLOOKUP(CANTIDAD[[#This Row],[Ubicación]],SAP[],4,FALSE),"")</f>
        <v>WC POWER PLUS AZUL SAPOLIO 500ML 12UND</v>
      </c>
      <c r="F527" s="25">
        <f>IFERROR(VLOOKUP(CANTIDAD[[#This Row],[Ubicación]],SAP[],8,FALSE),"")</f>
        <v>14</v>
      </c>
      <c r="G527" s="25" t="str">
        <f>IFERROR(VLOOKUP(CANTIDAD[[#This Row],[Ubicación]],SAP[],9,FALSE),"")</f>
        <v>CJA</v>
      </c>
      <c r="H527" s="25">
        <f>IFERROR(VLOOKUP(CANTIDAD[[#This Row],[Ubicación]],SAP[],5,FALSE),"")</f>
        <v>2608275070</v>
      </c>
      <c r="I527" s="47" t="str">
        <f>IFERROR(VLOOKUP(CANTIDAD[[#This Row],[Ubicación]],SAP[],6,FALSE),"")</f>
        <v>27/08/2027</v>
      </c>
      <c r="J527" s="25" t="str">
        <f>IFERROR(VLOOKUP(CANTIDAD[[#This Row],[Ubicación]],SAP[],7,FALSE),"")</f>
        <v>1F</v>
      </c>
      <c r="K527" s="25">
        <f>IFERROR(VLOOKUP(CANTIDAD[[#This Row],[Ubicación]],SAP[],10,FALSE),"")</f>
        <v>168</v>
      </c>
      <c r="L527" s="51">
        <f>IFERROR(VLOOKUP(CANTIDAD[[#This Row],[Producto]],MARA[],5,FALSE),"")</f>
        <v>17</v>
      </c>
      <c r="M527" s="51" t="str">
        <f>IFERROR(VLOOKUP(CANTIDAD[[#This Row],[Producto]],MARA[],4,FALSE),"")</f>
        <v>CJA</v>
      </c>
      <c r="N527" s="136" t="s">
        <v>4887</v>
      </c>
    </row>
    <row r="528" spans="1:14">
      <c r="A528" s="139" t="str">
        <f t="shared" si="8"/>
        <v>PASILLO 15</v>
      </c>
      <c r="B528" s="92" t="s">
        <v>3296</v>
      </c>
      <c r="C528" s="11">
        <f>IFERROR(VLOOKUP(CANTIDAD[[#This Row],[Ubicación]],SAP[],3,FALSE),"")</f>
        <v>8305271</v>
      </c>
      <c r="D528" s="35">
        <f>IFERROR(VLOOKUP(CANTIDAD[[#This Row],[Producto]],MARA[],3,FALSE),"")</f>
        <v>47750243067346</v>
      </c>
      <c r="E528" s="26" t="str">
        <f>IFERROR(VLOOKUP(CANTIDAD[[#This Row],[Ubicación]],SAP[],4,FALSE),"")</f>
        <v>LAVAV. LIQ.SAPOLIO LIMÓN 500ML 12FCO PE</v>
      </c>
      <c r="F528" s="26">
        <f>IFERROR(VLOOKUP(CANTIDAD[[#This Row],[Ubicación]],SAP[],8,FALSE),"")</f>
        <v>21</v>
      </c>
      <c r="G528" s="26" t="str">
        <f>IFERROR(VLOOKUP(CANTIDAD[[#This Row],[Ubicación]],SAP[],9,FALSE),"")</f>
        <v>CJA</v>
      </c>
      <c r="H528" s="26">
        <f>IFERROR(VLOOKUP(CANTIDAD[[#This Row],[Ubicación]],SAP[],5,FALSE),"")</f>
        <v>2606125060</v>
      </c>
      <c r="I528" s="46">
        <f>IFERROR(VLOOKUP(CANTIDAD[[#This Row],[Ubicación]],SAP[],6,FALSE),"")</f>
        <v>47458</v>
      </c>
      <c r="J528" s="26" t="str">
        <f>IFERROR(VLOOKUP(CANTIDAD[[#This Row],[Ubicación]],SAP[],7,FALSE),"")</f>
        <v>1F</v>
      </c>
      <c r="K528" s="26">
        <f>IFERROR(VLOOKUP(CANTIDAD[[#This Row],[Ubicación]],SAP[],10,FALSE),"")</f>
        <v>252</v>
      </c>
      <c r="L528" s="52">
        <f>IFERROR(VLOOKUP(CANTIDAD[[#This Row],[Producto]],MARA[],5,FALSE),"")</f>
        <v>16</v>
      </c>
      <c r="M528" s="52" t="str">
        <f>IFERROR(VLOOKUP(CANTIDAD[[#This Row],[Producto]],MARA[],4,FALSE),"")</f>
        <v>CJA</v>
      </c>
      <c r="N528" s="136" t="s">
        <v>4888</v>
      </c>
    </row>
    <row r="529" spans="1:14">
      <c r="A529" s="139" t="str">
        <f t="shared" si="8"/>
        <v>PASILLO 15</v>
      </c>
      <c r="B529" s="93" t="s">
        <v>3298</v>
      </c>
      <c r="C529" s="11">
        <f>IFERROR(VLOOKUP(CANTIDAD[[#This Row],[Ubicación]],SAP[],3,FALSE),"")</f>
        <v>8305272</v>
      </c>
      <c r="D529" s="34">
        <f>IFERROR(VLOOKUP(CANTIDAD[[#This Row],[Producto]],MARA[],3,FALSE),"")</f>
        <v>47750243067353</v>
      </c>
      <c r="E529" s="25" t="str">
        <f>IFERROR(VLOOKUP(CANTIDAD[[#This Row],[Ubicación]],SAP[],4,FALSE),"")</f>
        <v>LAVAV.LIQ.SAPOLIO MANZANA 500ML 12FCO PE</v>
      </c>
      <c r="F529" s="25">
        <f>IFERROR(VLOOKUP(CANTIDAD[[#This Row],[Ubicación]],SAP[],8,FALSE),"")</f>
        <v>3</v>
      </c>
      <c r="G529" s="25" t="str">
        <f>IFERROR(VLOOKUP(CANTIDAD[[#This Row],[Ubicación]],SAP[],9,FALSE),"")</f>
        <v>CJA</v>
      </c>
      <c r="H529" s="25">
        <f>IFERROR(VLOOKUP(CANTIDAD[[#This Row],[Ubicación]],SAP[],5,FALSE),"")</f>
        <v>2607145060</v>
      </c>
      <c r="I529" s="47" t="str">
        <f>IFERROR(VLOOKUP(CANTIDAD[[#This Row],[Ubicación]],SAP[],6,FALSE),"")</f>
        <v>14/07/2029</v>
      </c>
      <c r="J529" s="25" t="str">
        <f>IFERROR(VLOOKUP(CANTIDAD[[#This Row],[Ubicación]],SAP[],7,FALSE),"")</f>
        <v>1F</v>
      </c>
      <c r="K529" s="25">
        <f>IFERROR(VLOOKUP(CANTIDAD[[#This Row],[Ubicación]],SAP[],10,FALSE),"")</f>
        <v>36</v>
      </c>
      <c r="L529" s="51">
        <f>IFERROR(VLOOKUP(CANTIDAD[[#This Row],[Producto]],MARA[],5,FALSE),"")</f>
        <v>16</v>
      </c>
      <c r="M529" s="51" t="str">
        <f>IFERROR(VLOOKUP(CANTIDAD[[#This Row],[Producto]],MARA[],4,FALSE),"")</f>
        <v>CJA</v>
      </c>
      <c r="N529" s="136" t="s">
        <v>4889</v>
      </c>
    </row>
    <row r="530" spans="1:14">
      <c r="A530" s="139" t="str">
        <f t="shared" si="8"/>
        <v>PASILLO 15</v>
      </c>
      <c r="B530" s="92" t="s">
        <v>3301</v>
      </c>
      <c r="C530" s="11">
        <f>IFERROR(VLOOKUP(CANTIDAD[[#This Row],[Ubicación]],SAP[],3,FALSE),"")</f>
        <v>8305273</v>
      </c>
      <c r="D530" s="35">
        <f>IFERROR(VLOOKUP(CANTIDAD[[#This Row],[Producto]],MARA[],3,FALSE),"")</f>
        <v>27751851026462</v>
      </c>
      <c r="E530" s="26" t="str">
        <f>IFERROR(VLOOKUP(CANTIDAD[[#This Row],[Ubicación]],SAP[],4,FALSE),"")</f>
        <v>LAVAV.LIQ.SAPOLIO LIMALIMÓN 500ML12FC PE</v>
      </c>
      <c r="F530" s="26">
        <f>IFERROR(VLOOKUP(CANTIDAD[[#This Row],[Ubicación]],SAP[],8,FALSE),"")</f>
        <v>32</v>
      </c>
      <c r="G530" s="26" t="str">
        <f>IFERROR(VLOOKUP(CANTIDAD[[#This Row],[Ubicación]],SAP[],9,FALSE),"")</f>
        <v>CJA</v>
      </c>
      <c r="H530" s="26">
        <f>IFERROR(VLOOKUP(CANTIDAD[[#This Row],[Ubicación]],SAP[],5,FALSE),"")</f>
        <v>2606095060</v>
      </c>
      <c r="I530" s="46">
        <f>IFERROR(VLOOKUP(CANTIDAD[[#This Row],[Ubicación]],SAP[],6,FALSE),"")</f>
        <v>47367</v>
      </c>
      <c r="J530" s="26" t="str">
        <f>IFERROR(VLOOKUP(CANTIDAD[[#This Row],[Ubicación]],SAP[],7,FALSE),"")</f>
        <v>1F</v>
      </c>
      <c r="K530" s="26">
        <f>IFERROR(VLOOKUP(CANTIDAD[[#This Row],[Ubicación]],SAP[],10,FALSE),"")</f>
        <v>384</v>
      </c>
      <c r="L530" s="52">
        <f>IFERROR(VLOOKUP(CANTIDAD[[#This Row],[Producto]],MARA[],5,FALSE),"")</f>
        <v>16</v>
      </c>
      <c r="M530" s="52" t="str">
        <f>IFERROR(VLOOKUP(CANTIDAD[[#This Row],[Producto]],MARA[],4,FALSE),"")</f>
        <v>CJA</v>
      </c>
      <c r="N530" s="136" t="s">
        <v>4890</v>
      </c>
    </row>
    <row r="531" spans="1:14">
      <c r="A531" s="139" t="str">
        <f t="shared" si="8"/>
        <v>PASILLO 15</v>
      </c>
      <c r="B531" s="93" t="s">
        <v>3152</v>
      </c>
      <c r="C531" s="11">
        <f>IFERROR(VLOOKUP(CANTIDAD[[#This Row],[Ubicación]],SAP[],3,FALSE),"")</f>
        <v>8300113</v>
      </c>
      <c r="D531" s="34">
        <f>IFERROR(VLOOKUP(CANTIDAD[[#This Row],[Producto]],MARA[],3,FALSE),"")</f>
        <v>17750243082249</v>
      </c>
      <c r="E531" s="25" t="str">
        <f>IFERROR(VLOOKUP(CANTIDAD[[#This Row],[Ubicación]],SAP[],4,FALSE),"")</f>
        <v>LEJIA SAPOLIO CLORO B 400GR 15UND</v>
      </c>
      <c r="F531" s="25">
        <f>IFERROR(VLOOKUP(CANTIDAD[[#This Row],[Ubicación]],SAP[],8,FALSE),"")</f>
        <v>16</v>
      </c>
      <c r="G531" s="25" t="str">
        <f>IFERROR(VLOOKUP(CANTIDAD[[#This Row],[Ubicación]],SAP[],9,FALSE),"")</f>
        <v>CJA</v>
      </c>
      <c r="H531" s="25">
        <f>IFERROR(VLOOKUP(CANTIDAD[[#This Row],[Ubicación]],SAP[],5,FALSE),"")</f>
        <v>2608105060</v>
      </c>
      <c r="I531" s="47">
        <f>IFERROR(VLOOKUP(CANTIDAD[[#This Row],[Ubicación]],SAP[],6,FALSE),"")</f>
        <v>46668</v>
      </c>
      <c r="J531" s="25" t="str">
        <f>IFERROR(VLOOKUP(CANTIDAD[[#This Row],[Ubicación]],SAP[],7,FALSE),"")</f>
        <v>1F</v>
      </c>
      <c r="K531" s="25">
        <f>IFERROR(VLOOKUP(CANTIDAD[[#This Row],[Ubicación]],SAP[],10,FALSE),"")</f>
        <v>240</v>
      </c>
      <c r="L531" s="51">
        <f>IFERROR(VLOOKUP(CANTIDAD[[#This Row],[Producto]],MARA[],5,FALSE),"")</f>
        <v>19</v>
      </c>
      <c r="M531" s="51" t="str">
        <f>IFERROR(VLOOKUP(CANTIDAD[[#This Row],[Producto]],MARA[],4,FALSE),"")</f>
        <v>CJA</v>
      </c>
      <c r="N531" s="136" t="s">
        <v>4891</v>
      </c>
    </row>
    <row r="532" spans="1:14">
      <c r="A532" s="139" t="str">
        <f t="shared" si="8"/>
        <v>PASILLO 15</v>
      </c>
      <c r="B532" s="92" t="s">
        <v>3358</v>
      </c>
      <c r="C532" s="11">
        <f>IFERROR(VLOOKUP(CANTIDAD[[#This Row],[Ubicación]],SAP[],3,FALSE),"")</f>
        <v>8305338</v>
      </c>
      <c r="D532" s="35">
        <f>IFERROR(VLOOKUP(CANTIDAD[[#This Row],[Producto]],MARA[],3,FALSE),"")</f>
        <v>17861036791115</v>
      </c>
      <c r="E532" s="26" t="str">
        <f>IFERROR(VLOOKUP(CANTIDAD[[#This Row],[Ubicación]],SAP[],4,FALSE),"")</f>
        <v>LAV. LIQUIDO LAVAX DP LIMON TE180MLX36U</v>
      </c>
      <c r="F532" s="26">
        <f>IFERROR(VLOOKUP(CANTIDAD[[#This Row],[Ubicación]],SAP[],8,FALSE),"")</f>
        <v>10</v>
      </c>
      <c r="G532" s="26" t="str">
        <f>IFERROR(VLOOKUP(CANTIDAD[[#This Row],[Ubicación]],SAP[],9,FALSE),"")</f>
        <v>CJA</v>
      </c>
      <c r="H532" s="26">
        <f>IFERROR(VLOOKUP(CANTIDAD[[#This Row],[Ubicación]],SAP[],5,FALSE),"")</f>
        <v>210932</v>
      </c>
      <c r="I532" s="46">
        <f>IFERROR(VLOOKUP(CANTIDAD[[#This Row],[Ubicación]],SAP[],6,FALSE),"")</f>
        <v>46664</v>
      </c>
      <c r="J532" s="26" t="str">
        <f>IFERROR(VLOOKUP(CANTIDAD[[#This Row],[Ubicación]],SAP[],7,FALSE),"")</f>
        <v>1F</v>
      </c>
      <c r="K532" s="26">
        <f>IFERROR(VLOOKUP(CANTIDAD[[#This Row],[Ubicación]],SAP[],10,FALSE),"")</f>
        <v>360</v>
      </c>
      <c r="L532" s="52">
        <f>IFERROR(VLOOKUP(CANTIDAD[[#This Row],[Producto]],MARA[],5,FALSE),"")</f>
        <v>9</v>
      </c>
      <c r="M532" s="52" t="str">
        <f>IFERROR(VLOOKUP(CANTIDAD[[#This Row],[Producto]],MARA[],4,FALSE),"")</f>
        <v>CJA</v>
      </c>
      <c r="N532" s="136" t="s">
        <v>4892</v>
      </c>
    </row>
    <row r="533" spans="1:14">
      <c r="A533" s="139" t="str">
        <f t="shared" si="8"/>
        <v>PASILLO 15</v>
      </c>
      <c r="B533" s="93" t="s">
        <v>3348</v>
      </c>
      <c r="C533" s="11">
        <f>IFERROR(VLOOKUP(CANTIDAD[[#This Row],[Ubicación]],SAP[],3,FALSE),"")</f>
        <v>8305329</v>
      </c>
      <c r="D533" s="34">
        <f>IFERROR(VLOOKUP(CANTIDAD[[#This Row],[Producto]],MARA[],3,FALSE),"")</f>
        <v>27750243060695</v>
      </c>
      <c r="E533" s="25" t="str">
        <f>IFERROR(VLOOKUP(CANTIDAD[[#This Row],[Ubicación]],SAP[],4,FALSE),"")</f>
        <v>LAVAV. PROF.SAPOLIO AB LIMON 1KG.6FCO NV</v>
      </c>
      <c r="F533" s="25">
        <f>IFERROR(VLOOKUP(CANTIDAD[[#This Row],[Ubicación]],SAP[],8,FALSE),"")</f>
        <v>22</v>
      </c>
      <c r="G533" s="25" t="str">
        <f>IFERROR(VLOOKUP(CANTIDAD[[#This Row],[Ubicación]],SAP[],9,FALSE),"")</f>
        <v>CJA</v>
      </c>
      <c r="H533" s="25">
        <f>IFERROR(VLOOKUP(CANTIDAD[[#This Row],[Ubicación]],SAP[],5,FALSE),"")</f>
        <v>2608065030</v>
      </c>
      <c r="I533" s="47">
        <f>IFERROR(VLOOKUP(CANTIDAD[[#This Row],[Ubicación]],SAP[],6,FALSE),"")</f>
        <v>46912</v>
      </c>
      <c r="J533" s="25" t="str">
        <f>IFERROR(VLOOKUP(CANTIDAD[[#This Row],[Ubicación]],SAP[],7,FALSE),"")</f>
        <v>1F</v>
      </c>
      <c r="K533" s="25">
        <f>IFERROR(VLOOKUP(CANTIDAD[[#This Row],[Ubicación]],SAP[],10,FALSE),"")</f>
        <v>132</v>
      </c>
      <c r="L533" s="51">
        <f>IFERROR(VLOOKUP(CANTIDAD[[#This Row],[Producto]],MARA[],5,FALSE),"")</f>
        <v>8</v>
      </c>
      <c r="M533" s="51" t="str">
        <f>IFERROR(VLOOKUP(CANTIDAD[[#This Row],[Producto]],MARA[],4,FALSE),"")</f>
        <v>CJA</v>
      </c>
      <c r="N533" s="136" t="s">
        <v>4893</v>
      </c>
    </row>
    <row r="534" spans="1:14">
      <c r="A534" s="139" t="str">
        <f t="shared" si="8"/>
        <v>PASILLO 15</v>
      </c>
      <c r="B534" s="92" t="s">
        <v>3342</v>
      </c>
      <c r="C534" s="11">
        <f>IFERROR(VLOOKUP(CANTIDAD[[#This Row],[Ubicación]],SAP[],3,FALSE),"")</f>
        <v>8305328</v>
      </c>
      <c r="D534" s="35">
        <f>IFERROR(VLOOKUP(CANTIDAD[[#This Row],[Producto]],MARA[],3,FALSE),"")</f>
        <v>27751851023393</v>
      </c>
      <c r="E534" s="26" t="str">
        <f>IFERROR(VLOOKUP(CANTIDAD[[#This Row],[Ubicación]],SAP[],4,FALSE),"")</f>
        <v>LAVAVAJILLA PATITO LIMÓN 1000G 6UND NV</v>
      </c>
      <c r="F534" s="26">
        <f>IFERROR(VLOOKUP(CANTIDAD[[#This Row],[Ubicación]],SAP[],8,FALSE),"")</f>
        <v>80</v>
      </c>
      <c r="G534" s="26" t="str">
        <f>IFERROR(VLOOKUP(CANTIDAD[[#This Row],[Ubicación]],SAP[],9,FALSE),"")</f>
        <v>CJA</v>
      </c>
      <c r="H534" s="26">
        <f>IFERROR(VLOOKUP(CANTIDAD[[#This Row],[Ubicación]],SAP[],5,FALSE),"")</f>
        <v>2608145030</v>
      </c>
      <c r="I534" s="46" t="str">
        <f>IFERROR(VLOOKUP(CANTIDAD[[#This Row],[Ubicación]],SAP[],6,FALSE),"")</f>
        <v>14/08/2028</v>
      </c>
      <c r="J534" s="26" t="str">
        <f>IFERROR(VLOOKUP(CANTIDAD[[#This Row],[Ubicación]],SAP[],7,FALSE),"")</f>
        <v>1F</v>
      </c>
      <c r="K534" s="26">
        <f>IFERROR(VLOOKUP(CANTIDAD[[#This Row],[Ubicación]],SAP[],10,FALSE),"")</f>
        <v>480</v>
      </c>
      <c r="L534" s="52">
        <f>IFERROR(VLOOKUP(CANTIDAD[[#This Row],[Producto]],MARA[],5,FALSE),"")</f>
        <v>8</v>
      </c>
      <c r="M534" s="52" t="str">
        <f>IFERROR(VLOOKUP(CANTIDAD[[#This Row],[Producto]],MARA[],4,FALSE),"")</f>
        <v>CJA</v>
      </c>
      <c r="N534" s="137" t="s">
        <v>4894</v>
      </c>
    </row>
    <row r="535" spans="1:14">
      <c r="A535" s="139" t="str">
        <f t="shared" si="8"/>
        <v>PASILLO 15</v>
      </c>
      <c r="B535" s="93" t="s">
        <v>3346</v>
      </c>
      <c r="C535" s="11">
        <f>IFERROR(VLOOKUP(CANTIDAD[[#This Row],[Ubicación]],SAP[],3,FALSE),"")</f>
        <v>8305328</v>
      </c>
      <c r="D535" s="34">
        <f>IFERROR(VLOOKUP(CANTIDAD[[#This Row],[Producto]],MARA[],3,FALSE),"")</f>
        <v>27751851023393</v>
      </c>
      <c r="E535" s="25" t="str">
        <f>IFERROR(VLOOKUP(CANTIDAD[[#This Row],[Ubicación]],SAP[],4,FALSE),"")</f>
        <v>LAVAVAJILLA PATITO LIMÓN 1000G 6UND NV</v>
      </c>
      <c r="F535" s="25">
        <f>IFERROR(VLOOKUP(CANTIDAD[[#This Row],[Ubicación]],SAP[],8,FALSE),"")</f>
        <v>56</v>
      </c>
      <c r="G535" s="25" t="str">
        <f>IFERROR(VLOOKUP(CANTIDAD[[#This Row],[Ubicación]],SAP[],9,FALSE),"")</f>
        <v>CJA</v>
      </c>
      <c r="H535" s="25">
        <f>IFERROR(VLOOKUP(CANTIDAD[[#This Row],[Ubicación]],SAP[],5,FALSE),"")</f>
        <v>2608145030</v>
      </c>
      <c r="I535" s="47" t="str">
        <f>IFERROR(VLOOKUP(CANTIDAD[[#This Row],[Ubicación]],SAP[],6,FALSE),"")</f>
        <v>14/08/2028</v>
      </c>
      <c r="J535" s="25" t="str">
        <f>IFERROR(VLOOKUP(CANTIDAD[[#This Row],[Ubicación]],SAP[],7,FALSE),"")</f>
        <v>1F</v>
      </c>
      <c r="K535" s="25">
        <f>IFERROR(VLOOKUP(CANTIDAD[[#This Row],[Ubicación]],SAP[],10,FALSE),"")</f>
        <v>336</v>
      </c>
      <c r="L535" s="51">
        <f>IFERROR(VLOOKUP(CANTIDAD[[#This Row],[Producto]],MARA[],5,FALSE),"")</f>
        <v>8</v>
      </c>
      <c r="M535" s="51" t="str">
        <f>IFERROR(VLOOKUP(CANTIDAD[[#This Row],[Producto]],MARA[],4,FALSE),"")</f>
        <v>CJA</v>
      </c>
      <c r="N535" s="136" t="s">
        <v>4895</v>
      </c>
    </row>
    <row r="536" spans="1:14">
      <c r="A536" s="139" t="str">
        <f t="shared" si="8"/>
        <v>PASILLO 15</v>
      </c>
      <c r="B536" s="92" t="s">
        <v>3352</v>
      </c>
      <c r="C536" s="11">
        <f>IFERROR(VLOOKUP(CANTIDAD[[#This Row],[Ubicación]],SAP[],3,FALSE),"")</f>
        <v>8305334</v>
      </c>
      <c r="D536" s="35">
        <f>IFERROR(VLOOKUP(CANTIDAD[[#This Row],[Producto]],MARA[],3,FALSE),"")</f>
        <v>17750243084755</v>
      </c>
      <c r="E536" s="26" t="str">
        <f>IFERROR(VLOOKUP(CANTIDAD[[#This Row],[Ubicación]],SAP[],4,FALSE),"")</f>
        <v>LAVAVAJILLA PATITO UVA 1KG 6UND</v>
      </c>
      <c r="F536" s="26">
        <f>IFERROR(VLOOKUP(CANTIDAD[[#This Row],[Ubicación]],SAP[],8,FALSE),"")</f>
        <v>51</v>
      </c>
      <c r="G536" s="26" t="str">
        <f>IFERROR(VLOOKUP(CANTIDAD[[#This Row],[Ubicación]],SAP[],9,FALSE),"")</f>
        <v>CJA</v>
      </c>
      <c r="H536" s="26">
        <f>IFERROR(VLOOKUP(CANTIDAD[[#This Row],[Ubicación]],SAP[],5,FALSE),"")</f>
        <v>2607075030</v>
      </c>
      <c r="I536" s="46">
        <f>IFERROR(VLOOKUP(CANTIDAD[[#This Row],[Ubicación]],SAP[],6,FALSE),"")</f>
        <v>46941</v>
      </c>
      <c r="J536" s="26" t="str">
        <f>IFERROR(VLOOKUP(CANTIDAD[[#This Row],[Ubicación]],SAP[],7,FALSE),"")</f>
        <v>1F</v>
      </c>
      <c r="K536" s="26">
        <f>IFERROR(VLOOKUP(CANTIDAD[[#This Row],[Ubicación]],SAP[],10,FALSE),"")</f>
        <v>306</v>
      </c>
      <c r="L536" s="52">
        <f>IFERROR(VLOOKUP(CANTIDAD[[#This Row],[Producto]],MARA[],5,FALSE),"")</f>
        <v>8</v>
      </c>
      <c r="M536" s="52" t="str">
        <f>IFERROR(VLOOKUP(CANTIDAD[[#This Row],[Producto]],MARA[],4,FALSE),"")</f>
        <v>CJA</v>
      </c>
      <c r="N536" s="136" t="s">
        <v>4896</v>
      </c>
    </row>
    <row r="537" spans="1:14">
      <c r="A537" s="139" t="str">
        <f t="shared" si="8"/>
        <v>PASILLO 15</v>
      </c>
      <c r="B537" s="93" t="s">
        <v>3336</v>
      </c>
      <c r="C537" s="11">
        <f>IFERROR(VLOOKUP(CANTIDAD[[#This Row],[Ubicación]],SAP[],3,FALSE),"")</f>
        <v>8305326</v>
      </c>
      <c r="D537" s="34">
        <f>IFERROR(VLOOKUP(CANTIDAD[[#This Row],[Producto]],MARA[],3,FALSE),"")</f>
        <v>27751851003593</v>
      </c>
      <c r="E537" s="25" t="str">
        <f>IFERROR(VLOOKUP(CANTIDAD[[#This Row],[Ubicación]],SAP[],4,FALSE),"")</f>
        <v>LAVAV. SAPOLIO LIMON 1000GR 6UND NV</v>
      </c>
      <c r="F537" s="25">
        <f>IFERROR(VLOOKUP(CANTIDAD[[#This Row],[Ubicación]],SAP[],8,FALSE),"")</f>
        <v>35</v>
      </c>
      <c r="G537" s="25" t="str">
        <f>IFERROR(VLOOKUP(CANTIDAD[[#This Row],[Ubicación]],SAP[],9,FALSE),"")</f>
        <v>CJA</v>
      </c>
      <c r="H537" s="25">
        <f>IFERROR(VLOOKUP(CANTIDAD[[#This Row],[Ubicación]],SAP[],5,FALSE),"")</f>
        <v>2606135030</v>
      </c>
      <c r="I537" s="47" t="str">
        <f>IFERROR(VLOOKUP(CANTIDAD[[#This Row],[Ubicación]],SAP[],6,FALSE),"")</f>
        <v>13/06/2028</v>
      </c>
      <c r="J537" s="25" t="str">
        <f>IFERROR(VLOOKUP(CANTIDAD[[#This Row],[Ubicación]],SAP[],7,FALSE),"")</f>
        <v>1F</v>
      </c>
      <c r="K537" s="25">
        <f>IFERROR(VLOOKUP(CANTIDAD[[#This Row],[Ubicación]],SAP[],10,FALSE),"")</f>
        <v>210</v>
      </c>
      <c r="L537" s="51">
        <f>IFERROR(VLOOKUP(CANTIDAD[[#This Row],[Producto]],MARA[],5,FALSE),"")</f>
        <v>8</v>
      </c>
      <c r="M537" s="51" t="str">
        <f>IFERROR(VLOOKUP(CANTIDAD[[#This Row],[Producto]],MARA[],4,FALSE),"")</f>
        <v>CJA</v>
      </c>
      <c r="N537" s="136" t="s">
        <v>4897</v>
      </c>
    </row>
    <row r="538" spans="1:14">
      <c r="A538" s="139" t="str">
        <f t="shared" si="8"/>
        <v>PASILLO 15</v>
      </c>
      <c r="B538" s="92" t="s">
        <v>3260</v>
      </c>
      <c r="C538" s="11">
        <f>IFERROR(VLOOKUP(CANTIDAD[[#This Row],[Ubicación]],SAP[],3,FALSE),"")</f>
        <v>8304013</v>
      </c>
      <c r="D538" s="35">
        <f>IFERROR(VLOOKUP(CANTIDAD[[#This Row],[Producto]],MARA[],3,FALSE),"")</f>
        <v>17751851024201</v>
      </c>
      <c r="E538" s="26" t="str">
        <f>IFERROR(VLOOKUP(CANTIDAD[[#This Row],[Ubicación]],SAP[],4,FALSE),"")</f>
        <v>LIBRE ENJUA.B.FLORES AMOR 80ML 72UND</v>
      </c>
      <c r="F538" s="26">
        <f>IFERROR(VLOOKUP(CANTIDAD[[#This Row],[Ubicación]],SAP[],8,FALSE),"")</f>
        <v>62</v>
      </c>
      <c r="G538" s="26" t="str">
        <f>IFERROR(VLOOKUP(CANTIDAD[[#This Row],[Ubicación]],SAP[],9,FALSE),"")</f>
        <v>CJA</v>
      </c>
      <c r="H538" s="26">
        <f>IFERROR(VLOOKUP(CANTIDAD[[#This Row],[Ubicación]],SAP[],5,FALSE),"")</f>
        <v>2608215060</v>
      </c>
      <c r="I538" s="46" t="str">
        <f>IFERROR(VLOOKUP(CANTIDAD[[#This Row],[Ubicación]],SAP[],6,FALSE),"")</f>
        <v>21/08/2028</v>
      </c>
      <c r="J538" s="26" t="str">
        <f>IFERROR(VLOOKUP(CANTIDAD[[#This Row],[Ubicación]],SAP[],7,FALSE),"")</f>
        <v>1F</v>
      </c>
      <c r="K538" s="27">
        <f>IFERROR(VLOOKUP(CANTIDAD[[#This Row],[Ubicación]],SAP[],10,FALSE),"")</f>
        <v>4464</v>
      </c>
      <c r="L538" s="52">
        <f>IFERROR(VLOOKUP(CANTIDAD[[#This Row],[Producto]],MARA[],5,FALSE),"")</f>
        <v>14</v>
      </c>
      <c r="M538" s="52" t="str">
        <f>IFERROR(VLOOKUP(CANTIDAD[[#This Row],[Producto]],MARA[],4,FALSE),"")</f>
        <v>CJA</v>
      </c>
      <c r="N538" s="136" t="s">
        <v>4898</v>
      </c>
    </row>
    <row r="539" spans="1:14">
      <c r="A539" s="139" t="str">
        <f t="shared" si="8"/>
        <v>PASILLO 15</v>
      </c>
      <c r="B539" s="93" t="s">
        <v>3499</v>
      </c>
      <c r="C539" s="11">
        <f>IFERROR(VLOOKUP(CANTIDAD[[#This Row],[Ubicación]],SAP[],3,FALSE),"")</f>
        <v>8315004</v>
      </c>
      <c r="D539" s="34">
        <f>IFERROR(VLOOKUP(CANTIDAD[[#This Row],[Producto]],MARA[],3,FALSE),"")</f>
        <v>17751851559093</v>
      </c>
      <c r="E539" s="25" t="str">
        <f>IFERROR(VLOOKUP(CANTIDAD[[#This Row],[Ubicación]],SAP[],4,FALSE),"")</f>
        <v>SAC.GRA. PRE LUSTR CREMLIMP 500ML 12UND</v>
      </c>
      <c r="F539" s="25">
        <f>IFERROR(VLOOKUP(CANTIDAD[[#This Row],[Ubicación]],SAP[],8,FALSE),"")</f>
        <v>34</v>
      </c>
      <c r="G539" s="25" t="str">
        <f>IFERROR(VLOOKUP(CANTIDAD[[#This Row],[Ubicación]],SAP[],9,FALSE),"")</f>
        <v>CJA</v>
      </c>
      <c r="H539" s="25">
        <f>IFERROR(VLOOKUP(CANTIDAD[[#This Row],[Ubicación]],SAP[],5,FALSE),"")</f>
        <v>2608215060</v>
      </c>
      <c r="I539" s="47" t="str">
        <f>IFERROR(VLOOKUP(CANTIDAD[[#This Row],[Ubicación]],SAP[],6,FALSE),"")</f>
        <v>21/08/2028</v>
      </c>
      <c r="J539" s="25" t="str">
        <f>IFERROR(VLOOKUP(CANTIDAD[[#This Row],[Ubicación]],SAP[],7,FALSE),"")</f>
        <v>1F</v>
      </c>
      <c r="K539" s="25">
        <f>IFERROR(VLOOKUP(CANTIDAD[[#This Row],[Ubicación]],SAP[],10,FALSE),"")</f>
        <v>408</v>
      </c>
      <c r="L539" s="51">
        <f>IFERROR(VLOOKUP(CANTIDAD[[#This Row],[Producto]],MARA[],5,FALSE),"")</f>
        <v>20</v>
      </c>
      <c r="M539" s="51" t="str">
        <f>IFERROR(VLOOKUP(CANTIDAD[[#This Row],[Producto]],MARA[],4,FALSE),"")</f>
        <v>CJA</v>
      </c>
      <c r="N539" s="136" t="s">
        <v>4899</v>
      </c>
    </row>
    <row r="540" spans="1:14">
      <c r="A540" s="139" t="str">
        <f t="shared" si="8"/>
        <v>PASILLO 15</v>
      </c>
      <c r="B540" s="92" t="s">
        <v>3143</v>
      </c>
      <c r="C540" s="11">
        <f>IFERROR(VLOOKUP(CANTIDAD[[#This Row],[Ubicación]],SAP[],3,FALSE),"")</f>
        <v>8300110</v>
      </c>
      <c r="D540" s="35">
        <f>IFERROR(VLOOKUP(CANTIDAD[[#This Row],[Producto]],MARA[],3,FALSE),"")</f>
        <v>17750243082218</v>
      </c>
      <c r="E540" s="26" t="str">
        <f>IFERROR(VLOOKUP(CANTIDAD[[#This Row],[Ubicación]],SAP[],4,FALSE),"")</f>
        <v>LEJÍA I PATITO B CLORO 370G 15 UND</v>
      </c>
      <c r="F540" s="26">
        <f>IFERROR(VLOOKUP(CANTIDAD[[#This Row],[Ubicación]],SAP[],8,FALSE),"")</f>
        <v>36</v>
      </c>
      <c r="G540" s="26" t="str">
        <f>IFERROR(VLOOKUP(CANTIDAD[[#This Row],[Ubicación]],SAP[],9,FALSE),"")</f>
        <v>CJA</v>
      </c>
      <c r="H540" s="26">
        <f>IFERROR(VLOOKUP(CANTIDAD[[#This Row],[Ubicación]],SAP[],5,FALSE),"")</f>
        <v>2605275060</v>
      </c>
      <c r="I540" s="46" t="str">
        <f>IFERROR(VLOOKUP(CANTIDAD[[#This Row],[Ubicación]],SAP[],6,FALSE),"")</f>
        <v>27/05/2027</v>
      </c>
      <c r="J540" s="26" t="str">
        <f>IFERROR(VLOOKUP(CANTIDAD[[#This Row],[Ubicación]],SAP[],7,FALSE),"")</f>
        <v>1F</v>
      </c>
      <c r="K540" s="26">
        <f>IFERROR(VLOOKUP(CANTIDAD[[#This Row],[Ubicación]],SAP[],10,FALSE),"")</f>
        <v>540</v>
      </c>
      <c r="L540" s="52">
        <f>IFERROR(VLOOKUP(CANTIDAD[[#This Row],[Producto]],MARA[],5,FALSE),"")</f>
        <v>19</v>
      </c>
      <c r="M540" s="52" t="str">
        <f>IFERROR(VLOOKUP(CANTIDAD[[#This Row],[Producto]],MARA[],4,FALSE),"")</f>
        <v>CJA</v>
      </c>
      <c r="N540" s="136" t="s">
        <v>4900</v>
      </c>
    </row>
    <row r="541" spans="1:14">
      <c r="A541" s="139" t="str">
        <f t="shared" si="8"/>
        <v>PASILLO 15</v>
      </c>
      <c r="B541" s="93" t="s">
        <v>4901</v>
      </c>
      <c r="C541" s="11" t="str">
        <f>IFERROR(VLOOKUP(CANTIDAD[[#This Row],[Ubicación]],SAP[],3,FALSE),"")</f>
        <v/>
      </c>
      <c r="D541" s="34" t="str">
        <f>IFERROR(VLOOKUP(CANTIDAD[[#This Row],[Producto]],MARA[],3,FALSE),"")</f>
        <v/>
      </c>
      <c r="E541" s="25" t="str">
        <f>IFERROR(VLOOKUP(CANTIDAD[[#This Row],[Ubicación]],SAP[],4,FALSE),"")</f>
        <v/>
      </c>
      <c r="F541" s="25" t="str">
        <f>IFERROR(VLOOKUP(CANTIDAD[[#This Row],[Ubicación]],SAP[],8,FALSE),"")</f>
        <v/>
      </c>
      <c r="G541" s="25" t="str">
        <f>IFERROR(VLOOKUP(CANTIDAD[[#This Row],[Ubicación]],SAP[],9,FALSE),"")</f>
        <v/>
      </c>
      <c r="H541" s="25" t="str">
        <f>IFERROR(VLOOKUP(CANTIDAD[[#This Row],[Ubicación]],SAP[],5,FALSE),"")</f>
        <v/>
      </c>
      <c r="I541" s="47" t="str">
        <f>IFERROR(VLOOKUP(CANTIDAD[[#This Row],[Ubicación]],SAP[],6,FALSE),"")</f>
        <v/>
      </c>
      <c r="J541" s="25" t="str">
        <f>IFERROR(VLOOKUP(CANTIDAD[[#This Row],[Ubicación]],SAP[],7,FALSE),"")</f>
        <v/>
      </c>
      <c r="K541" s="25" t="str">
        <f>IFERROR(VLOOKUP(CANTIDAD[[#This Row],[Ubicación]],SAP[],10,FALSE),"")</f>
        <v/>
      </c>
      <c r="L541" s="51" t="str">
        <f>IFERROR(VLOOKUP(CANTIDAD[[#This Row],[Producto]],MARA[],5,FALSE),"")</f>
        <v/>
      </c>
      <c r="M541" s="51" t="str">
        <f>IFERROR(VLOOKUP(CANTIDAD[[#This Row],[Producto]],MARA[],4,FALSE),"")</f>
        <v/>
      </c>
      <c r="N541" s="136" t="s">
        <v>4902</v>
      </c>
    </row>
    <row r="542" spans="1:14">
      <c r="A542" s="139" t="str">
        <f t="shared" si="8"/>
        <v>PASILLO 15</v>
      </c>
      <c r="B542" s="92" t="s">
        <v>4903</v>
      </c>
      <c r="C542" s="11" t="str">
        <f>IFERROR(VLOOKUP(CANTIDAD[[#This Row],[Ubicación]],SAP[],3,FALSE),"")</f>
        <v/>
      </c>
      <c r="D542" s="35" t="str">
        <f>IFERROR(VLOOKUP(CANTIDAD[[#This Row],[Producto]],MARA[],3,FALSE),"")</f>
        <v/>
      </c>
      <c r="E542" s="26" t="str">
        <f>IFERROR(VLOOKUP(CANTIDAD[[#This Row],[Ubicación]],SAP[],4,FALSE),"")</f>
        <v/>
      </c>
      <c r="F542" s="26" t="str">
        <f>IFERROR(VLOOKUP(CANTIDAD[[#This Row],[Ubicación]],SAP[],8,FALSE),"")</f>
        <v/>
      </c>
      <c r="G542" s="26" t="str">
        <f>IFERROR(VLOOKUP(CANTIDAD[[#This Row],[Ubicación]],SAP[],9,FALSE),"")</f>
        <v/>
      </c>
      <c r="H542" s="26" t="str">
        <f>IFERROR(VLOOKUP(CANTIDAD[[#This Row],[Ubicación]],SAP[],5,FALSE),"")</f>
        <v/>
      </c>
      <c r="I542" s="46" t="str">
        <f>IFERROR(VLOOKUP(CANTIDAD[[#This Row],[Ubicación]],SAP[],6,FALSE),"")</f>
        <v/>
      </c>
      <c r="J542" s="26" t="str">
        <f>IFERROR(VLOOKUP(CANTIDAD[[#This Row],[Ubicación]],SAP[],7,FALSE),"")</f>
        <v/>
      </c>
      <c r="K542" s="26" t="str">
        <f>IFERROR(VLOOKUP(CANTIDAD[[#This Row],[Ubicación]],SAP[],10,FALSE),"")</f>
        <v/>
      </c>
      <c r="L542" s="52" t="str">
        <f>IFERROR(VLOOKUP(CANTIDAD[[#This Row],[Producto]],MARA[],5,FALSE),"")</f>
        <v/>
      </c>
      <c r="M542" s="52" t="str">
        <f>IFERROR(VLOOKUP(CANTIDAD[[#This Row],[Producto]],MARA[],4,FALSE),"")</f>
        <v/>
      </c>
      <c r="N542" s="136" t="s">
        <v>4904</v>
      </c>
    </row>
    <row r="543" spans="1:14">
      <c r="A543" s="139" t="str">
        <f t="shared" si="8"/>
        <v>PASILLO 15</v>
      </c>
      <c r="B543" s="93" t="s">
        <v>3598</v>
      </c>
      <c r="C543" s="11">
        <f>IFERROR(VLOOKUP(CANTIDAD[[#This Row],[Ubicación]],SAP[],3,FALSE),"")</f>
        <v>8316038</v>
      </c>
      <c r="D543" s="34">
        <f>IFERROR(VLOOKUP(CANTIDAD[[#This Row],[Producto]],MARA[],3,FALSE),"")</f>
        <v>17751851107553</v>
      </c>
      <c r="E543" s="25" t="str">
        <f>IFERROR(VLOOKUP(CANTIDAD[[#This Row],[Ubicación]],SAP[],4,FALSE),"")</f>
        <v>LIMPIADOR TUB. POLVO BAÑO SAP.450GR 12UN</v>
      </c>
      <c r="F543" s="25">
        <f>IFERROR(VLOOKUP(CANTIDAD[[#This Row],[Ubicación]],SAP[],8,FALSE),"")</f>
        <v>104</v>
      </c>
      <c r="G543" s="25" t="str">
        <f>IFERROR(VLOOKUP(CANTIDAD[[#This Row],[Ubicación]],SAP[],9,FALSE),"")</f>
        <v>CJA</v>
      </c>
      <c r="H543" s="25">
        <f>IFERROR(VLOOKUP(CANTIDAD[[#This Row],[Ubicación]],SAP[],5,FALSE),"")</f>
        <v>2608105030</v>
      </c>
      <c r="I543" s="47">
        <f>IFERROR(VLOOKUP(CANTIDAD[[#This Row],[Ubicación]],SAP[],6,FALSE),"")</f>
        <v>47399</v>
      </c>
      <c r="J543" s="25" t="str">
        <f>IFERROR(VLOOKUP(CANTIDAD[[#This Row],[Ubicación]],SAP[],7,FALSE),"")</f>
        <v>1F</v>
      </c>
      <c r="K543" s="28">
        <f>IFERROR(VLOOKUP(CANTIDAD[[#This Row],[Ubicación]],SAP[],10,FALSE),"")</f>
        <v>1248</v>
      </c>
      <c r="L543" s="51">
        <f>IFERROR(VLOOKUP(CANTIDAD[[#This Row],[Producto]],MARA[],5,FALSE),"")</f>
        <v>18</v>
      </c>
      <c r="M543" s="51" t="str">
        <f>IFERROR(VLOOKUP(CANTIDAD[[#This Row],[Producto]],MARA[],4,FALSE),"")</f>
        <v>CJA</v>
      </c>
      <c r="N543" s="136" t="s">
        <v>4905</v>
      </c>
    </row>
    <row r="544" spans="1:14">
      <c r="A544" s="139" t="str">
        <f t="shared" si="8"/>
        <v>PASILLO 15</v>
      </c>
      <c r="B544" s="92" t="s">
        <v>3386</v>
      </c>
      <c r="C544" s="11">
        <f>IFERROR(VLOOKUP(CANTIDAD[[#This Row],[Ubicación]],SAP[],3,FALSE),"")</f>
        <v>8305354</v>
      </c>
      <c r="D544" s="35">
        <f>IFERROR(VLOOKUP(CANTIDAD[[#This Row],[Producto]],MARA[],3,FALSE),"")</f>
        <v>17861036791030</v>
      </c>
      <c r="E544" s="26" t="str">
        <f>IFERROR(VLOOKUP(CANTIDAD[[#This Row],[Ubicación]],SAP[],4,FALSE),"")</f>
        <v>LAV. LIQ LAVAX DP LIMON TE V. 450MLX12U</v>
      </c>
      <c r="F544" s="26">
        <f>IFERROR(VLOOKUP(CANTIDAD[[#This Row],[Ubicación]],SAP[],8,FALSE),"")</f>
        <v>50</v>
      </c>
      <c r="G544" s="26" t="str">
        <f>IFERROR(VLOOKUP(CANTIDAD[[#This Row],[Ubicación]],SAP[],9,FALSE),"")</f>
        <v>CJA</v>
      </c>
      <c r="H544" s="26">
        <f>IFERROR(VLOOKUP(CANTIDAD[[#This Row],[Ubicación]],SAP[],5,FALSE),"")</f>
        <v>223333</v>
      </c>
      <c r="I544" s="46" t="str">
        <f>IFERROR(VLOOKUP(CANTIDAD[[#This Row],[Ubicación]],SAP[],6,FALSE),"")</f>
        <v>23/03/2028</v>
      </c>
      <c r="J544" s="26" t="str">
        <f>IFERROR(VLOOKUP(CANTIDAD[[#This Row],[Ubicación]],SAP[],7,FALSE),"")</f>
        <v>1F</v>
      </c>
      <c r="K544" s="26">
        <f>IFERROR(VLOOKUP(CANTIDAD[[#This Row],[Ubicación]],SAP[],10,FALSE),"")</f>
        <v>600</v>
      </c>
      <c r="L544" s="52">
        <f>IFERROR(VLOOKUP(CANTIDAD[[#This Row],[Producto]],MARA[],5,FALSE),"")</f>
        <v>15</v>
      </c>
      <c r="M544" s="52" t="str">
        <f>IFERROR(VLOOKUP(CANTIDAD[[#This Row],[Producto]],MARA[],4,FALSE),"")</f>
        <v>CJA</v>
      </c>
      <c r="N544" s="136" t="s">
        <v>4906</v>
      </c>
    </row>
    <row r="545" spans="1:14">
      <c r="A545" s="139" t="str">
        <f t="shared" si="8"/>
        <v>PASILLO 15</v>
      </c>
      <c r="B545" s="93" t="s">
        <v>3384</v>
      </c>
      <c r="C545" s="11">
        <f>IFERROR(VLOOKUP(CANTIDAD[[#This Row],[Ubicación]],SAP[],3,FALSE),"")</f>
        <v>8305353</v>
      </c>
      <c r="D545" s="34">
        <f>IFERROR(VLOOKUP(CANTIDAD[[#This Row],[Producto]],MARA[],3,FALSE),"")</f>
        <v>17861036791023</v>
      </c>
      <c r="E545" s="25" t="str">
        <f>IFERROR(VLOOKUP(CANTIDAD[[#This Row],[Ubicación]],SAP[],4,FALSE),"")</f>
        <v>LAV. LIQUIDO LAVAX DP SANDIA 450MLX12U</v>
      </c>
      <c r="F545" s="25">
        <f>IFERROR(VLOOKUP(CANTIDAD[[#This Row],[Ubicación]],SAP[],8,FALSE),"")</f>
        <v>7</v>
      </c>
      <c r="G545" s="25" t="str">
        <f>IFERROR(VLOOKUP(CANTIDAD[[#This Row],[Ubicación]],SAP[],9,FALSE),"")</f>
        <v>CJA</v>
      </c>
      <c r="H545" s="25">
        <f>IFERROR(VLOOKUP(CANTIDAD[[#This Row],[Ubicación]],SAP[],5,FALSE),"")</f>
        <v>251103000</v>
      </c>
      <c r="I545" s="47">
        <f>IFERROR(VLOOKUP(CANTIDAD[[#This Row],[Ubicación]],SAP[],6,FALSE),"")</f>
        <v>46457</v>
      </c>
      <c r="J545" s="25" t="str">
        <f>IFERROR(VLOOKUP(CANTIDAD[[#This Row],[Ubicación]],SAP[],7,FALSE),"")</f>
        <v>1F</v>
      </c>
      <c r="K545" s="25">
        <f>IFERROR(VLOOKUP(CANTIDAD[[#This Row],[Ubicación]],SAP[],10,FALSE),"")</f>
        <v>84</v>
      </c>
      <c r="L545" s="51">
        <f>IFERROR(VLOOKUP(CANTIDAD[[#This Row],[Producto]],MARA[],5,FALSE),"")</f>
        <v>15</v>
      </c>
      <c r="M545" s="51" t="str">
        <f>IFERROR(VLOOKUP(CANTIDAD[[#This Row],[Producto]],MARA[],4,FALSE),"")</f>
        <v>CJA</v>
      </c>
      <c r="N545" s="136" t="s">
        <v>4907</v>
      </c>
    </row>
    <row r="546" spans="1:14">
      <c r="A546" s="139" t="str">
        <f t="shared" si="8"/>
        <v>PASILLO 15</v>
      </c>
      <c r="B546" s="92" t="s">
        <v>3340</v>
      </c>
      <c r="C546" s="11">
        <f>IFERROR(VLOOKUP(CANTIDAD[[#This Row],[Ubicación]],SAP[],3,FALSE),"")</f>
        <v>8305327</v>
      </c>
      <c r="D546" s="35">
        <f>IFERROR(VLOOKUP(CANTIDAD[[#This Row],[Producto]],MARA[],3,FALSE),"")</f>
        <v>27750243068264</v>
      </c>
      <c r="E546" s="26" t="str">
        <f>IFERROR(VLOOKUP(CANTIDAD[[#This Row],[Ubicación]],SAP[],4,FALSE),"")</f>
        <v>LAVAV.SAPOL.LIMON ANTIB.800GR 6UND</v>
      </c>
      <c r="F546" s="26">
        <f>IFERROR(VLOOKUP(CANTIDAD[[#This Row],[Ubicación]],SAP[],8,FALSE),"")</f>
        <v>40</v>
      </c>
      <c r="G546" s="26" t="str">
        <f>IFERROR(VLOOKUP(CANTIDAD[[#This Row],[Ubicación]],SAP[],9,FALSE),"")</f>
        <v>CJA</v>
      </c>
      <c r="H546" s="26">
        <f>IFERROR(VLOOKUP(CANTIDAD[[#This Row],[Ubicación]],SAP[],5,FALSE),"")</f>
        <v>2607225030</v>
      </c>
      <c r="I546" s="46" t="str">
        <f>IFERROR(VLOOKUP(CANTIDAD[[#This Row],[Ubicación]],SAP[],6,FALSE),"")</f>
        <v>22/07/2028</v>
      </c>
      <c r="J546" s="26" t="str">
        <f>IFERROR(VLOOKUP(CANTIDAD[[#This Row],[Ubicación]],SAP[],7,FALSE),"")</f>
        <v>1F</v>
      </c>
      <c r="K546" s="26">
        <f>IFERROR(VLOOKUP(CANTIDAD[[#This Row],[Ubicación]],SAP[],10,FALSE),"")</f>
        <v>240</v>
      </c>
      <c r="L546" s="52">
        <f>IFERROR(VLOOKUP(CANTIDAD[[#This Row],[Producto]],MARA[],5,FALSE),"")</f>
        <v>8</v>
      </c>
      <c r="M546" s="52" t="str">
        <f>IFERROR(VLOOKUP(CANTIDAD[[#This Row],[Producto]],MARA[],4,FALSE),"")</f>
        <v>CJA</v>
      </c>
      <c r="N546" s="136" t="s">
        <v>4908</v>
      </c>
    </row>
    <row r="547" spans="1:14">
      <c r="A547" s="139" t="str">
        <f t="shared" si="8"/>
        <v>PASILLO 15</v>
      </c>
      <c r="B547" s="93" t="s">
        <v>3320</v>
      </c>
      <c r="C547" s="11">
        <f>IFERROR(VLOOKUP(CANTIDAD[[#This Row],[Ubicación]],SAP[],3,FALSE),"")</f>
        <v>8305322</v>
      </c>
      <c r="D547" s="34">
        <f>IFERROR(VLOOKUP(CANTIDAD[[#This Row],[Producto]],MARA[],3,FALSE),"")</f>
        <v>27750243077716</v>
      </c>
      <c r="E547" s="25" t="str">
        <f>IFERROR(VLOOKUP(CANTIDAD[[#This Row],[Ubicación]],SAP[],4,FALSE),"")</f>
        <v>LAVAV. SAPOLIO LIMÓN 200GR 24UND. NV</v>
      </c>
      <c r="F547" s="25">
        <f>IFERROR(VLOOKUP(CANTIDAD[[#This Row],[Ubicación]],SAP[],8,FALSE),"")</f>
        <v>20</v>
      </c>
      <c r="G547" s="25" t="str">
        <f>IFERROR(VLOOKUP(CANTIDAD[[#This Row],[Ubicación]],SAP[],9,FALSE),"")</f>
        <v>CJA</v>
      </c>
      <c r="H547" s="25">
        <f>IFERROR(VLOOKUP(CANTIDAD[[#This Row],[Ubicación]],SAP[],5,FALSE),"")</f>
        <v>2608105030</v>
      </c>
      <c r="I547" s="47">
        <f>IFERROR(VLOOKUP(CANTIDAD[[#This Row],[Ubicación]],SAP[],6,FALSE),"")</f>
        <v>47034</v>
      </c>
      <c r="J547" s="25" t="str">
        <f>IFERROR(VLOOKUP(CANTIDAD[[#This Row],[Ubicación]],SAP[],7,FALSE),"")</f>
        <v>1F</v>
      </c>
      <c r="K547" s="25">
        <f>IFERROR(VLOOKUP(CANTIDAD[[#This Row],[Ubicación]],SAP[],10,FALSE),"")</f>
        <v>480</v>
      </c>
      <c r="L547" s="51">
        <f>IFERROR(VLOOKUP(CANTIDAD[[#This Row],[Producto]],MARA[],5,FALSE),"")</f>
        <v>16</v>
      </c>
      <c r="M547" s="51" t="str">
        <f>IFERROR(VLOOKUP(CANTIDAD[[#This Row],[Producto]],MARA[],4,FALSE),"")</f>
        <v>CJA</v>
      </c>
      <c r="N547" s="136" t="s">
        <v>4909</v>
      </c>
    </row>
    <row r="548" spans="1:14">
      <c r="A548" s="139" t="str">
        <f t="shared" si="8"/>
        <v>PASILLO 15</v>
      </c>
      <c r="B548" s="92" t="s">
        <v>3332</v>
      </c>
      <c r="C548" s="11">
        <f>IFERROR(VLOOKUP(CANTIDAD[[#This Row],[Ubicación]],SAP[],3,FALSE),"")</f>
        <v>8305325</v>
      </c>
      <c r="D548" s="35">
        <f>IFERROR(VLOOKUP(CANTIDAD[[#This Row],[Producto]],MARA[],3,FALSE),"")</f>
        <v>27750243067922</v>
      </c>
      <c r="E548" s="26" t="str">
        <f>IFERROR(VLOOKUP(CANTIDAD[[#This Row],[Ubicación]],SAP[],4,FALSE),"")</f>
        <v>LAVAV. SAPOLIO MANZANA 800GR 6UND.NV</v>
      </c>
      <c r="F548" s="26">
        <f>IFERROR(VLOOKUP(CANTIDAD[[#This Row],[Ubicación]],SAP[],8,FALSE),"")</f>
        <v>17</v>
      </c>
      <c r="G548" s="26" t="str">
        <f>IFERROR(VLOOKUP(CANTIDAD[[#This Row],[Ubicación]],SAP[],9,FALSE),"")</f>
        <v>CJA</v>
      </c>
      <c r="H548" s="26">
        <f>IFERROR(VLOOKUP(CANTIDAD[[#This Row],[Ubicación]],SAP[],5,FALSE),"")</f>
        <v>2607225030</v>
      </c>
      <c r="I548" s="46" t="str">
        <f>IFERROR(VLOOKUP(CANTIDAD[[#This Row],[Ubicación]],SAP[],6,FALSE),"")</f>
        <v>22/07/2028</v>
      </c>
      <c r="J548" s="26" t="str">
        <f>IFERROR(VLOOKUP(CANTIDAD[[#This Row],[Ubicación]],SAP[],7,FALSE),"")</f>
        <v>1F</v>
      </c>
      <c r="K548" s="26">
        <f>IFERROR(VLOOKUP(CANTIDAD[[#This Row],[Ubicación]],SAP[],10,FALSE),"")</f>
        <v>102</v>
      </c>
      <c r="L548" s="52">
        <f>IFERROR(VLOOKUP(CANTIDAD[[#This Row],[Producto]],MARA[],5,FALSE),"")</f>
        <v>8</v>
      </c>
      <c r="M548" s="52" t="str">
        <f>IFERROR(VLOOKUP(CANTIDAD[[#This Row],[Producto]],MARA[],4,FALSE),"")</f>
        <v>CJA</v>
      </c>
      <c r="N548" s="136" t="s">
        <v>4910</v>
      </c>
    </row>
    <row r="549" spans="1:14">
      <c r="A549" s="139" t="str">
        <f t="shared" si="8"/>
        <v>PASILLO 15</v>
      </c>
      <c r="B549" s="93" t="s">
        <v>3327</v>
      </c>
      <c r="C549" s="11">
        <f>IFERROR(VLOOKUP(CANTIDAD[[#This Row],[Ubicación]],SAP[],3,FALSE),"")</f>
        <v>8305324</v>
      </c>
      <c r="D549" s="34">
        <f>IFERROR(VLOOKUP(CANTIDAD[[#This Row],[Producto]],MARA[],3,FALSE),"")</f>
        <v>27750243067892</v>
      </c>
      <c r="E549" s="25" t="str">
        <f>IFERROR(VLOOKUP(CANTIDAD[[#This Row],[Ubicación]],SAP[],4,FALSE),"")</f>
        <v>LAVAV. SAPOLIO LIMON 800GR 6UND. NV</v>
      </c>
      <c r="F549" s="25">
        <f>IFERROR(VLOOKUP(CANTIDAD[[#This Row],[Ubicación]],SAP[],8,FALSE),"")</f>
        <v>20</v>
      </c>
      <c r="G549" s="25" t="str">
        <f>IFERROR(VLOOKUP(CANTIDAD[[#This Row],[Ubicación]],SAP[],9,FALSE),"")</f>
        <v>CJA</v>
      </c>
      <c r="H549" s="25">
        <f>IFERROR(VLOOKUP(CANTIDAD[[#This Row],[Ubicación]],SAP[],5,FALSE),"")</f>
        <v>2608125030</v>
      </c>
      <c r="I549" s="47">
        <f>IFERROR(VLOOKUP(CANTIDAD[[#This Row],[Ubicación]],SAP[],6,FALSE),"")</f>
        <v>47095</v>
      </c>
      <c r="J549" s="25" t="str">
        <f>IFERROR(VLOOKUP(CANTIDAD[[#This Row],[Ubicación]],SAP[],7,FALSE),"")</f>
        <v>1F</v>
      </c>
      <c r="K549" s="25">
        <f>IFERROR(VLOOKUP(CANTIDAD[[#This Row],[Ubicación]],SAP[],10,FALSE),"")</f>
        <v>120</v>
      </c>
      <c r="L549" s="51">
        <f>IFERROR(VLOOKUP(CANTIDAD[[#This Row],[Producto]],MARA[],5,FALSE),"")</f>
        <v>8</v>
      </c>
      <c r="M549" s="51" t="str">
        <f>IFERROR(VLOOKUP(CANTIDAD[[#This Row],[Producto]],MARA[],4,FALSE),"")</f>
        <v>CJA</v>
      </c>
      <c r="N549" s="136" t="s">
        <v>4911</v>
      </c>
    </row>
    <row r="550" spans="1:14">
      <c r="A550" s="139" t="str">
        <f t="shared" si="8"/>
        <v>PASILLO 15</v>
      </c>
      <c r="B550" s="92" t="s">
        <v>3330</v>
      </c>
      <c r="C550" s="11">
        <f>IFERROR(VLOOKUP(CANTIDAD[[#This Row],[Ubicación]],SAP[],3,FALSE),"")</f>
        <v>8305324</v>
      </c>
      <c r="D550" s="35">
        <f>IFERROR(VLOOKUP(CANTIDAD[[#This Row],[Producto]],MARA[],3,FALSE),"")</f>
        <v>27750243067892</v>
      </c>
      <c r="E550" s="26" t="str">
        <f>IFERROR(VLOOKUP(CANTIDAD[[#This Row],[Ubicación]],SAP[],4,FALSE),"")</f>
        <v>LAVAV. SAPOLIO LIMON 800GR 6UND. NV</v>
      </c>
      <c r="F550" s="26">
        <f>IFERROR(VLOOKUP(CANTIDAD[[#This Row],[Ubicación]],SAP[],8,FALSE),"")</f>
        <v>19</v>
      </c>
      <c r="G550" s="26" t="str">
        <f>IFERROR(VLOOKUP(CANTIDAD[[#This Row],[Ubicación]],SAP[],9,FALSE),"")</f>
        <v>CJA</v>
      </c>
      <c r="H550" s="26">
        <f>IFERROR(VLOOKUP(CANTIDAD[[#This Row],[Ubicación]],SAP[],5,FALSE),"")</f>
        <v>2608125030</v>
      </c>
      <c r="I550" s="46">
        <f>IFERROR(VLOOKUP(CANTIDAD[[#This Row],[Ubicación]],SAP[],6,FALSE),"")</f>
        <v>47095</v>
      </c>
      <c r="J550" s="26" t="str">
        <f>IFERROR(VLOOKUP(CANTIDAD[[#This Row],[Ubicación]],SAP[],7,FALSE),"")</f>
        <v>1F</v>
      </c>
      <c r="K550" s="26">
        <f>IFERROR(VLOOKUP(CANTIDAD[[#This Row],[Ubicación]],SAP[],10,FALSE),"")</f>
        <v>114</v>
      </c>
      <c r="L550" s="52">
        <f>IFERROR(VLOOKUP(CANTIDAD[[#This Row],[Producto]],MARA[],5,FALSE),"")</f>
        <v>8</v>
      </c>
      <c r="M550" s="52" t="str">
        <f>IFERROR(VLOOKUP(CANTIDAD[[#This Row],[Producto]],MARA[],4,FALSE),"")</f>
        <v>CJA</v>
      </c>
      <c r="N550" s="136" t="s">
        <v>4912</v>
      </c>
    </row>
    <row r="551" spans="1:14" hidden="1">
      <c r="A551" s="139" t="str">
        <f t="shared" si="8"/>
        <v>PASILLO 16</v>
      </c>
      <c r="B551" s="93" t="s">
        <v>3526</v>
      </c>
      <c r="C551" s="11">
        <f>IFERROR(VLOOKUP(CANTIDAD[[#This Row],[Ubicación]],SAP[],3,FALSE),"")</f>
        <v>8315027</v>
      </c>
      <c r="D551" s="34">
        <f>IFERROR(VLOOKUP(CANTIDAD[[#This Row],[Producto]],MARA[],3,FALSE),"")</f>
        <v>27751851066161</v>
      </c>
      <c r="E551" s="25" t="str">
        <f>IFERROR(VLOOKUP(CANTIDAD[[#This Row],[Ubicación]],SAP[],4,FALSE),"")</f>
        <v>WC WATERMATIC AZUL SAPOLIO 110GR 6UND</v>
      </c>
      <c r="F551" s="25">
        <f>IFERROR(VLOOKUP(CANTIDAD[[#This Row],[Ubicación]],SAP[],8,FALSE),"")</f>
        <v>270</v>
      </c>
      <c r="G551" s="25" t="str">
        <f>IFERROR(VLOOKUP(CANTIDAD[[#This Row],[Ubicación]],SAP[],9,FALSE),"")</f>
        <v>CJA</v>
      </c>
      <c r="H551" s="25">
        <f>IFERROR(VLOOKUP(CANTIDAD[[#This Row],[Ubicación]],SAP[],5,FALSE),"")</f>
        <v>2607095070</v>
      </c>
      <c r="I551" s="47">
        <f>IFERROR(VLOOKUP(CANTIDAD[[#This Row],[Ubicación]],SAP[],6,FALSE),"")</f>
        <v>47368</v>
      </c>
      <c r="J551" s="25" t="str">
        <f>IFERROR(VLOOKUP(CANTIDAD[[#This Row],[Ubicación]],SAP[],7,FALSE),"")</f>
        <v>1F</v>
      </c>
      <c r="K551" s="28">
        <f>IFERROR(VLOOKUP(CANTIDAD[[#This Row],[Ubicación]],SAP[],10,FALSE),"")</f>
        <v>1620</v>
      </c>
      <c r="L551" s="51">
        <f>IFERROR(VLOOKUP(CANTIDAD[[#This Row],[Producto]],MARA[],5,FALSE),"")</f>
        <v>66</v>
      </c>
      <c r="M551" s="51" t="str">
        <f>IFERROR(VLOOKUP(CANTIDAD[[#This Row],[Producto]],MARA[],4,FALSE),"")</f>
        <v>CJA</v>
      </c>
      <c r="N551" s="136" t="s">
        <v>4913</v>
      </c>
    </row>
    <row r="552" spans="1:14" hidden="1">
      <c r="A552" s="139" t="str">
        <f t="shared" si="8"/>
        <v>PASILLO 16</v>
      </c>
      <c r="B552" s="92" t="s">
        <v>4914</v>
      </c>
      <c r="C552" s="11" t="str">
        <f>IFERROR(VLOOKUP(CANTIDAD[[#This Row],[Ubicación]],SAP[],3,FALSE),"")</f>
        <v/>
      </c>
      <c r="D552" s="35" t="str">
        <f>IFERROR(VLOOKUP(CANTIDAD[[#This Row],[Producto]],MARA[],3,FALSE),"")</f>
        <v/>
      </c>
      <c r="E552" s="26" t="str">
        <f>IFERROR(VLOOKUP(CANTIDAD[[#This Row],[Ubicación]],SAP[],4,FALSE),"")</f>
        <v/>
      </c>
      <c r="F552" s="26" t="str">
        <f>IFERROR(VLOOKUP(CANTIDAD[[#This Row],[Ubicación]],SAP[],8,FALSE),"")</f>
        <v/>
      </c>
      <c r="G552" s="26" t="str">
        <f>IFERROR(VLOOKUP(CANTIDAD[[#This Row],[Ubicación]],SAP[],9,FALSE),"")</f>
        <v/>
      </c>
      <c r="H552" s="26" t="str">
        <f>IFERROR(VLOOKUP(CANTIDAD[[#This Row],[Ubicación]],SAP[],5,FALSE),"")</f>
        <v/>
      </c>
      <c r="I552" s="46" t="str">
        <f>IFERROR(VLOOKUP(CANTIDAD[[#This Row],[Ubicación]],SAP[],6,FALSE),"")</f>
        <v/>
      </c>
      <c r="J552" s="26" t="str">
        <f>IFERROR(VLOOKUP(CANTIDAD[[#This Row],[Ubicación]],SAP[],7,FALSE),"")</f>
        <v/>
      </c>
      <c r="K552" s="26" t="str">
        <f>IFERROR(VLOOKUP(CANTIDAD[[#This Row],[Ubicación]],SAP[],10,FALSE),"")</f>
        <v/>
      </c>
      <c r="L552" s="52" t="str">
        <f>IFERROR(VLOOKUP(CANTIDAD[[#This Row],[Producto]],MARA[],5,FALSE),"")</f>
        <v/>
      </c>
      <c r="M552" s="52" t="str">
        <f>IFERROR(VLOOKUP(CANTIDAD[[#This Row],[Producto]],MARA[],4,FALSE),"")</f>
        <v/>
      </c>
      <c r="N552" s="136" t="s">
        <v>4915</v>
      </c>
    </row>
    <row r="553" spans="1:14" hidden="1">
      <c r="A553" s="139" t="str">
        <f t="shared" si="8"/>
        <v>PASILLO 16</v>
      </c>
      <c r="B553" s="93" t="s">
        <v>4916</v>
      </c>
      <c r="C553" s="11" t="str">
        <f>IFERROR(VLOOKUP(CANTIDAD[[#This Row],[Ubicación]],SAP[],3,FALSE),"")</f>
        <v/>
      </c>
      <c r="D553" s="34" t="str">
        <f>IFERROR(VLOOKUP(CANTIDAD[[#This Row],[Producto]],MARA[],3,FALSE),"")</f>
        <v/>
      </c>
      <c r="E553" s="25" t="str">
        <f>IFERROR(VLOOKUP(CANTIDAD[[#This Row],[Ubicación]],SAP[],4,FALSE),"")</f>
        <v/>
      </c>
      <c r="F553" s="25" t="str">
        <f>IFERROR(VLOOKUP(CANTIDAD[[#This Row],[Ubicación]],SAP[],8,FALSE),"")</f>
        <v/>
      </c>
      <c r="G553" s="25" t="str">
        <f>IFERROR(VLOOKUP(CANTIDAD[[#This Row],[Ubicación]],SAP[],9,FALSE),"")</f>
        <v/>
      </c>
      <c r="H553" s="25" t="str">
        <f>IFERROR(VLOOKUP(CANTIDAD[[#This Row],[Ubicación]],SAP[],5,FALSE),"")</f>
        <v/>
      </c>
      <c r="I553" s="47" t="str">
        <f>IFERROR(VLOOKUP(CANTIDAD[[#This Row],[Ubicación]],SAP[],6,FALSE),"")</f>
        <v/>
      </c>
      <c r="J553" s="25" t="str">
        <f>IFERROR(VLOOKUP(CANTIDAD[[#This Row],[Ubicación]],SAP[],7,FALSE),"")</f>
        <v/>
      </c>
      <c r="K553" s="25" t="str">
        <f>IFERROR(VLOOKUP(CANTIDAD[[#This Row],[Ubicación]],SAP[],10,FALSE),"")</f>
        <v/>
      </c>
      <c r="L553" s="51" t="str">
        <f>IFERROR(VLOOKUP(CANTIDAD[[#This Row],[Producto]],MARA[],5,FALSE),"")</f>
        <v/>
      </c>
      <c r="M553" s="51" t="str">
        <f>IFERROR(VLOOKUP(CANTIDAD[[#This Row],[Producto]],MARA[],4,FALSE),"")</f>
        <v/>
      </c>
      <c r="N553" s="136" t="s">
        <v>4917</v>
      </c>
    </row>
    <row r="554" spans="1:14" hidden="1">
      <c r="A554" s="139" t="str">
        <f t="shared" si="8"/>
        <v>PASILLO 16</v>
      </c>
      <c r="B554" s="92" t="s">
        <v>4918</v>
      </c>
      <c r="C554" s="11" t="str">
        <f>IFERROR(VLOOKUP(CANTIDAD[[#This Row],[Ubicación]],SAP[],3,FALSE),"")</f>
        <v/>
      </c>
      <c r="D554" s="35" t="str">
        <f>IFERROR(VLOOKUP(CANTIDAD[[#This Row],[Producto]],MARA[],3,FALSE),"")</f>
        <v/>
      </c>
      <c r="E554" s="26" t="str">
        <f>IFERROR(VLOOKUP(CANTIDAD[[#This Row],[Ubicación]],SAP[],4,FALSE),"")</f>
        <v/>
      </c>
      <c r="F554" s="26" t="str">
        <f>IFERROR(VLOOKUP(CANTIDAD[[#This Row],[Ubicación]],SAP[],8,FALSE),"")</f>
        <v/>
      </c>
      <c r="G554" s="26" t="str">
        <f>IFERROR(VLOOKUP(CANTIDAD[[#This Row],[Ubicación]],SAP[],9,FALSE),"")</f>
        <v/>
      </c>
      <c r="H554" s="26" t="str">
        <f>IFERROR(VLOOKUP(CANTIDAD[[#This Row],[Ubicación]],SAP[],5,FALSE),"")</f>
        <v/>
      </c>
      <c r="I554" s="46" t="str">
        <f>IFERROR(VLOOKUP(CANTIDAD[[#This Row],[Ubicación]],SAP[],6,FALSE),"")</f>
        <v/>
      </c>
      <c r="J554" s="26" t="str">
        <f>IFERROR(VLOOKUP(CANTIDAD[[#This Row],[Ubicación]],SAP[],7,FALSE),"")</f>
        <v/>
      </c>
      <c r="K554" s="26" t="str">
        <f>IFERROR(VLOOKUP(CANTIDAD[[#This Row],[Ubicación]],SAP[],10,FALSE),"")</f>
        <v/>
      </c>
      <c r="L554" s="52" t="str">
        <f>IFERROR(VLOOKUP(CANTIDAD[[#This Row],[Producto]],MARA[],5,FALSE),"")</f>
        <v/>
      </c>
      <c r="M554" s="52" t="str">
        <f>IFERROR(VLOOKUP(CANTIDAD[[#This Row],[Producto]],MARA[],4,FALSE),"")</f>
        <v/>
      </c>
      <c r="N554" s="136" t="s">
        <v>4919</v>
      </c>
    </row>
    <row r="555" spans="1:14" hidden="1">
      <c r="A555" s="139" t="str">
        <f t="shared" si="8"/>
        <v>PASILLO 16</v>
      </c>
      <c r="B555" s="93" t="s">
        <v>3744</v>
      </c>
      <c r="C555" s="11">
        <f>IFERROR(VLOOKUP(CANTIDAD[[#This Row],[Ubicación]],SAP[],3,FALSE),"")</f>
        <v>8325106</v>
      </c>
      <c r="D555" s="34">
        <f>IFERROR(VLOOKUP(CANTIDAD[[#This Row],[Producto]],MARA[],3,FALSE),"")</f>
        <v>37751851006355</v>
      </c>
      <c r="E555" s="25" t="str">
        <f>IFERROR(VLOOKUP(CANTIDAD[[#This Row],[Ubicación]],SAP[],4,FALSE),"")</f>
        <v>ELEC.ZANCUDOS PASTILLA SAPOLIO 2ARE 12UN</v>
      </c>
      <c r="F555" s="25">
        <f>IFERROR(VLOOKUP(CANTIDAD[[#This Row],[Ubicación]],SAP[],8,FALSE),"")</f>
        <v>194</v>
      </c>
      <c r="G555" s="25" t="str">
        <f>IFERROR(VLOOKUP(CANTIDAD[[#This Row],[Ubicación]],SAP[],9,FALSE),"")</f>
        <v>PQT</v>
      </c>
      <c r="H555" s="25">
        <f>IFERROR(VLOOKUP(CANTIDAD[[#This Row],[Ubicación]],SAP[],5,FALSE),"")</f>
        <v>2607245060</v>
      </c>
      <c r="I555" s="47" t="str">
        <f>IFERROR(VLOOKUP(CANTIDAD[[#This Row],[Ubicación]],SAP[],6,FALSE),"")</f>
        <v>24/07/2028</v>
      </c>
      <c r="J555" s="25" t="str">
        <f>IFERROR(VLOOKUP(CANTIDAD[[#This Row],[Ubicación]],SAP[],7,FALSE),"")</f>
        <v>1F</v>
      </c>
      <c r="K555" s="28">
        <f>IFERROR(VLOOKUP(CANTIDAD[[#This Row],[Ubicación]],SAP[],10,FALSE),"")</f>
        <v>2328</v>
      </c>
      <c r="L555" s="51">
        <f>IFERROR(VLOOKUP(CANTIDAD[[#This Row],[Producto]],MARA[],5,FALSE),"")</f>
        <v>45</v>
      </c>
      <c r="M555" s="51" t="str">
        <f>IFERROR(VLOOKUP(CANTIDAD[[#This Row],[Producto]],MARA[],4,FALSE),"")</f>
        <v>PQT</v>
      </c>
      <c r="N555" s="136" t="s">
        <v>4920</v>
      </c>
    </row>
    <row r="556" spans="1:14" hidden="1">
      <c r="A556" s="139" t="str">
        <f t="shared" si="8"/>
        <v>PASILLO 16</v>
      </c>
      <c r="B556" s="92" t="s">
        <v>4921</v>
      </c>
      <c r="C556" s="11" t="str">
        <f>IFERROR(VLOOKUP(CANTIDAD[[#This Row],[Ubicación]],SAP[],3,FALSE),"")</f>
        <v/>
      </c>
      <c r="D556" s="35" t="str">
        <f>IFERROR(VLOOKUP(CANTIDAD[[#This Row],[Producto]],MARA[],3,FALSE),"")</f>
        <v/>
      </c>
      <c r="E556" s="26" t="str">
        <f>IFERROR(VLOOKUP(CANTIDAD[[#This Row],[Ubicación]],SAP[],4,FALSE),"")</f>
        <v/>
      </c>
      <c r="F556" s="26" t="str">
        <f>IFERROR(VLOOKUP(CANTIDAD[[#This Row],[Ubicación]],SAP[],8,FALSE),"")</f>
        <v/>
      </c>
      <c r="G556" s="26" t="str">
        <f>IFERROR(VLOOKUP(CANTIDAD[[#This Row],[Ubicación]],SAP[],9,FALSE),"")</f>
        <v/>
      </c>
      <c r="H556" s="26" t="str">
        <f>IFERROR(VLOOKUP(CANTIDAD[[#This Row],[Ubicación]],SAP[],5,FALSE),"")</f>
        <v/>
      </c>
      <c r="I556" s="46" t="str">
        <f>IFERROR(VLOOKUP(CANTIDAD[[#This Row],[Ubicación]],SAP[],6,FALSE),"")</f>
        <v/>
      </c>
      <c r="J556" s="26" t="str">
        <f>IFERROR(VLOOKUP(CANTIDAD[[#This Row],[Ubicación]],SAP[],7,FALSE),"")</f>
        <v/>
      </c>
      <c r="K556" s="26" t="str">
        <f>IFERROR(VLOOKUP(CANTIDAD[[#This Row],[Ubicación]],SAP[],10,FALSE),"")</f>
        <v/>
      </c>
      <c r="L556" s="52" t="str">
        <f>IFERROR(VLOOKUP(CANTIDAD[[#This Row],[Producto]],MARA[],5,FALSE),"")</f>
        <v/>
      </c>
      <c r="M556" s="52" t="str">
        <f>IFERROR(VLOOKUP(CANTIDAD[[#This Row],[Producto]],MARA[],4,FALSE),"")</f>
        <v/>
      </c>
      <c r="N556" s="136" t="s">
        <v>4922</v>
      </c>
    </row>
    <row r="557" spans="1:14" hidden="1">
      <c r="A557" s="139" t="str">
        <f t="shared" si="8"/>
        <v>PASILLO 16</v>
      </c>
      <c r="B557" s="93" t="s">
        <v>3741</v>
      </c>
      <c r="C557" s="11">
        <f>IFERROR(VLOOKUP(CANTIDAD[[#This Row],[Ubicación]],SAP[],3,FALSE),"")</f>
        <v>8325104</v>
      </c>
      <c r="D557" s="34">
        <f>IFERROR(VLOOKUP(CANTIDAD[[#This Row],[Producto]],MARA[],3,FALSE),"")</f>
        <v>37751851018594</v>
      </c>
      <c r="E557" s="25" t="str">
        <f>IFERROR(VLOOKUP(CANTIDAD[[#This Row],[Ubicación]],SAP[],4,FALSE),"")</f>
        <v>ELEC.ZANC EMANADOR+6UN PASTILLA SAP.2ARE</v>
      </c>
      <c r="F557" s="25">
        <f>IFERROR(VLOOKUP(CANTIDAD[[#This Row],[Ubicación]],SAP[],8,FALSE),"")</f>
        <v>41</v>
      </c>
      <c r="G557" s="25" t="str">
        <f>IFERROR(VLOOKUP(CANTIDAD[[#This Row],[Ubicación]],SAP[],9,FALSE),"")</f>
        <v>PQT</v>
      </c>
      <c r="H557" s="25">
        <f>IFERROR(VLOOKUP(CANTIDAD[[#This Row],[Ubicación]],SAP[],5,FALSE),"")</f>
        <v>2603285060</v>
      </c>
      <c r="I557" s="47" t="str">
        <f>IFERROR(VLOOKUP(CANTIDAD[[#This Row],[Ubicación]],SAP[],6,FALSE),"")</f>
        <v>28/03/2028</v>
      </c>
      <c r="J557" s="25" t="str">
        <f>IFERROR(VLOOKUP(CANTIDAD[[#This Row],[Ubicación]],SAP[],7,FALSE),"")</f>
        <v>1F</v>
      </c>
      <c r="K557" s="25">
        <f>IFERROR(VLOOKUP(CANTIDAD[[#This Row],[Ubicación]],SAP[],10,FALSE),"")</f>
        <v>246</v>
      </c>
      <c r="L557" s="51">
        <f>IFERROR(VLOOKUP(CANTIDAD[[#This Row],[Producto]],MARA[],5,FALSE),"")</f>
        <v>25</v>
      </c>
      <c r="M557" s="51" t="str">
        <f>IFERROR(VLOOKUP(CANTIDAD[[#This Row],[Producto]],MARA[],4,FALSE),"")</f>
        <v>PQT</v>
      </c>
      <c r="N557" s="136" t="s">
        <v>4923</v>
      </c>
    </row>
    <row r="558" spans="1:14" hidden="1">
      <c r="A558" s="139" t="str">
        <f t="shared" si="8"/>
        <v>PASILLO 16</v>
      </c>
      <c r="B558" s="92" t="s">
        <v>4924</v>
      </c>
      <c r="C558" s="11" t="str">
        <f>IFERROR(VLOOKUP(CANTIDAD[[#This Row],[Ubicación]],SAP[],3,FALSE),"")</f>
        <v/>
      </c>
      <c r="D558" s="35" t="str">
        <f>IFERROR(VLOOKUP(CANTIDAD[[#This Row],[Producto]],MARA[],3,FALSE),"")</f>
        <v/>
      </c>
      <c r="E558" s="26" t="str">
        <f>IFERROR(VLOOKUP(CANTIDAD[[#This Row],[Ubicación]],SAP[],4,FALSE),"")</f>
        <v/>
      </c>
      <c r="F558" s="26" t="str">
        <f>IFERROR(VLOOKUP(CANTIDAD[[#This Row],[Ubicación]],SAP[],8,FALSE),"")</f>
        <v/>
      </c>
      <c r="G558" s="26" t="str">
        <f>IFERROR(VLOOKUP(CANTIDAD[[#This Row],[Ubicación]],SAP[],9,FALSE),"")</f>
        <v/>
      </c>
      <c r="H558" s="26" t="str">
        <f>IFERROR(VLOOKUP(CANTIDAD[[#This Row],[Ubicación]],SAP[],5,FALSE),"")</f>
        <v/>
      </c>
      <c r="I558" s="46" t="str">
        <f>IFERROR(VLOOKUP(CANTIDAD[[#This Row],[Ubicación]],SAP[],6,FALSE),"")</f>
        <v/>
      </c>
      <c r="J558" s="26" t="str">
        <f>IFERROR(VLOOKUP(CANTIDAD[[#This Row],[Ubicación]],SAP[],7,FALSE),"")</f>
        <v/>
      </c>
      <c r="K558" s="26" t="str">
        <f>IFERROR(VLOOKUP(CANTIDAD[[#This Row],[Ubicación]],SAP[],10,FALSE),"")</f>
        <v/>
      </c>
      <c r="L558" s="52" t="str">
        <f>IFERROR(VLOOKUP(CANTIDAD[[#This Row],[Producto]],MARA[],5,FALSE),"")</f>
        <v/>
      </c>
      <c r="M558" s="52" t="str">
        <f>IFERROR(VLOOKUP(CANTIDAD[[#This Row],[Producto]],MARA[],4,FALSE),"")</f>
        <v/>
      </c>
      <c r="N558" s="136" t="s">
        <v>4925</v>
      </c>
    </row>
    <row r="559" spans="1:14" hidden="1">
      <c r="A559" s="139" t="str">
        <f t="shared" si="8"/>
        <v>PASILLO 16</v>
      </c>
      <c r="B559" s="93" t="s">
        <v>4926</v>
      </c>
      <c r="C559" s="11" t="str">
        <f>IFERROR(VLOOKUP(CANTIDAD[[#This Row],[Ubicación]],SAP[],3,FALSE),"")</f>
        <v/>
      </c>
      <c r="D559" s="34" t="str">
        <f>IFERROR(VLOOKUP(CANTIDAD[[#This Row],[Producto]],MARA[],3,FALSE),"")</f>
        <v/>
      </c>
      <c r="E559" s="25" t="str">
        <f>IFERROR(VLOOKUP(CANTIDAD[[#This Row],[Ubicación]],SAP[],4,FALSE),"")</f>
        <v/>
      </c>
      <c r="F559" s="25" t="str">
        <f>IFERROR(VLOOKUP(CANTIDAD[[#This Row],[Ubicación]],SAP[],8,FALSE),"")</f>
        <v/>
      </c>
      <c r="G559" s="25" t="str">
        <f>IFERROR(VLOOKUP(CANTIDAD[[#This Row],[Ubicación]],SAP[],9,FALSE),"")</f>
        <v/>
      </c>
      <c r="H559" s="25" t="str">
        <f>IFERROR(VLOOKUP(CANTIDAD[[#This Row],[Ubicación]],SAP[],5,FALSE),"")</f>
        <v/>
      </c>
      <c r="I559" s="47" t="str">
        <f>IFERROR(VLOOKUP(CANTIDAD[[#This Row],[Ubicación]],SAP[],6,FALSE),"")</f>
        <v/>
      </c>
      <c r="J559" s="25" t="str">
        <f>IFERROR(VLOOKUP(CANTIDAD[[#This Row],[Ubicación]],SAP[],7,FALSE),"")</f>
        <v/>
      </c>
      <c r="K559" s="25" t="str">
        <f>IFERROR(VLOOKUP(CANTIDAD[[#This Row],[Ubicación]],SAP[],10,FALSE),"")</f>
        <v/>
      </c>
      <c r="L559" s="51" t="str">
        <f>IFERROR(VLOOKUP(CANTIDAD[[#This Row],[Producto]],MARA[],5,FALSE),"")</f>
        <v/>
      </c>
      <c r="M559" s="51" t="str">
        <f>IFERROR(VLOOKUP(CANTIDAD[[#This Row],[Producto]],MARA[],4,FALSE),"")</f>
        <v/>
      </c>
      <c r="N559" s="136" t="s">
        <v>4927</v>
      </c>
    </row>
    <row r="560" spans="1:14" hidden="1">
      <c r="A560" s="139" t="str">
        <f t="shared" si="8"/>
        <v>PASILLO 16</v>
      </c>
      <c r="B560" s="92" t="s">
        <v>4928</v>
      </c>
      <c r="C560" s="11" t="str">
        <f>IFERROR(VLOOKUP(CANTIDAD[[#This Row],[Ubicación]],SAP[],3,FALSE),"")</f>
        <v/>
      </c>
      <c r="D560" s="35" t="str">
        <f>IFERROR(VLOOKUP(CANTIDAD[[#This Row],[Producto]],MARA[],3,FALSE),"")</f>
        <v/>
      </c>
      <c r="E560" s="26" t="str">
        <f>IFERROR(VLOOKUP(CANTIDAD[[#This Row],[Ubicación]],SAP[],4,FALSE),"")</f>
        <v/>
      </c>
      <c r="F560" s="26" t="str">
        <f>IFERROR(VLOOKUP(CANTIDAD[[#This Row],[Ubicación]],SAP[],8,FALSE),"")</f>
        <v/>
      </c>
      <c r="G560" s="26" t="str">
        <f>IFERROR(VLOOKUP(CANTIDAD[[#This Row],[Ubicación]],SAP[],9,FALSE),"")</f>
        <v/>
      </c>
      <c r="H560" s="26" t="str">
        <f>IFERROR(VLOOKUP(CANTIDAD[[#This Row],[Ubicación]],SAP[],5,FALSE),"")</f>
        <v/>
      </c>
      <c r="I560" s="46" t="str">
        <f>IFERROR(VLOOKUP(CANTIDAD[[#This Row],[Ubicación]],SAP[],6,FALSE),"")</f>
        <v/>
      </c>
      <c r="J560" s="26" t="str">
        <f>IFERROR(VLOOKUP(CANTIDAD[[#This Row],[Ubicación]],SAP[],7,FALSE),"")</f>
        <v/>
      </c>
      <c r="K560" s="26" t="str">
        <f>IFERROR(VLOOKUP(CANTIDAD[[#This Row],[Ubicación]],SAP[],10,FALSE),"")</f>
        <v/>
      </c>
      <c r="L560" s="52" t="str">
        <f>IFERROR(VLOOKUP(CANTIDAD[[#This Row],[Producto]],MARA[],5,FALSE),"")</f>
        <v/>
      </c>
      <c r="M560" s="52" t="str">
        <f>IFERROR(VLOOKUP(CANTIDAD[[#This Row],[Producto]],MARA[],4,FALSE),"")</f>
        <v/>
      </c>
      <c r="N560" s="136" t="s">
        <v>4929</v>
      </c>
    </row>
    <row r="561" spans="1:14" hidden="1">
      <c r="A561" s="139" t="str">
        <f t="shared" si="8"/>
        <v>PASILLO 16</v>
      </c>
      <c r="B561" s="93" t="s">
        <v>3739</v>
      </c>
      <c r="C561" s="11">
        <f>IFERROR(VLOOKUP(CANTIDAD[[#This Row],[Ubicación]],SAP[],3,FALSE),"")</f>
        <v>8325103</v>
      </c>
      <c r="D561" s="34">
        <f>IFERROR(VLOOKUP(CANTIDAD[[#This Row],[Producto]],MARA[],3,FALSE),"")</f>
        <v>37751851006348</v>
      </c>
      <c r="E561" s="25" t="str">
        <f>IFERROR(VLOOKUP(CANTIDAD[[#This Row],[Ubicación]],SAP[],4,FALSE),"")</f>
        <v>ELEC.ZANC.EMAN+6UN PAST+LIQ SAP.40ML2ARE</v>
      </c>
      <c r="F561" s="25">
        <f>IFERROR(VLOOKUP(CANTIDAD[[#This Row],[Ubicación]],SAP[],8,FALSE),"")</f>
        <v>84</v>
      </c>
      <c r="G561" s="25" t="str">
        <f>IFERROR(VLOOKUP(CANTIDAD[[#This Row],[Ubicación]],SAP[],9,FALSE),"")</f>
        <v>PQT</v>
      </c>
      <c r="H561" s="25">
        <f>IFERROR(VLOOKUP(CANTIDAD[[#This Row],[Ubicación]],SAP[],5,FALSE),"")</f>
        <v>2608175060</v>
      </c>
      <c r="I561" s="47" t="str">
        <f>IFERROR(VLOOKUP(CANTIDAD[[#This Row],[Ubicación]],SAP[],6,FALSE),"")</f>
        <v>17/08/2028</v>
      </c>
      <c r="J561" s="25" t="str">
        <f>IFERROR(VLOOKUP(CANTIDAD[[#This Row],[Ubicación]],SAP[],7,FALSE),"")</f>
        <v>1F</v>
      </c>
      <c r="K561" s="25">
        <f>IFERROR(VLOOKUP(CANTIDAD[[#This Row],[Ubicación]],SAP[],10,FALSE),"")</f>
        <v>504</v>
      </c>
      <c r="L561" s="51">
        <f>IFERROR(VLOOKUP(CANTIDAD[[#This Row],[Producto]],MARA[],5,FALSE),"")</f>
        <v>20</v>
      </c>
      <c r="M561" s="51" t="str">
        <f>IFERROR(VLOOKUP(CANTIDAD[[#This Row],[Producto]],MARA[],4,FALSE),"")</f>
        <v>PQT</v>
      </c>
      <c r="N561" s="136" t="s">
        <v>4930</v>
      </c>
    </row>
    <row r="562" spans="1:14" hidden="1">
      <c r="A562" s="139" t="str">
        <f t="shared" si="8"/>
        <v>PASILLO 16</v>
      </c>
      <c r="B562" s="92" t="s">
        <v>4931</v>
      </c>
      <c r="C562" s="11" t="str">
        <f>IFERROR(VLOOKUP(CANTIDAD[[#This Row],[Ubicación]],SAP[],3,FALSE),"")</f>
        <v/>
      </c>
      <c r="D562" s="35" t="str">
        <f>IFERROR(VLOOKUP(CANTIDAD[[#This Row],[Producto]],MARA[],3,FALSE),"")</f>
        <v/>
      </c>
      <c r="E562" s="26" t="str">
        <f>IFERROR(VLOOKUP(CANTIDAD[[#This Row],[Ubicación]],SAP[],4,FALSE),"")</f>
        <v/>
      </c>
      <c r="F562" s="26" t="str">
        <f>IFERROR(VLOOKUP(CANTIDAD[[#This Row],[Ubicación]],SAP[],8,FALSE),"")</f>
        <v/>
      </c>
      <c r="G562" s="26" t="str">
        <f>IFERROR(VLOOKUP(CANTIDAD[[#This Row],[Ubicación]],SAP[],9,FALSE),"")</f>
        <v/>
      </c>
      <c r="H562" s="26" t="str">
        <f>IFERROR(VLOOKUP(CANTIDAD[[#This Row],[Ubicación]],SAP[],5,FALSE),"")</f>
        <v/>
      </c>
      <c r="I562" s="46" t="str">
        <f>IFERROR(VLOOKUP(CANTIDAD[[#This Row],[Ubicación]],SAP[],6,FALSE),"")</f>
        <v/>
      </c>
      <c r="J562" s="26" t="str">
        <f>IFERROR(VLOOKUP(CANTIDAD[[#This Row],[Ubicación]],SAP[],7,FALSE),"")</f>
        <v/>
      </c>
      <c r="K562" s="26" t="str">
        <f>IFERROR(VLOOKUP(CANTIDAD[[#This Row],[Ubicación]],SAP[],10,FALSE),"")</f>
        <v/>
      </c>
      <c r="L562" s="52" t="str">
        <f>IFERROR(VLOOKUP(CANTIDAD[[#This Row],[Producto]],MARA[],5,FALSE),"")</f>
        <v/>
      </c>
      <c r="M562" s="52" t="str">
        <f>IFERROR(VLOOKUP(CANTIDAD[[#This Row],[Producto]],MARA[],4,FALSE),"")</f>
        <v/>
      </c>
      <c r="N562" s="136" t="s">
        <v>4932</v>
      </c>
    </row>
    <row r="563" spans="1:14" hidden="1">
      <c r="A563" s="139" t="str">
        <f t="shared" si="8"/>
        <v>PASILLO 16</v>
      </c>
      <c r="B563" s="93" t="s">
        <v>3523</v>
      </c>
      <c r="C563" s="11">
        <f>IFERROR(VLOOKUP(CANTIDAD[[#This Row],[Ubicación]],SAP[],3,FALSE),"")</f>
        <v>8315026</v>
      </c>
      <c r="D563" s="34">
        <f>IFERROR(VLOOKUP(CANTIDAD[[#This Row],[Producto]],MARA[],3,FALSE),"")</f>
        <v>27751851559151</v>
      </c>
      <c r="E563" s="25" t="str">
        <f>IFERROR(VLOOKUP(CANTIDAD[[#This Row],[Ubicación]],SAP[],4,FALSE),"")</f>
        <v>WC TANQUE AZUL SAPOLIO 45GR 12UND</v>
      </c>
      <c r="F563" s="25">
        <f>IFERROR(VLOOKUP(CANTIDAD[[#This Row],[Ubicación]],SAP[],8,FALSE),"")</f>
        <v>73</v>
      </c>
      <c r="G563" s="25" t="str">
        <f>IFERROR(VLOOKUP(CANTIDAD[[#This Row],[Ubicación]],SAP[],9,FALSE),"")</f>
        <v>CJA</v>
      </c>
      <c r="H563" s="25">
        <f>IFERROR(VLOOKUP(CANTIDAD[[#This Row],[Ubicación]],SAP[],5,FALSE),"")</f>
        <v>2511215070</v>
      </c>
      <c r="I563" s="47" t="str">
        <f>IFERROR(VLOOKUP(CANTIDAD[[#This Row],[Ubicación]],SAP[],6,FALSE),"")</f>
        <v>21/11/2028</v>
      </c>
      <c r="J563" s="25" t="str">
        <f>IFERROR(VLOOKUP(CANTIDAD[[#This Row],[Ubicación]],SAP[],7,FALSE),"")</f>
        <v>1F</v>
      </c>
      <c r="K563" s="25">
        <f>IFERROR(VLOOKUP(CANTIDAD[[#This Row],[Ubicación]],SAP[],10,FALSE),"")</f>
        <v>876</v>
      </c>
      <c r="L563" s="51">
        <f>IFERROR(VLOOKUP(CANTIDAD[[#This Row],[Producto]],MARA[],5,FALSE),"")</f>
        <v>37</v>
      </c>
      <c r="M563" s="51" t="str">
        <f>IFERROR(VLOOKUP(CANTIDAD[[#This Row],[Producto]],MARA[],4,FALSE),"")</f>
        <v>CJA</v>
      </c>
      <c r="N563" s="136" t="s">
        <v>4933</v>
      </c>
    </row>
    <row r="564" spans="1:14" hidden="1">
      <c r="A564" s="139" t="str">
        <f t="shared" si="8"/>
        <v>PASILLO 16</v>
      </c>
      <c r="B564" s="92" t="s">
        <v>4934</v>
      </c>
      <c r="C564" s="11" t="str">
        <f>IFERROR(VLOOKUP(CANTIDAD[[#This Row],[Ubicación]],SAP[],3,FALSE),"")</f>
        <v/>
      </c>
      <c r="D564" s="35" t="str">
        <f>IFERROR(VLOOKUP(CANTIDAD[[#This Row],[Producto]],MARA[],3,FALSE),"")</f>
        <v/>
      </c>
      <c r="E564" s="26" t="str">
        <f>IFERROR(VLOOKUP(CANTIDAD[[#This Row],[Ubicación]],SAP[],4,FALSE),"")</f>
        <v/>
      </c>
      <c r="F564" s="26" t="str">
        <f>IFERROR(VLOOKUP(CANTIDAD[[#This Row],[Ubicación]],SAP[],8,FALSE),"")</f>
        <v/>
      </c>
      <c r="G564" s="26" t="str">
        <f>IFERROR(VLOOKUP(CANTIDAD[[#This Row],[Ubicación]],SAP[],9,FALSE),"")</f>
        <v/>
      </c>
      <c r="H564" s="26" t="str">
        <f>IFERROR(VLOOKUP(CANTIDAD[[#This Row],[Ubicación]],SAP[],5,FALSE),"")</f>
        <v/>
      </c>
      <c r="I564" s="46" t="str">
        <f>IFERROR(VLOOKUP(CANTIDAD[[#This Row],[Ubicación]],SAP[],6,FALSE),"")</f>
        <v/>
      </c>
      <c r="J564" s="26" t="str">
        <f>IFERROR(VLOOKUP(CANTIDAD[[#This Row],[Ubicación]],SAP[],7,FALSE),"")</f>
        <v/>
      </c>
      <c r="K564" s="26" t="str">
        <f>IFERROR(VLOOKUP(CANTIDAD[[#This Row],[Ubicación]],SAP[],10,FALSE),"")</f>
        <v/>
      </c>
      <c r="L564" s="52" t="str">
        <f>IFERROR(VLOOKUP(CANTIDAD[[#This Row],[Producto]],MARA[],5,FALSE),"")</f>
        <v/>
      </c>
      <c r="M564" s="52" t="str">
        <f>IFERROR(VLOOKUP(CANTIDAD[[#This Row],[Producto]],MARA[],4,FALSE),"")</f>
        <v/>
      </c>
      <c r="N564" s="136" t="s">
        <v>4935</v>
      </c>
    </row>
    <row r="565" spans="1:14" hidden="1">
      <c r="A565" s="139" t="str">
        <f t="shared" si="8"/>
        <v>PASILLO 16</v>
      </c>
      <c r="B565" s="93" t="s">
        <v>4936</v>
      </c>
      <c r="C565" s="11" t="str">
        <f>IFERROR(VLOOKUP(CANTIDAD[[#This Row],[Ubicación]],SAP[],3,FALSE),"")</f>
        <v/>
      </c>
      <c r="D565" s="34" t="str">
        <f>IFERROR(VLOOKUP(CANTIDAD[[#This Row],[Producto]],MARA[],3,FALSE),"")</f>
        <v/>
      </c>
      <c r="E565" s="25" t="str">
        <f>IFERROR(VLOOKUP(CANTIDAD[[#This Row],[Ubicación]],SAP[],4,FALSE),"")</f>
        <v/>
      </c>
      <c r="F565" s="25" t="str">
        <f>IFERROR(VLOOKUP(CANTIDAD[[#This Row],[Ubicación]],SAP[],8,FALSE),"")</f>
        <v/>
      </c>
      <c r="G565" s="25" t="str">
        <f>IFERROR(VLOOKUP(CANTIDAD[[#This Row],[Ubicación]],SAP[],9,FALSE),"")</f>
        <v/>
      </c>
      <c r="H565" s="25" t="str">
        <f>IFERROR(VLOOKUP(CANTIDAD[[#This Row],[Ubicación]],SAP[],5,FALSE),"")</f>
        <v/>
      </c>
      <c r="I565" s="47" t="str">
        <f>IFERROR(VLOOKUP(CANTIDAD[[#This Row],[Ubicación]],SAP[],6,FALSE),"")</f>
        <v/>
      </c>
      <c r="J565" s="25" t="str">
        <f>IFERROR(VLOOKUP(CANTIDAD[[#This Row],[Ubicación]],SAP[],7,FALSE),"")</f>
        <v/>
      </c>
      <c r="K565" s="25" t="str">
        <f>IFERROR(VLOOKUP(CANTIDAD[[#This Row],[Ubicación]],SAP[],10,FALSE),"")</f>
        <v/>
      </c>
      <c r="L565" s="51" t="str">
        <f>IFERROR(VLOOKUP(CANTIDAD[[#This Row],[Producto]],MARA[],5,FALSE),"")</f>
        <v/>
      </c>
      <c r="M565" s="51" t="str">
        <f>IFERROR(VLOOKUP(CANTIDAD[[#This Row],[Producto]],MARA[],4,FALSE),"")</f>
        <v/>
      </c>
      <c r="N565" s="136" t="s">
        <v>4937</v>
      </c>
    </row>
    <row r="566" spans="1:14" hidden="1">
      <c r="A566" s="139" t="str">
        <f t="shared" si="8"/>
        <v>PASILLO 16</v>
      </c>
      <c r="B566" s="92" t="s">
        <v>4938</v>
      </c>
      <c r="C566" s="11" t="str">
        <f>IFERROR(VLOOKUP(CANTIDAD[[#This Row],[Ubicación]],SAP[],3,FALSE),"")</f>
        <v/>
      </c>
      <c r="D566" s="35" t="str">
        <f>IFERROR(VLOOKUP(CANTIDAD[[#This Row],[Producto]],MARA[],3,FALSE),"")</f>
        <v/>
      </c>
      <c r="E566" s="26" t="str">
        <f>IFERROR(VLOOKUP(CANTIDAD[[#This Row],[Ubicación]],SAP[],4,FALSE),"")</f>
        <v/>
      </c>
      <c r="F566" s="26" t="str">
        <f>IFERROR(VLOOKUP(CANTIDAD[[#This Row],[Ubicación]],SAP[],8,FALSE),"")</f>
        <v/>
      </c>
      <c r="G566" s="26" t="str">
        <f>IFERROR(VLOOKUP(CANTIDAD[[#This Row],[Ubicación]],SAP[],9,FALSE),"")</f>
        <v/>
      </c>
      <c r="H566" s="26" t="str">
        <f>IFERROR(VLOOKUP(CANTIDAD[[#This Row],[Ubicación]],SAP[],5,FALSE),"")</f>
        <v/>
      </c>
      <c r="I566" s="46" t="str">
        <f>IFERROR(VLOOKUP(CANTIDAD[[#This Row],[Ubicación]],SAP[],6,FALSE),"")</f>
        <v/>
      </c>
      <c r="J566" s="26" t="str">
        <f>IFERROR(VLOOKUP(CANTIDAD[[#This Row],[Ubicación]],SAP[],7,FALSE),"")</f>
        <v/>
      </c>
      <c r="K566" s="26" t="str">
        <f>IFERROR(VLOOKUP(CANTIDAD[[#This Row],[Ubicación]],SAP[],10,FALSE),"")</f>
        <v/>
      </c>
      <c r="L566" s="52" t="str">
        <f>IFERROR(VLOOKUP(CANTIDAD[[#This Row],[Producto]],MARA[],5,FALSE),"")</f>
        <v/>
      </c>
      <c r="M566" s="52" t="str">
        <f>IFERROR(VLOOKUP(CANTIDAD[[#This Row],[Producto]],MARA[],4,FALSE),"")</f>
        <v/>
      </c>
      <c r="N566" s="136" t="s">
        <v>4939</v>
      </c>
    </row>
    <row r="567" spans="1:14" hidden="1">
      <c r="A567" s="139" t="str">
        <f t="shared" si="8"/>
        <v>PASILLO 16</v>
      </c>
      <c r="B567" s="93" t="s">
        <v>3562</v>
      </c>
      <c r="C567" s="11">
        <f>IFERROR(VLOOKUP(CANTIDAD[[#This Row],[Ubicación]],SAP[],3,FALSE),"")</f>
        <v>8315140</v>
      </c>
      <c r="D567" s="34">
        <f>IFERROR(VLOOKUP(CANTIDAD[[#This Row],[Producto]],MARA[],3,FALSE),"")</f>
        <v>27751851019891</v>
      </c>
      <c r="E567" s="25" t="str">
        <f>IFERROR(VLOOKUP(CANTIDAD[[#This Row],[Ubicación]],SAP[],4,FALSE),"")</f>
        <v>WC TANQUE AZUL SAPOLIO 45GRX2 12UND NV.</v>
      </c>
      <c r="F567" s="25">
        <f>IFERROR(VLOOKUP(CANTIDAD[[#This Row],[Ubicación]],SAP[],8,FALSE),"")</f>
        <v>14</v>
      </c>
      <c r="G567" s="25" t="str">
        <f>IFERROR(VLOOKUP(CANTIDAD[[#This Row],[Ubicación]],SAP[],9,FALSE),"")</f>
        <v>CJA</v>
      </c>
      <c r="H567" s="25">
        <f>IFERROR(VLOOKUP(CANTIDAD[[#This Row],[Ubicación]],SAP[],5,FALSE),"")</f>
        <v>2607245070</v>
      </c>
      <c r="I567" s="47" t="str">
        <f>IFERROR(VLOOKUP(CANTIDAD[[#This Row],[Ubicación]],SAP[],6,FALSE),"")</f>
        <v>24/07/2029</v>
      </c>
      <c r="J567" s="25" t="str">
        <f>IFERROR(VLOOKUP(CANTIDAD[[#This Row],[Ubicación]],SAP[],7,FALSE),"")</f>
        <v>1F</v>
      </c>
      <c r="K567" s="25">
        <f>IFERROR(VLOOKUP(CANTIDAD[[#This Row],[Ubicación]],SAP[],10,FALSE),"")</f>
        <v>168</v>
      </c>
      <c r="L567" s="51">
        <f>IFERROR(VLOOKUP(CANTIDAD[[#This Row],[Producto]],MARA[],5,FALSE),"")</f>
        <v>32</v>
      </c>
      <c r="M567" s="51" t="str">
        <f>IFERROR(VLOOKUP(CANTIDAD[[#This Row],[Producto]],MARA[],4,FALSE),"")</f>
        <v>CJA</v>
      </c>
      <c r="N567" s="136" t="s">
        <v>4940</v>
      </c>
    </row>
    <row r="568" spans="1:14" hidden="1">
      <c r="A568" s="139" t="str">
        <f t="shared" si="8"/>
        <v>PASILLO 16</v>
      </c>
      <c r="B568" s="92" t="s">
        <v>4941</v>
      </c>
      <c r="C568" s="11" t="str">
        <f>IFERROR(VLOOKUP(CANTIDAD[[#This Row],[Ubicación]],SAP[],3,FALSE),"")</f>
        <v/>
      </c>
      <c r="D568" s="35" t="str">
        <f>IFERROR(VLOOKUP(CANTIDAD[[#This Row],[Producto]],MARA[],3,FALSE),"")</f>
        <v/>
      </c>
      <c r="E568" s="26" t="str">
        <f>IFERROR(VLOOKUP(CANTIDAD[[#This Row],[Ubicación]],SAP[],4,FALSE),"")</f>
        <v/>
      </c>
      <c r="F568" s="26" t="str">
        <f>IFERROR(VLOOKUP(CANTIDAD[[#This Row],[Ubicación]],SAP[],8,FALSE),"")</f>
        <v/>
      </c>
      <c r="G568" s="26" t="str">
        <f>IFERROR(VLOOKUP(CANTIDAD[[#This Row],[Ubicación]],SAP[],9,FALSE),"")</f>
        <v/>
      </c>
      <c r="H568" s="26" t="str">
        <f>IFERROR(VLOOKUP(CANTIDAD[[#This Row],[Ubicación]],SAP[],5,FALSE),"")</f>
        <v/>
      </c>
      <c r="I568" s="46" t="str">
        <f>IFERROR(VLOOKUP(CANTIDAD[[#This Row],[Ubicación]],SAP[],6,FALSE),"")</f>
        <v/>
      </c>
      <c r="J568" s="26" t="str">
        <f>IFERROR(VLOOKUP(CANTIDAD[[#This Row],[Ubicación]],SAP[],7,FALSE),"")</f>
        <v/>
      </c>
      <c r="K568" s="26" t="str">
        <f>IFERROR(VLOOKUP(CANTIDAD[[#This Row],[Ubicación]],SAP[],10,FALSE),"")</f>
        <v/>
      </c>
      <c r="L568" s="52" t="str">
        <f>IFERROR(VLOOKUP(CANTIDAD[[#This Row],[Producto]],MARA[],5,FALSE),"")</f>
        <v/>
      </c>
      <c r="M568" s="52" t="str">
        <f>IFERROR(VLOOKUP(CANTIDAD[[#This Row],[Producto]],MARA[],4,FALSE),"")</f>
        <v/>
      </c>
      <c r="N568" s="136" t="s">
        <v>4942</v>
      </c>
    </row>
    <row r="569" spans="1:14" hidden="1">
      <c r="A569" s="139" t="str">
        <f t="shared" si="8"/>
        <v>PASILLO 16</v>
      </c>
      <c r="B569" s="93" t="s">
        <v>3403</v>
      </c>
      <c r="C569" s="11">
        <f>IFERROR(VLOOKUP(CANTIDAD[[#This Row],[Ubicación]],SAP[],3,FALSE),"")</f>
        <v>8305362</v>
      </c>
      <c r="D569" s="34">
        <f>IFERROR(VLOOKUP(CANTIDAD[[#This Row],[Producto]],MARA[],3,FALSE),"")</f>
        <v>87861036713413</v>
      </c>
      <c r="E569" s="25" t="str">
        <f>IFERROR(VLOOKUP(CANTIDAD[[#This Row],[Ubicación]],SAP[],4,FALSE),"")</f>
        <v>CREMA LAVAVAJILLA LAVAX ROSADO 175GX15U</v>
      </c>
      <c r="F569" s="25">
        <f>IFERROR(VLOOKUP(CANTIDAD[[#This Row],[Ubicación]],SAP[],8,FALSE),"")</f>
        <v>64</v>
      </c>
      <c r="G569" s="25" t="str">
        <f>IFERROR(VLOOKUP(CANTIDAD[[#This Row],[Ubicación]],SAP[],9,FALSE),"")</f>
        <v>CJA</v>
      </c>
      <c r="H569" s="25">
        <f>IFERROR(VLOOKUP(CANTIDAD[[#This Row],[Ubicación]],SAP[],5,FALSE),"")</f>
        <v>230402</v>
      </c>
      <c r="I569" s="47" t="str">
        <f>IFERROR(VLOOKUP(CANTIDAD[[#This Row],[Ubicación]],SAP[],6,FALSE),"")</f>
        <v>16/06/2028</v>
      </c>
      <c r="J569" s="25" t="str">
        <f>IFERROR(VLOOKUP(CANTIDAD[[#This Row],[Ubicación]],SAP[],7,FALSE),"")</f>
        <v>1F</v>
      </c>
      <c r="K569" s="25">
        <f>IFERROR(VLOOKUP(CANTIDAD[[#This Row],[Ubicación]],SAP[],10,FALSE),"")</f>
        <v>960</v>
      </c>
      <c r="L569" s="51">
        <f>IFERROR(VLOOKUP(CANTIDAD[[#This Row],[Producto]],MARA[],5,FALSE),"")</f>
        <v>18</v>
      </c>
      <c r="M569" s="51" t="str">
        <f>IFERROR(VLOOKUP(CANTIDAD[[#This Row],[Producto]],MARA[],4,FALSE),"")</f>
        <v>CJA</v>
      </c>
      <c r="N569" s="136" t="s">
        <v>4943</v>
      </c>
    </row>
    <row r="570" spans="1:14" hidden="1">
      <c r="A570" s="139" t="str">
        <f t="shared" si="8"/>
        <v>PASILLO 16</v>
      </c>
      <c r="B570" s="92" t="s">
        <v>4944</v>
      </c>
      <c r="C570" s="11" t="str">
        <f>IFERROR(VLOOKUP(CANTIDAD[[#This Row],[Ubicación]],SAP[],3,FALSE),"")</f>
        <v/>
      </c>
      <c r="D570" s="35" t="str">
        <f>IFERROR(VLOOKUP(CANTIDAD[[#This Row],[Producto]],MARA[],3,FALSE),"")</f>
        <v/>
      </c>
      <c r="E570" s="26" t="str">
        <f>IFERROR(VLOOKUP(CANTIDAD[[#This Row],[Ubicación]],SAP[],4,FALSE),"")</f>
        <v/>
      </c>
      <c r="F570" s="26" t="str">
        <f>IFERROR(VLOOKUP(CANTIDAD[[#This Row],[Ubicación]],SAP[],8,FALSE),"")</f>
        <v/>
      </c>
      <c r="G570" s="26" t="str">
        <f>IFERROR(VLOOKUP(CANTIDAD[[#This Row],[Ubicación]],SAP[],9,FALSE),"")</f>
        <v/>
      </c>
      <c r="H570" s="26" t="str">
        <f>IFERROR(VLOOKUP(CANTIDAD[[#This Row],[Ubicación]],SAP[],5,FALSE),"")</f>
        <v/>
      </c>
      <c r="I570" s="46" t="str">
        <f>IFERROR(VLOOKUP(CANTIDAD[[#This Row],[Ubicación]],SAP[],6,FALSE),"")</f>
        <v/>
      </c>
      <c r="J570" s="26" t="str">
        <f>IFERROR(VLOOKUP(CANTIDAD[[#This Row],[Ubicación]],SAP[],7,FALSE),"")</f>
        <v/>
      </c>
      <c r="K570" s="26" t="str">
        <f>IFERROR(VLOOKUP(CANTIDAD[[#This Row],[Ubicación]],SAP[],10,FALSE),"")</f>
        <v/>
      </c>
      <c r="L570" s="52" t="str">
        <f>IFERROR(VLOOKUP(CANTIDAD[[#This Row],[Producto]],MARA[],5,FALSE),"")</f>
        <v/>
      </c>
      <c r="M570" s="52" t="str">
        <f>IFERROR(VLOOKUP(CANTIDAD[[#This Row],[Producto]],MARA[],4,FALSE),"")</f>
        <v/>
      </c>
      <c r="N570" s="136" t="s">
        <v>4945</v>
      </c>
    </row>
    <row r="571" spans="1:14" hidden="1">
      <c r="A571" s="139" t="str">
        <f t="shared" si="8"/>
        <v>PASILLO 16</v>
      </c>
      <c r="B571" s="93" t="s">
        <v>3406</v>
      </c>
      <c r="C571" s="11">
        <f>IFERROR(VLOOKUP(CANTIDAD[[#This Row],[Ubicación]],SAP[],3,FALSE),"")</f>
        <v>8305363</v>
      </c>
      <c r="D571" s="34">
        <f>IFERROR(VLOOKUP(CANTIDAD[[#This Row],[Producto]],MARA[],3,FALSE),"")</f>
        <v>87861036713420</v>
      </c>
      <c r="E571" s="25" t="str">
        <f>IFERROR(VLOOKUP(CANTIDAD[[#This Row],[Ubicación]],SAP[],4,FALSE),"")</f>
        <v>CREMA LAVAVAJILLA LAVAX UVA 175G X 15U</v>
      </c>
      <c r="F571" s="25">
        <f>IFERROR(VLOOKUP(CANTIDAD[[#This Row],[Ubicación]],SAP[],8,FALSE),"")</f>
        <v>1</v>
      </c>
      <c r="G571" s="25" t="str">
        <f>IFERROR(VLOOKUP(CANTIDAD[[#This Row],[Ubicación]],SAP[],9,FALSE),"")</f>
        <v>CJA</v>
      </c>
      <c r="H571" s="25">
        <f>IFERROR(VLOOKUP(CANTIDAD[[#This Row],[Ubicación]],SAP[],5,FALSE),"")</f>
        <v>260410001</v>
      </c>
      <c r="I571" s="47">
        <f>IFERROR(VLOOKUP(CANTIDAD[[#This Row],[Ubicación]],SAP[],6,FALSE),"")</f>
        <v>47030</v>
      </c>
      <c r="J571" s="25" t="str">
        <f>IFERROR(VLOOKUP(CANTIDAD[[#This Row],[Ubicación]],SAP[],7,FALSE),"")</f>
        <v>1F</v>
      </c>
      <c r="K571" s="25">
        <f>IFERROR(VLOOKUP(CANTIDAD[[#This Row],[Ubicación]],SAP[],10,FALSE),"")</f>
        <v>15</v>
      </c>
      <c r="L571" s="51">
        <f>IFERROR(VLOOKUP(CANTIDAD[[#This Row],[Producto]],MARA[],5,FALSE),"")</f>
        <v>18</v>
      </c>
      <c r="M571" s="51" t="str">
        <f>IFERROR(VLOOKUP(CANTIDAD[[#This Row],[Producto]],MARA[],4,FALSE),"")</f>
        <v>CJA</v>
      </c>
      <c r="N571" s="136" t="s">
        <v>4946</v>
      </c>
    </row>
    <row r="572" spans="1:14" hidden="1">
      <c r="A572" s="139" t="str">
        <f t="shared" si="8"/>
        <v>PASILLO 16</v>
      </c>
      <c r="B572" s="92" t="s">
        <v>4947</v>
      </c>
      <c r="C572" s="11" t="str">
        <f>IFERROR(VLOOKUP(CANTIDAD[[#This Row],[Ubicación]],SAP[],3,FALSE),"")</f>
        <v/>
      </c>
      <c r="D572" s="35" t="str">
        <f>IFERROR(VLOOKUP(CANTIDAD[[#This Row],[Producto]],MARA[],3,FALSE),"")</f>
        <v/>
      </c>
      <c r="E572" s="26" t="str">
        <f>IFERROR(VLOOKUP(CANTIDAD[[#This Row],[Ubicación]],SAP[],4,FALSE),"")</f>
        <v/>
      </c>
      <c r="F572" s="26" t="str">
        <f>IFERROR(VLOOKUP(CANTIDAD[[#This Row],[Ubicación]],SAP[],8,FALSE),"")</f>
        <v/>
      </c>
      <c r="G572" s="26" t="str">
        <f>IFERROR(VLOOKUP(CANTIDAD[[#This Row],[Ubicación]],SAP[],9,FALSE),"")</f>
        <v/>
      </c>
      <c r="H572" s="26" t="str">
        <f>IFERROR(VLOOKUP(CANTIDAD[[#This Row],[Ubicación]],SAP[],5,FALSE),"")</f>
        <v/>
      </c>
      <c r="I572" s="46" t="str">
        <f>IFERROR(VLOOKUP(CANTIDAD[[#This Row],[Ubicación]],SAP[],6,FALSE),"")</f>
        <v/>
      </c>
      <c r="J572" s="26" t="str">
        <f>IFERROR(VLOOKUP(CANTIDAD[[#This Row],[Ubicación]],SAP[],7,FALSE),"")</f>
        <v/>
      </c>
      <c r="K572" s="26" t="str">
        <f>IFERROR(VLOOKUP(CANTIDAD[[#This Row],[Ubicación]],SAP[],10,FALSE),"")</f>
        <v/>
      </c>
      <c r="L572" s="52" t="str">
        <f>IFERROR(VLOOKUP(CANTIDAD[[#This Row],[Producto]],MARA[],5,FALSE),"")</f>
        <v/>
      </c>
      <c r="M572" s="52" t="str">
        <f>IFERROR(VLOOKUP(CANTIDAD[[#This Row],[Producto]],MARA[],4,FALSE),"")</f>
        <v/>
      </c>
      <c r="N572" s="136" t="s">
        <v>4948</v>
      </c>
    </row>
    <row r="573" spans="1:14" hidden="1">
      <c r="A573" s="139" t="str">
        <f t="shared" si="8"/>
        <v>PASILLO 16</v>
      </c>
      <c r="B573" s="93" t="s">
        <v>3401</v>
      </c>
      <c r="C573" s="11">
        <f>IFERROR(VLOOKUP(CANTIDAD[[#This Row],[Ubicación]],SAP[],3,FALSE),"")</f>
        <v>8305361</v>
      </c>
      <c r="D573" s="34">
        <f>IFERROR(VLOOKUP(CANTIDAD[[#This Row],[Producto]],MARA[],3,FALSE),"")</f>
        <v>87861036713406</v>
      </c>
      <c r="E573" s="25" t="str">
        <f>IFERROR(VLOOKUP(CANTIDAD[[#This Row],[Ubicación]],SAP[],4,FALSE),"")</f>
        <v>CREMA LAVAVAJILLA LAVAX VERDE 175G X 15U</v>
      </c>
      <c r="F573" s="25">
        <f>IFERROR(VLOOKUP(CANTIDAD[[#This Row],[Ubicación]],SAP[],8,FALSE),"")</f>
        <v>8</v>
      </c>
      <c r="G573" s="25" t="str">
        <f>IFERROR(VLOOKUP(CANTIDAD[[#This Row],[Ubicación]],SAP[],9,FALSE),"")</f>
        <v>CJA</v>
      </c>
      <c r="H573" s="25">
        <f>IFERROR(VLOOKUP(CANTIDAD[[#This Row],[Ubicación]],SAP[],5,FALSE),"")</f>
        <v>227564</v>
      </c>
      <c r="I573" s="47">
        <f>IFERROR(VLOOKUP(CANTIDAD[[#This Row],[Ubicación]],SAP[],6,FALSE),"")</f>
        <v>46969</v>
      </c>
      <c r="J573" s="25" t="str">
        <f>IFERROR(VLOOKUP(CANTIDAD[[#This Row],[Ubicación]],SAP[],7,FALSE),"")</f>
        <v>1F</v>
      </c>
      <c r="K573" s="25">
        <f>IFERROR(VLOOKUP(CANTIDAD[[#This Row],[Ubicación]],SAP[],10,FALSE),"")</f>
        <v>120</v>
      </c>
      <c r="L573" s="51">
        <f>IFERROR(VLOOKUP(CANTIDAD[[#This Row],[Producto]],MARA[],5,FALSE),"")</f>
        <v>18</v>
      </c>
      <c r="M573" s="51" t="str">
        <f>IFERROR(VLOOKUP(CANTIDAD[[#This Row],[Producto]],MARA[],4,FALSE),"")</f>
        <v>CJA</v>
      </c>
      <c r="N573" s="136" t="s">
        <v>4949</v>
      </c>
    </row>
    <row r="574" spans="1:14" hidden="1">
      <c r="A574" s="139" t="str">
        <f t="shared" si="8"/>
        <v>PASILLO 16</v>
      </c>
      <c r="B574" s="92" t="s">
        <v>4950</v>
      </c>
      <c r="C574" s="11" t="str">
        <f>IFERROR(VLOOKUP(CANTIDAD[[#This Row],[Ubicación]],SAP[],3,FALSE),"")</f>
        <v/>
      </c>
      <c r="D574" s="35" t="str">
        <f>IFERROR(VLOOKUP(CANTIDAD[[#This Row],[Producto]],MARA[],3,FALSE),"")</f>
        <v/>
      </c>
      <c r="E574" s="26" t="str">
        <f>IFERROR(VLOOKUP(CANTIDAD[[#This Row],[Ubicación]],SAP[],4,FALSE),"")</f>
        <v/>
      </c>
      <c r="F574" s="26" t="str">
        <f>IFERROR(VLOOKUP(CANTIDAD[[#This Row],[Ubicación]],SAP[],8,FALSE),"")</f>
        <v/>
      </c>
      <c r="G574" s="26" t="str">
        <f>IFERROR(VLOOKUP(CANTIDAD[[#This Row],[Ubicación]],SAP[],9,FALSE),"")</f>
        <v/>
      </c>
      <c r="H574" s="26" t="str">
        <f>IFERROR(VLOOKUP(CANTIDAD[[#This Row],[Ubicación]],SAP[],5,FALSE),"")</f>
        <v/>
      </c>
      <c r="I574" s="46" t="str">
        <f>IFERROR(VLOOKUP(CANTIDAD[[#This Row],[Ubicación]],SAP[],6,FALSE),"")</f>
        <v/>
      </c>
      <c r="J574" s="26" t="str">
        <f>IFERROR(VLOOKUP(CANTIDAD[[#This Row],[Ubicación]],SAP[],7,FALSE),"")</f>
        <v/>
      </c>
      <c r="K574" s="26" t="str">
        <f>IFERROR(VLOOKUP(CANTIDAD[[#This Row],[Ubicación]],SAP[],10,FALSE),"")</f>
        <v/>
      </c>
      <c r="L574" s="52" t="str">
        <f>IFERROR(VLOOKUP(CANTIDAD[[#This Row],[Producto]],MARA[],5,FALSE),"")</f>
        <v/>
      </c>
      <c r="M574" s="52" t="str">
        <f>IFERROR(VLOOKUP(CANTIDAD[[#This Row],[Producto]],MARA[],4,FALSE),"")</f>
        <v/>
      </c>
      <c r="N574" s="136" t="s">
        <v>4951</v>
      </c>
    </row>
    <row r="575" spans="1:14" hidden="1">
      <c r="A575" s="139" t="str">
        <f t="shared" si="8"/>
        <v>PASILLO 16</v>
      </c>
      <c r="B575" s="93" t="s">
        <v>3501</v>
      </c>
      <c r="C575" s="11">
        <f>IFERROR(VLOOKUP(CANTIDAD[[#This Row],[Ubicación]],SAP[],3,FALSE),"")</f>
        <v>8315005</v>
      </c>
      <c r="D575" s="34">
        <f>IFERROR(VLOOKUP(CANTIDAD[[#This Row],[Producto]],MARA[],3,FALSE),"")</f>
        <v>27751851443184</v>
      </c>
      <c r="E575" s="25" t="str">
        <f>IFERROR(VLOOKUP(CANTIDAD[[#This Row],[Ubicación]],SAP[],4,FALSE),"")</f>
        <v>LUSTRAMUEBLE ORIGINAL PREMIO 280ML 12UND</v>
      </c>
      <c r="F575" s="25">
        <f>IFERROR(VLOOKUP(CANTIDAD[[#This Row],[Ubicación]],SAP[],8,FALSE),"")</f>
        <v>36</v>
      </c>
      <c r="G575" s="25" t="str">
        <f>IFERROR(VLOOKUP(CANTIDAD[[#This Row],[Ubicación]],SAP[],9,FALSE),"")</f>
        <v>CJA</v>
      </c>
      <c r="H575" s="25">
        <f>IFERROR(VLOOKUP(CANTIDAD[[#This Row],[Ubicación]],SAP[],5,FALSE),"")</f>
        <v>2508125010</v>
      </c>
      <c r="I575" s="47">
        <f>IFERROR(VLOOKUP(CANTIDAD[[#This Row],[Ubicación]],SAP[],6,FALSE),"")</f>
        <v>46729</v>
      </c>
      <c r="J575" s="25" t="str">
        <f>IFERROR(VLOOKUP(CANTIDAD[[#This Row],[Ubicación]],SAP[],7,FALSE),"")</f>
        <v>1F</v>
      </c>
      <c r="K575" s="25">
        <f>IFERROR(VLOOKUP(CANTIDAD[[#This Row],[Ubicación]],SAP[],10,FALSE),"")</f>
        <v>432</v>
      </c>
      <c r="L575" s="51">
        <f>IFERROR(VLOOKUP(CANTIDAD[[#This Row],[Producto]],MARA[],5,FALSE),"")</f>
        <v>28</v>
      </c>
      <c r="M575" s="51" t="str">
        <f>IFERROR(VLOOKUP(CANTIDAD[[#This Row],[Producto]],MARA[],4,FALSE),"")</f>
        <v>CJA</v>
      </c>
      <c r="N575" s="136" t="s">
        <v>4952</v>
      </c>
    </row>
    <row r="576" spans="1:14" hidden="1">
      <c r="A576" s="139" t="str">
        <f t="shared" si="8"/>
        <v>PASILLO 16</v>
      </c>
      <c r="B576" s="92" t="s">
        <v>4953</v>
      </c>
      <c r="C576" s="11" t="str">
        <f>IFERROR(VLOOKUP(CANTIDAD[[#This Row],[Ubicación]],SAP[],3,FALSE),"")</f>
        <v/>
      </c>
      <c r="D576" s="35" t="str">
        <f>IFERROR(VLOOKUP(CANTIDAD[[#This Row],[Producto]],MARA[],3,FALSE),"")</f>
        <v/>
      </c>
      <c r="E576" s="26" t="str">
        <f>IFERROR(VLOOKUP(CANTIDAD[[#This Row],[Ubicación]],SAP[],4,FALSE),"")</f>
        <v/>
      </c>
      <c r="F576" s="26" t="str">
        <f>IFERROR(VLOOKUP(CANTIDAD[[#This Row],[Ubicación]],SAP[],8,FALSE),"")</f>
        <v/>
      </c>
      <c r="G576" s="26" t="str">
        <f>IFERROR(VLOOKUP(CANTIDAD[[#This Row],[Ubicación]],SAP[],9,FALSE),"")</f>
        <v/>
      </c>
      <c r="H576" s="26" t="str">
        <f>IFERROR(VLOOKUP(CANTIDAD[[#This Row],[Ubicación]],SAP[],5,FALSE),"")</f>
        <v/>
      </c>
      <c r="I576" s="46" t="str">
        <f>IFERROR(VLOOKUP(CANTIDAD[[#This Row],[Ubicación]],SAP[],6,FALSE),"")</f>
        <v/>
      </c>
      <c r="J576" s="26" t="str">
        <f>IFERROR(VLOOKUP(CANTIDAD[[#This Row],[Ubicación]],SAP[],7,FALSE),"")</f>
        <v/>
      </c>
      <c r="K576" s="26" t="str">
        <f>IFERROR(VLOOKUP(CANTIDAD[[#This Row],[Ubicación]],SAP[],10,FALSE),"")</f>
        <v/>
      </c>
      <c r="L576" s="52" t="str">
        <f>IFERROR(VLOOKUP(CANTIDAD[[#This Row],[Producto]],MARA[],5,FALSE),"")</f>
        <v/>
      </c>
      <c r="M576" s="52" t="str">
        <f>IFERROR(VLOOKUP(CANTIDAD[[#This Row],[Producto]],MARA[],4,FALSE),"")</f>
        <v/>
      </c>
      <c r="N576" s="137" t="s">
        <v>4954</v>
      </c>
    </row>
    <row r="577" spans="1:14" hidden="1">
      <c r="A577" s="139" t="str">
        <f t="shared" si="8"/>
        <v>PASILLO 16</v>
      </c>
      <c r="B577" s="93" t="s">
        <v>3503</v>
      </c>
      <c r="C577" s="11">
        <f>IFERROR(VLOOKUP(CANTIDAD[[#This Row],[Ubicación]],SAP[],3,FALSE),"")</f>
        <v>8315006</v>
      </c>
      <c r="D577" s="34">
        <f>IFERROR(VLOOKUP(CANTIDAD[[#This Row],[Producto]],MARA[],3,FALSE),"")</f>
        <v>27751851443245</v>
      </c>
      <c r="E577" s="25" t="str">
        <f>IFERROR(VLOOKUP(CANTIDAD[[#This Row],[Ubicación]],SAP[],4,FALSE),"")</f>
        <v>LUSTRAMUEBLE ALMENDRA PREMIO 300ML 12UND</v>
      </c>
      <c r="F577" s="25">
        <f>IFERROR(VLOOKUP(CANTIDAD[[#This Row],[Ubicación]],SAP[],8,FALSE),"")</f>
        <v>3</v>
      </c>
      <c r="G577" s="25" t="str">
        <f>IFERROR(VLOOKUP(CANTIDAD[[#This Row],[Ubicación]],SAP[],9,FALSE),"")</f>
        <v>CJA</v>
      </c>
      <c r="H577" s="25">
        <f>IFERROR(VLOOKUP(CANTIDAD[[#This Row],[Ubicación]],SAP[],5,FALSE),"")</f>
        <v>2608065060</v>
      </c>
      <c r="I577" s="47">
        <f>IFERROR(VLOOKUP(CANTIDAD[[#This Row],[Ubicación]],SAP[],6,FALSE),"")</f>
        <v>46912</v>
      </c>
      <c r="J577" s="25" t="str">
        <f>IFERROR(VLOOKUP(CANTIDAD[[#This Row],[Ubicación]],SAP[],7,FALSE),"")</f>
        <v>1F</v>
      </c>
      <c r="K577" s="25">
        <f>IFERROR(VLOOKUP(CANTIDAD[[#This Row],[Ubicación]],SAP[],10,FALSE),"")</f>
        <v>36</v>
      </c>
      <c r="L577" s="51">
        <f>IFERROR(VLOOKUP(CANTIDAD[[#This Row],[Producto]],MARA[],5,FALSE),"")</f>
        <v>28</v>
      </c>
      <c r="M577" s="51" t="str">
        <f>IFERROR(VLOOKUP(CANTIDAD[[#This Row],[Producto]],MARA[],4,FALSE),"")</f>
        <v>CJA</v>
      </c>
      <c r="N577" s="136" t="s">
        <v>4955</v>
      </c>
    </row>
    <row r="578" spans="1:14" hidden="1">
      <c r="A578" s="139" t="str">
        <f t="shared" ref="A578:A641" si="9">"PASILLO " &amp; VALUE(MID(B578, 4, 2))</f>
        <v>PASILLO 16</v>
      </c>
      <c r="B578" s="92" t="s">
        <v>4956</v>
      </c>
      <c r="C578" s="11" t="str">
        <f>IFERROR(VLOOKUP(CANTIDAD[[#This Row],[Ubicación]],SAP[],3,FALSE),"")</f>
        <v/>
      </c>
      <c r="D578" s="35" t="str">
        <f>IFERROR(VLOOKUP(CANTIDAD[[#This Row],[Producto]],MARA[],3,FALSE),"")</f>
        <v/>
      </c>
      <c r="E578" s="26" t="str">
        <f>IFERROR(VLOOKUP(CANTIDAD[[#This Row],[Ubicación]],SAP[],4,FALSE),"")</f>
        <v/>
      </c>
      <c r="F578" s="26" t="str">
        <f>IFERROR(VLOOKUP(CANTIDAD[[#This Row],[Ubicación]],SAP[],8,FALSE),"")</f>
        <v/>
      </c>
      <c r="G578" s="26" t="str">
        <f>IFERROR(VLOOKUP(CANTIDAD[[#This Row],[Ubicación]],SAP[],9,FALSE),"")</f>
        <v/>
      </c>
      <c r="H578" s="26" t="str">
        <f>IFERROR(VLOOKUP(CANTIDAD[[#This Row],[Ubicación]],SAP[],5,FALSE),"")</f>
        <v/>
      </c>
      <c r="I578" s="46" t="str">
        <f>IFERROR(VLOOKUP(CANTIDAD[[#This Row],[Ubicación]],SAP[],6,FALSE),"")</f>
        <v/>
      </c>
      <c r="J578" s="26" t="str">
        <f>IFERROR(VLOOKUP(CANTIDAD[[#This Row],[Ubicación]],SAP[],7,FALSE),"")</f>
        <v/>
      </c>
      <c r="K578" s="26" t="str">
        <f>IFERROR(VLOOKUP(CANTIDAD[[#This Row],[Ubicación]],SAP[],10,FALSE),"")</f>
        <v/>
      </c>
      <c r="L578" s="52" t="str">
        <f>IFERROR(VLOOKUP(CANTIDAD[[#This Row],[Producto]],MARA[],5,FALSE),"")</f>
        <v/>
      </c>
      <c r="M578" s="52" t="str">
        <f>IFERROR(VLOOKUP(CANTIDAD[[#This Row],[Producto]],MARA[],4,FALSE),"")</f>
        <v/>
      </c>
      <c r="N578" s="136" t="s">
        <v>4957</v>
      </c>
    </row>
    <row r="579" spans="1:14" hidden="1">
      <c r="A579" s="139" t="str">
        <f t="shared" si="9"/>
        <v>PASILLO 16</v>
      </c>
      <c r="B579" s="93" t="s">
        <v>4958</v>
      </c>
      <c r="C579" s="11" t="str">
        <f>IFERROR(VLOOKUP(CANTIDAD[[#This Row],[Ubicación]],SAP[],3,FALSE),"")</f>
        <v/>
      </c>
      <c r="D579" s="34" t="str">
        <f>IFERROR(VLOOKUP(CANTIDAD[[#This Row],[Producto]],MARA[],3,FALSE),"")</f>
        <v/>
      </c>
      <c r="E579" s="25" t="str">
        <f>IFERROR(VLOOKUP(CANTIDAD[[#This Row],[Ubicación]],SAP[],4,FALSE),"")</f>
        <v/>
      </c>
      <c r="F579" s="25" t="str">
        <f>IFERROR(VLOOKUP(CANTIDAD[[#This Row],[Ubicación]],SAP[],8,FALSE),"")</f>
        <v/>
      </c>
      <c r="G579" s="25" t="str">
        <f>IFERROR(VLOOKUP(CANTIDAD[[#This Row],[Ubicación]],SAP[],9,FALSE),"")</f>
        <v/>
      </c>
      <c r="H579" s="25" t="str">
        <f>IFERROR(VLOOKUP(CANTIDAD[[#This Row],[Ubicación]],SAP[],5,FALSE),"")</f>
        <v/>
      </c>
      <c r="I579" s="47" t="str">
        <f>IFERROR(VLOOKUP(CANTIDAD[[#This Row],[Ubicación]],SAP[],6,FALSE),"")</f>
        <v/>
      </c>
      <c r="J579" s="25" t="str">
        <f>IFERROR(VLOOKUP(CANTIDAD[[#This Row],[Ubicación]],SAP[],7,FALSE),"")</f>
        <v/>
      </c>
      <c r="K579" s="25" t="str">
        <f>IFERROR(VLOOKUP(CANTIDAD[[#This Row],[Ubicación]],SAP[],10,FALSE),"")</f>
        <v/>
      </c>
      <c r="L579" s="51" t="str">
        <f>IFERROR(VLOOKUP(CANTIDAD[[#This Row],[Producto]],MARA[],5,FALSE),"")</f>
        <v/>
      </c>
      <c r="M579" s="51" t="str">
        <f>IFERROR(VLOOKUP(CANTIDAD[[#This Row],[Producto]],MARA[],4,FALSE),"")</f>
        <v/>
      </c>
      <c r="N579" s="136" t="s">
        <v>4959</v>
      </c>
    </row>
    <row r="580" spans="1:14" hidden="1">
      <c r="A580" s="139" t="str">
        <f t="shared" si="9"/>
        <v>PASILLO 16</v>
      </c>
      <c r="B580" s="92" t="s">
        <v>3553</v>
      </c>
      <c r="C580" s="11">
        <f>IFERROR(VLOOKUP(CANTIDAD[[#This Row],[Ubicación]],SAP[],3,FALSE),"")</f>
        <v>8315051</v>
      </c>
      <c r="D580" s="35">
        <f>IFERROR(VLOOKUP(CANTIDAD[[#This Row],[Producto]],MARA[],3,FALSE),"")</f>
        <v>17751851012147</v>
      </c>
      <c r="E580" s="26" t="str">
        <f>IFERROR(VLOOKUP(CANTIDAD[[#This Row],[Ubicación]],SAP[],4,FALSE),"")</f>
        <v>LIMPIAMETAL LIQUIDO BRONCEX 280ML 12UND</v>
      </c>
      <c r="F580" s="26">
        <f>IFERROR(VLOOKUP(CANTIDAD[[#This Row],[Ubicación]],SAP[],8,FALSE),"")</f>
        <v>86</v>
      </c>
      <c r="G580" s="26" t="str">
        <f>IFERROR(VLOOKUP(CANTIDAD[[#This Row],[Ubicación]],SAP[],9,FALSE),"")</f>
        <v>CJA</v>
      </c>
      <c r="H580" s="26">
        <f>IFERROR(VLOOKUP(CANTIDAD[[#This Row],[Ubicación]],SAP[],5,FALSE),"")</f>
        <v>2608155060</v>
      </c>
      <c r="I580" s="46" t="str">
        <f>IFERROR(VLOOKUP(CANTIDAD[[#This Row],[Ubicación]],SAP[],6,FALSE),"")</f>
        <v>15/08/2029</v>
      </c>
      <c r="J580" s="26" t="str">
        <f>IFERROR(VLOOKUP(CANTIDAD[[#This Row],[Ubicación]],SAP[],7,FALSE),"")</f>
        <v>1F</v>
      </c>
      <c r="K580" s="27">
        <f>IFERROR(VLOOKUP(CANTIDAD[[#This Row],[Ubicación]],SAP[],10,FALSE),"")</f>
        <v>1032</v>
      </c>
      <c r="L580" s="52">
        <f>IFERROR(VLOOKUP(CANTIDAD[[#This Row],[Producto]],MARA[],5,FALSE),"")</f>
        <v>28</v>
      </c>
      <c r="M580" s="52" t="str">
        <f>IFERROR(VLOOKUP(CANTIDAD[[#This Row],[Producto]],MARA[],4,FALSE),"")</f>
        <v>CJA</v>
      </c>
      <c r="N580" s="136" t="s">
        <v>4960</v>
      </c>
    </row>
    <row r="581" spans="1:14" hidden="1">
      <c r="A581" s="139" t="str">
        <f t="shared" si="9"/>
        <v>PASILLO 16</v>
      </c>
      <c r="B581" s="93" t="s">
        <v>4961</v>
      </c>
      <c r="C581" s="11" t="str">
        <f>IFERROR(VLOOKUP(CANTIDAD[[#This Row],[Ubicación]],SAP[],3,FALSE),"")</f>
        <v/>
      </c>
      <c r="D581" s="34" t="str">
        <f>IFERROR(VLOOKUP(CANTIDAD[[#This Row],[Producto]],MARA[],3,FALSE),"")</f>
        <v/>
      </c>
      <c r="E581" s="25" t="str">
        <f>IFERROR(VLOOKUP(CANTIDAD[[#This Row],[Ubicación]],SAP[],4,FALSE),"")</f>
        <v/>
      </c>
      <c r="F581" s="25" t="str">
        <f>IFERROR(VLOOKUP(CANTIDAD[[#This Row],[Ubicación]],SAP[],8,FALSE),"")</f>
        <v/>
      </c>
      <c r="G581" s="25" t="str">
        <f>IFERROR(VLOOKUP(CANTIDAD[[#This Row],[Ubicación]],SAP[],9,FALSE),"")</f>
        <v/>
      </c>
      <c r="H581" s="25" t="str">
        <f>IFERROR(VLOOKUP(CANTIDAD[[#This Row],[Ubicación]],SAP[],5,FALSE),"")</f>
        <v/>
      </c>
      <c r="I581" s="47" t="str">
        <f>IFERROR(VLOOKUP(CANTIDAD[[#This Row],[Ubicación]],SAP[],6,FALSE),"")</f>
        <v/>
      </c>
      <c r="J581" s="25" t="str">
        <f>IFERROR(VLOOKUP(CANTIDAD[[#This Row],[Ubicación]],SAP[],7,FALSE),"")</f>
        <v/>
      </c>
      <c r="K581" s="25" t="str">
        <f>IFERROR(VLOOKUP(CANTIDAD[[#This Row],[Ubicación]],SAP[],10,FALSE),"")</f>
        <v/>
      </c>
      <c r="L581" s="51" t="str">
        <f>IFERROR(VLOOKUP(CANTIDAD[[#This Row],[Producto]],MARA[],5,FALSE),"")</f>
        <v/>
      </c>
      <c r="M581" s="51" t="str">
        <f>IFERROR(VLOOKUP(CANTIDAD[[#This Row],[Producto]],MARA[],4,FALSE),"")</f>
        <v/>
      </c>
      <c r="N581" s="136" t="s">
        <v>4962</v>
      </c>
    </row>
    <row r="582" spans="1:14" hidden="1">
      <c r="A582" s="139" t="str">
        <f t="shared" si="9"/>
        <v>PASILLO 16</v>
      </c>
      <c r="B582" s="92" t="s">
        <v>3496</v>
      </c>
      <c r="C582" s="11">
        <f>IFERROR(VLOOKUP(CANTIDAD[[#This Row],[Ubicación]],SAP[],3,FALSE),"")</f>
        <v>8315003</v>
      </c>
      <c r="D582" s="35">
        <f>IFERROR(VLOOKUP(CANTIDAD[[#This Row],[Producto]],MARA[],3,FALSE),"")</f>
        <v>17751851011119</v>
      </c>
      <c r="E582" s="26" t="str">
        <f>IFERROR(VLOOKUP(CANTIDAD[[#This Row],[Ubicación]],SAP[],4,FALSE),"")</f>
        <v>LUSTRAMUEBLE LAVANDA PREMIO 280ML 12UND</v>
      </c>
      <c r="F582" s="26">
        <f>IFERROR(VLOOKUP(CANTIDAD[[#This Row],[Ubicación]],SAP[],8,FALSE),"")</f>
        <v>50</v>
      </c>
      <c r="G582" s="26" t="str">
        <f>IFERROR(VLOOKUP(CANTIDAD[[#This Row],[Ubicación]],SAP[],9,FALSE),"")</f>
        <v>CJA</v>
      </c>
      <c r="H582" s="26">
        <f>IFERROR(VLOOKUP(CANTIDAD[[#This Row],[Ubicación]],SAP[],5,FALSE),"")</f>
        <v>2509255010</v>
      </c>
      <c r="I582" s="46" t="str">
        <f>IFERROR(VLOOKUP(CANTIDAD[[#This Row],[Ubicación]],SAP[],6,FALSE),"")</f>
        <v>25/09/2027</v>
      </c>
      <c r="J582" s="26" t="str">
        <f>IFERROR(VLOOKUP(CANTIDAD[[#This Row],[Ubicación]],SAP[],7,FALSE),"")</f>
        <v>1F</v>
      </c>
      <c r="K582" s="26">
        <f>IFERROR(VLOOKUP(CANTIDAD[[#This Row],[Ubicación]],SAP[],10,FALSE),"")</f>
        <v>600</v>
      </c>
      <c r="L582" s="52">
        <f>IFERROR(VLOOKUP(CANTIDAD[[#This Row],[Producto]],MARA[],5,FALSE),"")</f>
        <v>28</v>
      </c>
      <c r="M582" s="52" t="str">
        <f>IFERROR(VLOOKUP(CANTIDAD[[#This Row],[Producto]],MARA[],4,FALSE),"")</f>
        <v>CJA</v>
      </c>
      <c r="N582" s="136" t="s">
        <v>4963</v>
      </c>
    </row>
    <row r="583" spans="1:14" hidden="1">
      <c r="A583" s="139" t="str">
        <f t="shared" si="9"/>
        <v>PASILLO 16</v>
      </c>
      <c r="B583" s="93" t="s">
        <v>4964</v>
      </c>
      <c r="C583" s="11" t="str">
        <f>IFERROR(VLOOKUP(CANTIDAD[[#This Row],[Ubicación]],SAP[],3,FALSE),"")</f>
        <v/>
      </c>
      <c r="D583" s="34" t="str">
        <f>IFERROR(VLOOKUP(CANTIDAD[[#This Row],[Producto]],MARA[],3,FALSE),"")</f>
        <v/>
      </c>
      <c r="E583" s="25" t="str">
        <f>IFERROR(VLOOKUP(CANTIDAD[[#This Row],[Ubicación]],SAP[],4,FALSE),"")</f>
        <v/>
      </c>
      <c r="F583" s="25" t="str">
        <f>IFERROR(VLOOKUP(CANTIDAD[[#This Row],[Ubicación]],SAP[],8,FALSE),"")</f>
        <v/>
      </c>
      <c r="G583" s="25" t="str">
        <f>IFERROR(VLOOKUP(CANTIDAD[[#This Row],[Ubicación]],SAP[],9,FALSE),"")</f>
        <v/>
      </c>
      <c r="H583" s="25" t="str">
        <f>IFERROR(VLOOKUP(CANTIDAD[[#This Row],[Ubicación]],SAP[],5,FALSE),"")</f>
        <v/>
      </c>
      <c r="I583" s="47" t="str">
        <f>IFERROR(VLOOKUP(CANTIDAD[[#This Row],[Ubicación]],SAP[],6,FALSE),"")</f>
        <v/>
      </c>
      <c r="J583" s="25" t="str">
        <f>IFERROR(VLOOKUP(CANTIDAD[[#This Row],[Ubicación]],SAP[],7,FALSE),"")</f>
        <v/>
      </c>
      <c r="K583" s="25" t="str">
        <f>IFERROR(VLOOKUP(CANTIDAD[[#This Row],[Ubicación]],SAP[],10,FALSE),"")</f>
        <v/>
      </c>
      <c r="L583" s="51" t="str">
        <f>IFERROR(VLOOKUP(CANTIDAD[[#This Row],[Producto]],MARA[],5,FALSE),"")</f>
        <v/>
      </c>
      <c r="M583" s="51" t="str">
        <f>IFERROR(VLOOKUP(CANTIDAD[[#This Row],[Producto]],MARA[],4,FALSE),"")</f>
        <v/>
      </c>
      <c r="N583" s="136" t="s">
        <v>4965</v>
      </c>
    </row>
    <row r="584" spans="1:14" hidden="1">
      <c r="A584" s="139" t="str">
        <f t="shared" si="9"/>
        <v>PASILLO 16</v>
      </c>
      <c r="B584" s="92" t="s">
        <v>3408</v>
      </c>
      <c r="C584" s="11">
        <f>IFERROR(VLOOKUP(CANTIDAD[[#This Row],[Ubicación]],SAP[],3,FALSE),"")</f>
        <v>8305365</v>
      </c>
      <c r="D584" s="35">
        <f>IFERROR(VLOOKUP(CANTIDAD[[#This Row],[Producto]],MARA[],3,FALSE),"")</f>
        <v>57861036713511</v>
      </c>
      <c r="E584" s="26" t="str">
        <f>IFERROR(VLOOKUP(CANTIDAD[[#This Row],[Ubicación]],SAP[],4,FALSE),"")</f>
        <v>CREMA LAVAVAJILLA LAVAX ROSADO 300GX12U</v>
      </c>
      <c r="F584" s="26">
        <f>IFERROR(VLOOKUP(CANTIDAD[[#This Row],[Ubicación]],SAP[],8,FALSE),"")</f>
        <v>25</v>
      </c>
      <c r="G584" s="26" t="str">
        <f>IFERROR(VLOOKUP(CANTIDAD[[#This Row],[Ubicación]],SAP[],9,FALSE),"")</f>
        <v>CJA</v>
      </c>
      <c r="H584" s="26">
        <f>IFERROR(VLOOKUP(CANTIDAD[[#This Row],[Ubicación]],SAP[],5,FALSE),"")</f>
        <v>224261</v>
      </c>
      <c r="I584" s="46">
        <f>IFERROR(VLOOKUP(CANTIDAD[[#This Row],[Ubicación]],SAP[],6,FALSE),"")</f>
        <v>46787</v>
      </c>
      <c r="J584" s="26" t="str">
        <f>IFERROR(VLOOKUP(CANTIDAD[[#This Row],[Ubicación]],SAP[],7,FALSE),"")</f>
        <v>1F</v>
      </c>
      <c r="K584" s="26">
        <f>IFERROR(VLOOKUP(CANTIDAD[[#This Row],[Ubicación]],SAP[],10,FALSE),"")</f>
        <v>300</v>
      </c>
      <c r="L584" s="52">
        <f>IFERROR(VLOOKUP(CANTIDAD[[#This Row],[Producto]],MARA[],5,FALSE),"")</f>
        <v>12</v>
      </c>
      <c r="M584" s="52" t="str">
        <f>IFERROR(VLOOKUP(CANTIDAD[[#This Row],[Producto]],MARA[],4,FALSE),"")</f>
        <v>CJA</v>
      </c>
      <c r="N584" s="136" t="s">
        <v>4966</v>
      </c>
    </row>
    <row r="585" spans="1:14" hidden="1">
      <c r="A585" s="139" t="str">
        <f t="shared" si="9"/>
        <v>PASILLO 16</v>
      </c>
      <c r="B585" s="93" t="s">
        <v>4967</v>
      </c>
      <c r="C585" s="11" t="str">
        <f>IFERROR(VLOOKUP(CANTIDAD[[#This Row],[Ubicación]],SAP[],3,FALSE),"")</f>
        <v/>
      </c>
      <c r="D585" s="34" t="str">
        <f>IFERROR(VLOOKUP(CANTIDAD[[#This Row],[Producto]],MARA[],3,FALSE),"")</f>
        <v/>
      </c>
      <c r="E585" s="25" t="str">
        <f>IFERROR(VLOOKUP(CANTIDAD[[#This Row],[Ubicación]],SAP[],4,FALSE),"")</f>
        <v/>
      </c>
      <c r="F585" s="25" t="str">
        <f>IFERROR(VLOOKUP(CANTIDAD[[#This Row],[Ubicación]],SAP[],8,FALSE),"")</f>
        <v/>
      </c>
      <c r="G585" s="25" t="str">
        <f>IFERROR(VLOOKUP(CANTIDAD[[#This Row],[Ubicación]],SAP[],9,FALSE),"")</f>
        <v/>
      </c>
      <c r="H585" s="25" t="str">
        <f>IFERROR(VLOOKUP(CANTIDAD[[#This Row],[Ubicación]],SAP[],5,FALSE),"")</f>
        <v/>
      </c>
      <c r="I585" s="47" t="str">
        <f>IFERROR(VLOOKUP(CANTIDAD[[#This Row],[Ubicación]],SAP[],6,FALSE),"")</f>
        <v/>
      </c>
      <c r="J585" s="25" t="str">
        <f>IFERROR(VLOOKUP(CANTIDAD[[#This Row],[Ubicación]],SAP[],7,FALSE),"")</f>
        <v/>
      </c>
      <c r="K585" s="25" t="str">
        <f>IFERROR(VLOOKUP(CANTIDAD[[#This Row],[Ubicación]],SAP[],10,FALSE),"")</f>
        <v/>
      </c>
      <c r="L585" s="51" t="str">
        <f>IFERROR(VLOOKUP(CANTIDAD[[#This Row],[Producto]],MARA[],5,FALSE),"")</f>
        <v/>
      </c>
      <c r="M585" s="51" t="str">
        <f>IFERROR(VLOOKUP(CANTIDAD[[#This Row],[Producto]],MARA[],4,FALSE),"")</f>
        <v/>
      </c>
      <c r="N585" s="136" t="s">
        <v>4968</v>
      </c>
    </row>
    <row r="586" spans="1:14" hidden="1">
      <c r="A586" s="139" t="str">
        <f t="shared" si="9"/>
        <v>PASILLO 16</v>
      </c>
      <c r="B586" s="92" t="s">
        <v>3376</v>
      </c>
      <c r="C586" s="11">
        <f>IFERROR(VLOOKUP(CANTIDAD[[#This Row],[Ubicación]],SAP[],3,FALSE),"")</f>
        <v>8305350</v>
      </c>
      <c r="D586" s="35">
        <f>IFERROR(VLOOKUP(CANTIDAD[[#This Row],[Producto]],MARA[],3,FALSE),"")</f>
        <v>17861036793133</v>
      </c>
      <c r="E586" s="26" t="str">
        <f>IFERROR(VLOOKUP(CANTIDAD[[#This Row],[Ubicación]],SAP[],4,FALSE),"")</f>
        <v>CREMA LAVAVAJILLA LAVAX VERDE 300G X 12U</v>
      </c>
      <c r="F586" s="26">
        <f>IFERROR(VLOOKUP(CANTIDAD[[#This Row],[Ubicación]],SAP[],8,FALSE),"")</f>
        <v>24</v>
      </c>
      <c r="G586" s="26" t="str">
        <f>IFERROR(VLOOKUP(CANTIDAD[[#This Row],[Ubicación]],SAP[],9,FALSE),"")</f>
        <v>CJA</v>
      </c>
      <c r="H586" s="26">
        <f>IFERROR(VLOOKUP(CANTIDAD[[#This Row],[Ubicación]],SAP[],5,FALSE),"")</f>
        <v>223514</v>
      </c>
      <c r="I586" s="46" t="str">
        <f>IFERROR(VLOOKUP(CANTIDAD[[#This Row],[Ubicación]],SAP[],6,FALSE),"")</f>
        <v>27/03/2028</v>
      </c>
      <c r="J586" s="26" t="str">
        <f>IFERROR(VLOOKUP(CANTIDAD[[#This Row],[Ubicación]],SAP[],7,FALSE),"")</f>
        <v>1F</v>
      </c>
      <c r="K586" s="26">
        <f>IFERROR(VLOOKUP(CANTIDAD[[#This Row],[Ubicación]],SAP[],10,FALSE),"")</f>
        <v>288</v>
      </c>
      <c r="L586" s="52">
        <f>IFERROR(VLOOKUP(CANTIDAD[[#This Row],[Producto]],MARA[],5,FALSE),"")</f>
        <v>8</v>
      </c>
      <c r="M586" s="52" t="str">
        <f>IFERROR(VLOOKUP(CANTIDAD[[#This Row],[Producto]],MARA[],4,FALSE),"")</f>
        <v>CJA</v>
      </c>
      <c r="N586" s="136" t="s">
        <v>4969</v>
      </c>
    </row>
    <row r="587" spans="1:14" hidden="1">
      <c r="A587" s="139" t="str">
        <f t="shared" si="9"/>
        <v>PASILLO 16</v>
      </c>
      <c r="B587" s="93" t="s">
        <v>4970</v>
      </c>
      <c r="C587" s="11" t="str">
        <f>IFERROR(VLOOKUP(CANTIDAD[[#This Row],[Ubicación]],SAP[],3,FALSE),"")</f>
        <v/>
      </c>
      <c r="D587" s="34" t="str">
        <f>IFERROR(VLOOKUP(CANTIDAD[[#This Row],[Producto]],MARA[],3,FALSE),"")</f>
        <v/>
      </c>
      <c r="E587" s="25" t="str">
        <f>IFERROR(VLOOKUP(CANTIDAD[[#This Row],[Ubicación]],SAP[],4,FALSE),"")</f>
        <v/>
      </c>
      <c r="F587" s="25" t="str">
        <f>IFERROR(VLOOKUP(CANTIDAD[[#This Row],[Ubicación]],SAP[],8,FALSE),"")</f>
        <v/>
      </c>
      <c r="G587" s="25" t="str">
        <f>IFERROR(VLOOKUP(CANTIDAD[[#This Row],[Ubicación]],SAP[],9,FALSE),"")</f>
        <v/>
      </c>
      <c r="H587" s="25" t="str">
        <f>IFERROR(VLOOKUP(CANTIDAD[[#This Row],[Ubicación]],SAP[],5,FALSE),"")</f>
        <v/>
      </c>
      <c r="I587" s="47" t="str">
        <f>IFERROR(VLOOKUP(CANTIDAD[[#This Row],[Ubicación]],SAP[],6,FALSE),"")</f>
        <v/>
      </c>
      <c r="J587" s="25" t="str">
        <f>IFERROR(VLOOKUP(CANTIDAD[[#This Row],[Ubicación]],SAP[],7,FALSE),"")</f>
        <v/>
      </c>
      <c r="K587" s="25" t="str">
        <f>IFERROR(VLOOKUP(CANTIDAD[[#This Row],[Ubicación]],SAP[],10,FALSE),"")</f>
        <v/>
      </c>
      <c r="L587" s="51" t="str">
        <f>IFERROR(VLOOKUP(CANTIDAD[[#This Row],[Producto]],MARA[],5,FALSE),"")</f>
        <v/>
      </c>
      <c r="M587" s="51" t="str">
        <f>IFERROR(VLOOKUP(CANTIDAD[[#This Row],[Producto]],MARA[],4,FALSE),"")</f>
        <v/>
      </c>
      <c r="N587" s="136" t="s">
        <v>4971</v>
      </c>
    </row>
    <row r="588" spans="1:14" hidden="1">
      <c r="A588" s="139" t="str">
        <f t="shared" si="9"/>
        <v>PASILLO 16</v>
      </c>
      <c r="B588" s="92" t="s">
        <v>3294</v>
      </c>
      <c r="C588" s="11">
        <f>IFERROR(VLOOKUP(CANTIDAD[[#This Row],[Ubicación]],SAP[],3,FALSE),"")</f>
        <v>8305269</v>
      </c>
      <c r="D588" s="35">
        <f>IFERROR(VLOOKUP(CANTIDAD[[#This Row],[Producto]],MARA[],3,FALSE),"")</f>
        <v>37751851010727</v>
      </c>
      <c r="E588" s="26" t="str">
        <f>IFERROR(VLOOKUP(CANTIDAD[[#This Row],[Ubicación]],SAP[],4,FALSE),"")</f>
        <v>LAVAV. LIQ.SAPOLIO LIMÓN 300ML 12FCO PE</v>
      </c>
      <c r="F588" s="26">
        <f>IFERROR(VLOOKUP(CANTIDAD[[#This Row],[Ubicación]],SAP[],8,FALSE),"")</f>
        <v>63</v>
      </c>
      <c r="G588" s="26" t="str">
        <f>IFERROR(VLOOKUP(CANTIDAD[[#This Row],[Ubicación]],SAP[],9,FALSE),"")</f>
        <v>CJA</v>
      </c>
      <c r="H588" s="26">
        <f>IFERROR(VLOOKUP(CANTIDAD[[#This Row],[Ubicación]],SAP[],5,FALSE),"")</f>
        <v>2607275060</v>
      </c>
      <c r="I588" s="46" t="str">
        <f>IFERROR(VLOOKUP(CANTIDAD[[#This Row],[Ubicación]],SAP[],6,FALSE),"")</f>
        <v>27/07/2029</v>
      </c>
      <c r="J588" s="26" t="str">
        <f>IFERROR(VLOOKUP(CANTIDAD[[#This Row],[Ubicación]],SAP[],7,FALSE),"")</f>
        <v>1F</v>
      </c>
      <c r="K588" s="26">
        <f>IFERROR(VLOOKUP(CANTIDAD[[#This Row],[Ubicación]],SAP[],10,FALSE),"")</f>
        <v>756</v>
      </c>
      <c r="L588" s="52">
        <f>IFERROR(VLOOKUP(CANTIDAD[[#This Row],[Producto]],MARA[],5,FALSE),"")</f>
        <v>29</v>
      </c>
      <c r="M588" s="52" t="str">
        <f>IFERROR(VLOOKUP(CANTIDAD[[#This Row],[Producto]],MARA[],4,FALSE),"")</f>
        <v>CJA</v>
      </c>
      <c r="N588" s="136" t="s">
        <v>4972</v>
      </c>
    </row>
    <row r="589" spans="1:14" hidden="1">
      <c r="A589" s="139" t="str">
        <f t="shared" si="9"/>
        <v>PASILLO 16</v>
      </c>
      <c r="B589" s="93" t="s">
        <v>4973</v>
      </c>
      <c r="C589" s="11" t="str">
        <f>IFERROR(VLOOKUP(CANTIDAD[[#This Row],[Ubicación]],SAP[],3,FALSE),"")</f>
        <v/>
      </c>
      <c r="D589" s="34" t="str">
        <f>IFERROR(VLOOKUP(CANTIDAD[[#This Row],[Producto]],MARA[],3,FALSE),"")</f>
        <v/>
      </c>
      <c r="E589" s="25" t="str">
        <f>IFERROR(VLOOKUP(CANTIDAD[[#This Row],[Ubicación]],SAP[],4,FALSE),"")</f>
        <v/>
      </c>
      <c r="F589" s="25" t="str">
        <f>IFERROR(VLOOKUP(CANTIDAD[[#This Row],[Ubicación]],SAP[],8,FALSE),"")</f>
        <v/>
      </c>
      <c r="G589" s="25" t="str">
        <f>IFERROR(VLOOKUP(CANTIDAD[[#This Row],[Ubicación]],SAP[],9,FALSE),"")</f>
        <v/>
      </c>
      <c r="H589" s="25" t="str">
        <f>IFERROR(VLOOKUP(CANTIDAD[[#This Row],[Ubicación]],SAP[],5,FALSE),"")</f>
        <v/>
      </c>
      <c r="I589" s="47" t="str">
        <f>IFERROR(VLOOKUP(CANTIDAD[[#This Row],[Ubicación]],SAP[],6,FALSE),"")</f>
        <v/>
      </c>
      <c r="J589" s="25" t="str">
        <f>IFERROR(VLOOKUP(CANTIDAD[[#This Row],[Ubicación]],SAP[],7,FALSE),"")</f>
        <v/>
      </c>
      <c r="K589" s="25" t="str">
        <f>IFERROR(VLOOKUP(CANTIDAD[[#This Row],[Ubicación]],SAP[],10,FALSE),"")</f>
        <v/>
      </c>
      <c r="L589" s="51" t="str">
        <f>IFERROR(VLOOKUP(CANTIDAD[[#This Row],[Producto]],MARA[],5,FALSE),"")</f>
        <v/>
      </c>
      <c r="M589" s="51" t="str">
        <f>IFERROR(VLOOKUP(CANTIDAD[[#This Row],[Producto]],MARA[],4,FALSE),"")</f>
        <v/>
      </c>
      <c r="N589" s="136" t="s">
        <v>4974</v>
      </c>
    </row>
    <row r="590" spans="1:14" hidden="1">
      <c r="A590" s="139" t="str">
        <f t="shared" si="9"/>
        <v>PASILLO 16</v>
      </c>
      <c r="B590" s="92" t="s">
        <v>3323</v>
      </c>
      <c r="C590" s="11">
        <f>IFERROR(VLOOKUP(CANTIDAD[[#This Row],[Ubicación]],SAP[],3,FALSE),"")</f>
        <v>8305323</v>
      </c>
      <c r="D590" s="35">
        <f>IFERROR(VLOOKUP(CANTIDAD[[#This Row],[Producto]],MARA[],3,FALSE),"")</f>
        <v>27750243077723</v>
      </c>
      <c r="E590" s="26" t="str">
        <f>IFERROR(VLOOKUP(CANTIDAD[[#This Row],[Ubicación]],SAP[],4,FALSE),"")</f>
        <v>LAVAV. SAPOLIO LIMÓN 330GR 12UND. NV</v>
      </c>
      <c r="F590" s="26">
        <f>IFERROR(VLOOKUP(CANTIDAD[[#This Row],[Ubicación]],SAP[],8,FALSE),"")</f>
        <v>14</v>
      </c>
      <c r="G590" s="26" t="str">
        <f>IFERROR(VLOOKUP(CANTIDAD[[#This Row],[Ubicación]],SAP[],9,FALSE),"")</f>
        <v>CJA</v>
      </c>
      <c r="H590" s="26">
        <f>IFERROR(VLOOKUP(CANTIDAD[[#This Row],[Ubicación]],SAP[],5,FALSE),"")</f>
        <v>2607235030</v>
      </c>
      <c r="I590" s="46" t="str">
        <f>IFERROR(VLOOKUP(CANTIDAD[[#This Row],[Ubicación]],SAP[],6,FALSE),"")</f>
        <v>23/07/2028</v>
      </c>
      <c r="J590" s="26" t="str">
        <f>IFERROR(VLOOKUP(CANTIDAD[[#This Row],[Ubicación]],SAP[],7,FALSE),"")</f>
        <v>1F</v>
      </c>
      <c r="K590" s="26">
        <f>IFERROR(VLOOKUP(CANTIDAD[[#This Row],[Ubicación]],SAP[],10,FALSE),"")</f>
        <v>168</v>
      </c>
      <c r="L590" s="52">
        <f>IFERROR(VLOOKUP(CANTIDAD[[#This Row],[Producto]],MARA[],5,FALSE),"")</f>
        <v>10</v>
      </c>
      <c r="M590" s="52" t="str">
        <f>IFERROR(VLOOKUP(CANTIDAD[[#This Row],[Producto]],MARA[],4,FALSE),"")</f>
        <v>CJA</v>
      </c>
      <c r="N590" s="136" t="s">
        <v>4975</v>
      </c>
    </row>
    <row r="591" spans="1:14" hidden="1">
      <c r="A591" s="139" t="str">
        <f t="shared" si="9"/>
        <v>PASILLO 16</v>
      </c>
      <c r="B591" s="93" t="s">
        <v>4976</v>
      </c>
      <c r="C591" s="11" t="str">
        <f>IFERROR(VLOOKUP(CANTIDAD[[#This Row],[Ubicación]],SAP[],3,FALSE),"")</f>
        <v/>
      </c>
      <c r="D591" s="34" t="str">
        <f>IFERROR(VLOOKUP(CANTIDAD[[#This Row],[Producto]],MARA[],3,FALSE),"")</f>
        <v/>
      </c>
      <c r="E591" s="25" t="str">
        <f>IFERROR(VLOOKUP(CANTIDAD[[#This Row],[Ubicación]],SAP[],4,FALSE),"")</f>
        <v/>
      </c>
      <c r="F591" s="25" t="str">
        <f>IFERROR(VLOOKUP(CANTIDAD[[#This Row],[Ubicación]],SAP[],8,FALSE),"")</f>
        <v/>
      </c>
      <c r="G591" s="25" t="str">
        <f>IFERROR(VLOOKUP(CANTIDAD[[#This Row],[Ubicación]],SAP[],9,FALSE),"")</f>
        <v/>
      </c>
      <c r="H591" s="25" t="str">
        <f>IFERROR(VLOOKUP(CANTIDAD[[#This Row],[Ubicación]],SAP[],5,FALSE),"")</f>
        <v/>
      </c>
      <c r="I591" s="47" t="str">
        <f>IFERROR(VLOOKUP(CANTIDAD[[#This Row],[Ubicación]],SAP[],6,FALSE),"")</f>
        <v/>
      </c>
      <c r="J591" s="25" t="str">
        <f>IFERROR(VLOOKUP(CANTIDAD[[#This Row],[Ubicación]],SAP[],7,FALSE),"")</f>
        <v/>
      </c>
      <c r="K591" s="25" t="str">
        <f>IFERROR(VLOOKUP(CANTIDAD[[#This Row],[Ubicación]],SAP[],10,FALSE),"")</f>
        <v/>
      </c>
      <c r="L591" s="51" t="str">
        <f>IFERROR(VLOOKUP(CANTIDAD[[#This Row],[Producto]],MARA[],5,FALSE),"")</f>
        <v/>
      </c>
      <c r="M591" s="51" t="str">
        <f>IFERROR(VLOOKUP(CANTIDAD[[#This Row],[Producto]],MARA[],4,FALSE),"")</f>
        <v/>
      </c>
      <c r="N591" s="136" t="s">
        <v>4977</v>
      </c>
    </row>
    <row r="592" spans="1:14" hidden="1">
      <c r="A592" s="139" t="str">
        <f t="shared" si="9"/>
        <v>PASILLO 16</v>
      </c>
      <c r="B592" s="92" t="s">
        <v>3325</v>
      </c>
      <c r="C592" s="11">
        <f>IFERROR(VLOOKUP(CANTIDAD[[#This Row],[Ubicación]],SAP[],3,FALSE),"")</f>
        <v>8305323</v>
      </c>
      <c r="D592" s="35">
        <f>IFERROR(VLOOKUP(CANTIDAD[[#This Row],[Producto]],MARA[],3,FALSE),"")</f>
        <v>27750243077723</v>
      </c>
      <c r="E592" s="26" t="str">
        <f>IFERROR(VLOOKUP(CANTIDAD[[#This Row],[Ubicación]],SAP[],4,FALSE),"")</f>
        <v>LAVAV. SAPOLIO LIMÓN 330GR 12UND. NV</v>
      </c>
      <c r="F592" s="26">
        <f>IFERROR(VLOOKUP(CANTIDAD[[#This Row],[Ubicación]],SAP[],8,FALSE),"")</f>
        <v>19</v>
      </c>
      <c r="G592" s="26" t="str">
        <f>IFERROR(VLOOKUP(CANTIDAD[[#This Row],[Ubicación]],SAP[],9,FALSE),"")</f>
        <v>CJA</v>
      </c>
      <c r="H592" s="26">
        <f>IFERROR(VLOOKUP(CANTIDAD[[#This Row],[Ubicación]],SAP[],5,FALSE),"")</f>
        <v>2607235030</v>
      </c>
      <c r="I592" s="46" t="str">
        <f>IFERROR(VLOOKUP(CANTIDAD[[#This Row],[Ubicación]],SAP[],6,FALSE),"")</f>
        <v>23/07/2028</v>
      </c>
      <c r="J592" s="26" t="str">
        <f>IFERROR(VLOOKUP(CANTIDAD[[#This Row],[Ubicación]],SAP[],7,FALSE),"")</f>
        <v>1F</v>
      </c>
      <c r="K592" s="26">
        <f>IFERROR(VLOOKUP(CANTIDAD[[#This Row],[Ubicación]],SAP[],10,FALSE),"")</f>
        <v>228</v>
      </c>
      <c r="L592" s="52">
        <f>IFERROR(VLOOKUP(CANTIDAD[[#This Row],[Producto]],MARA[],5,FALSE),"")</f>
        <v>10</v>
      </c>
      <c r="M592" s="52" t="str">
        <f>IFERROR(VLOOKUP(CANTIDAD[[#This Row],[Producto]],MARA[],4,FALSE),"")</f>
        <v>CJA</v>
      </c>
      <c r="N592" s="136" t="s">
        <v>4978</v>
      </c>
    </row>
    <row r="593" spans="1:14" hidden="1">
      <c r="A593" s="139" t="str">
        <f t="shared" si="9"/>
        <v>PASILLO 16</v>
      </c>
      <c r="B593" s="93" t="s">
        <v>4979</v>
      </c>
      <c r="C593" s="11" t="str">
        <f>IFERROR(VLOOKUP(CANTIDAD[[#This Row],[Ubicación]],SAP[],3,FALSE),"")</f>
        <v/>
      </c>
      <c r="D593" s="34" t="str">
        <f>IFERROR(VLOOKUP(CANTIDAD[[#This Row],[Producto]],MARA[],3,FALSE),"")</f>
        <v/>
      </c>
      <c r="E593" s="25" t="str">
        <f>IFERROR(VLOOKUP(CANTIDAD[[#This Row],[Ubicación]],SAP[],4,FALSE),"")</f>
        <v/>
      </c>
      <c r="F593" s="25" t="str">
        <f>IFERROR(VLOOKUP(CANTIDAD[[#This Row],[Ubicación]],SAP[],8,FALSE),"")</f>
        <v/>
      </c>
      <c r="G593" s="25" t="str">
        <f>IFERROR(VLOOKUP(CANTIDAD[[#This Row],[Ubicación]],SAP[],9,FALSE),"")</f>
        <v/>
      </c>
      <c r="H593" s="25" t="str">
        <f>IFERROR(VLOOKUP(CANTIDAD[[#This Row],[Ubicación]],SAP[],5,FALSE),"")</f>
        <v/>
      </c>
      <c r="I593" s="47" t="str">
        <f>IFERROR(VLOOKUP(CANTIDAD[[#This Row],[Ubicación]],SAP[],6,FALSE),"")</f>
        <v/>
      </c>
      <c r="J593" s="25" t="str">
        <f>IFERROR(VLOOKUP(CANTIDAD[[#This Row],[Ubicación]],SAP[],7,FALSE),"")</f>
        <v/>
      </c>
      <c r="K593" s="25" t="str">
        <f>IFERROR(VLOOKUP(CANTIDAD[[#This Row],[Ubicación]],SAP[],10,FALSE),"")</f>
        <v/>
      </c>
      <c r="L593" s="51" t="str">
        <f>IFERROR(VLOOKUP(CANTIDAD[[#This Row],[Producto]],MARA[],5,FALSE),"")</f>
        <v/>
      </c>
      <c r="M593" s="51" t="str">
        <f>IFERROR(VLOOKUP(CANTIDAD[[#This Row],[Producto]],MARA[],4,FALSE),"")</f>
        <v/>
      </c>
      <c r="N593" s="136" t="s">
        <v>4980</v>
      </c>
    </row>
    <row r="594" spans="1:14" hidden="1">
      <c r="A594" s="139" t="str">
        <f t="shared" si="9"/>
        <v>PASILLO 16</v>
      </c>
      <c r="B594" s="92" t="s">
        <v>4208</v>
      </c>
      <c r="C594" s="11">
        <f>IFERROR(VLOOKUP(CANTIDAD[[#This Row],[Ubicación]],SAP[],3,FALSE),"")</f>
        <v>9350425</v>
      </c>
      <c r="D594" s="35">
        <f>IFERROR(VLOOKUP(CANTIDAD[[#This Row],[Producto]],MARA[],3,FALSE),"")</f>
        <v>27750243086848</v>
      </c>
      <c r="E594" s="26" t="str">
        <f>IFERROR(VLOOKUP(CANTIDAD[[#This Row],[Ubicación]],SAP[],4,FALSE),"")</f>
        <v>SUAV. BOL. FLORAL 360ML 12DYPK NV</v>
      </c>
      <c r="F594" s="26">
        <f>IFERROR(VLOOKUP(CANTIDAD[[#This Row],[Ubicación]],SAP[],8,FALSE),"")</f>
        <v>98</v>
      </c>
      <c r="G594" s="26" t="str">
        <f>IFERROR(VLOOKUP(CANTIDAD[[#This Row],[Ubicación]],SAP[],9,FALSE),"")</f>
        <v>CJA</v>
      </c>
      <c r="H594" s="26" t="str">
        <f>IFERROR(VLOOKUP(CANTIDAD[[#This Row],[Ubicación]],SAP[],5,FALSE),"")</f>
        <v>20721896M</v>
      </c>
      <c r="I594" s="46">
        <f>IFERROR(VLOOKUP(CANTIDAD[[#This Row],[Ubicación]],SAP[],6,FALSE),"")</f>
        <v>46456</v>
      </c>
      <c r="J594" s="26" t="str">
        <f>IFERROR(VLOOKUP(CANTIDAD[[#This Row],[Ubicación]],SAP[],7,FALSE),"")</f>
        <v>1F</v>
      </c>
      <c r="K594" s="27">
        <f>IFERROR(VLOOKUP(CANTIDAD[[#This Row],[Ubicación]],SAP[],10,FALSE),"")</f>
        <v>1176</v>
      </c>
      <c r="L594" s="52">
        <f>IFERROR(VLOOKUP(CANTIDAD[[#This Row],[Producto]],MARA[],5,FALSE),"")</f>
        <v>20</v>
      </c>
      <c r="M594" s="52" t="str">
        <f>IFERROR(VLOOKUP(CANTIDAD[[#This Row],[Producto]],MARA[],4,FALSE),"")</f>
        <v>CJA</v>
      </c>
      <c r="N594" s="136" t="s">
        <v>4981</v>
      </c>
    </row>
    <row r="595" spans="1:14" hidden="1">
      <c r="A595" s="139" t="str">
        <f t="shared" si="9"/>
        <v>PASILLO 16</v>
      </c>
      <c r="B595" s="93" t="s">
        <v>4982</v>
      </c>
      <c r="C595" s="11" t="str">
        <f>IFERROR(VLOOKUP(CANTIDAD[[#This Row],[Ubicación]],SAP[],3,FALSE),"")</f>
        <v/>
      </c>
      <c r="D595" s="34" t="str">
        <f>IFERROR(VLOOKUP(CANTIDAD[[#This Row],[Producto]],MARA[],3,FALSE),"")</f>
        <v/>
      </c>
      <c r="E595" s="25" t="str">
        <f>IFERROR(VLOOKUP(CANTIDAD[[#This Row],[Ubicación]],SAP[],4,FALSE),"")</f>
        <v/>
      </c>
      <c r="F595" s="25" t="str">
        <f>IFERROR(VLOOKUP(CANTIDAD[[#This Row],[Ubicación]],SAP[],8,FALSE),"")</f>
        <v/>
      </c>
      <c r="G595" s="25" t="str">
        <f>IFERROR(VLOOKUP(CANTIDAD[[#This Row],[Ubicación]],SAP[],9,FALSE),"")</f>
        <v/>
      </c>
      <c r="H595" s="25" t="str">
        <f>IFERROR(VLOOKUP(CANTIDAD[[#This Row],[Ubicación]],SAP[],5,FALSE),"")</f>
        <v/>
      </c>
      <c r="I595" s="47" t="str">
        <f>IFERROR(VLOOKUP(CANTIDAD[[#This Row],[Ubicación]],SAP[],6,FALSE),"")</f>
        <v/>
      </c>
      <c r="J595" s="25" t="str">
        <f>IFERROR(VLOOKUP(CANTIDAD[[#This Row],[Ubicación]],SAP[],7,FALSE),"")</f>
        <v/>
      </c>
      <c r="K595" s="25" t="str">
        <f>IFERROR(VLOOKUP(CANTIDAD[[#This Row],[Ubicación]],SAP[],10,FALSE),"")</f>
        <v/>
      </c>
      <c r="L595" s="51" t="str">
        <f>IFERROR(VLOOKUP(CANTIDAD[[#This Row],[Producto]],MARA[],5,FALSE),"")</f>
        <v/>
      </c>
      <c r="M595" s="51" t="str">
        <f>IFERROR(VLOOKUP(CANTIDAD[[#This Row],[Producto]],MARA[],4,FALSE),"")</f>
        <v/>
      </c>
      <c r="N595" s="136" t="s">
        <v>4983</v>
      </c>
    </row>
    <row r="596" spans="1:14" hidden="1">
      <c r="A596" s="139" t="str">
        <f t="shared" si="9"/>
        <v>PASILLO 16</v>
      </c>
      <c r="B596" s="92" t="s">
        <v>4205</v>
      </c>
      <c r="C596" s="11">
        <f>IFERROR(VLOOKUP(CANTIDAD[[#This Row],[Ubicación]],SAP[],3,FALSE),"")</f>
        <v>9350424</v>
      </c>
      <c r="D596" s="35">
        <f>IFERROR(VLOOKUP(CANTIDAD[[#This Row],[Producto]],MARA[],3,FALSE),"")</f>
        <v>27750243086831</v>
      </c>
      <c r="E596" s="26" t="str">
        <f>IFERROR(VLOOKUP(CANTIDAD[[#This Row],[Ubicación]],SAP[],4,FALSE),"")</f>
        <v>SUAV. BOL. PLUS LAVANDA 360ML 12DYPK NV</v>
      </c>
      <c r="F596" s="26">
        <f>IFERROR(VLOOKUP(CANTIDAD[[#This Row],[Ubicación]],SAP[],8,FALSE),"")</f>
        <v>17</v>
      </c>
      <c r="G596" s="26" t="str">
        <f>IFERROR(VLOOKUP(CANTIDAD[[#This Row],[Ubicación]],SAP[],9,FALSE),"")</f>
        <v>CJA</v>
      </c>
      <c r="H596" s="26" t="str">
        <f>IFERROR(VLOOKUP(CANTIDAD[[#This Row],[Ubicación]],SAP[],5,FALSE),"")</f>
        <v>20620966M</v>
      </c>
      <c r="I596" s="46" t="str">
        <f>IFERROR(VLOOKUP(CANTIDAD[[#This Row],[Ubicación]],SAP[],6,FALSE),"")</f>
        <v>25/09/2027</v>
      </c>
      <c r="J596" s="26" t="str">
        <f>IFERROR(VLOOKUP(CANTIDAD[[#This Row],[Ubicación]],SAP[],7,FALSE),"")</f>
        <v>1F</v>
      </c>
      <c r="K596" s="26">
        <f>IFERROR(VLOOKUP(CANTIDAD[[#This Row],[Ubicación]],SAP[],10,FALSE),"")</f>
        <v>204</v>
      </c>
      <c r="L596" s="52">
        <f>IFERROR(VLOOKUP(CANTIDAD[[#This Row],[Producto]],MARA[],5,FALSE),"")</f>
        <v>20</v>
      </c>
      <c r="M596" s="52" t="str">
        <f>IFERROR(VLOOKUP(CANTIDAD[[#This Row],[Producto]],MARA[],4,FALSE),"")</f>
        <v>CJA</v>
      </c>
      <c r="N596" s="136" t="s">
        <v>4984</v>
      </c>
    </row>
    <row r="597" spans="1:14" hidden="1">
      <c r="A597" s="139" t="str">
        <f t="shared" si="9"/>
        <v>PASILLO 16</v>
      </c>
      <c r="B597" s="93" t="s">
        <v>4985</v>
      </c>
      <c r="C597" s="11" t="str">
        <f>IFERROR(VLOOKUP(CANTIDAD[[#This Row],[Ubicación]],SAP[],3,FALSE),"")</f>
        <v/>
      </c>
      <c r="D597" s="34" t="str">
        <f>IFERROR(VLOOKUP(CANTIDAD[[#This Row],[Producto]],MARA[],3,FALSE),"")</f>
        <v/>
      </c>
      <c r="E597" s="25" t="str">
        <f>IFERROR(VLOOKUP(CANTIDAD[[#This Row],[Ubicación]],SAP[],4,FALSE),"")</f>
        <v/>
      </c>
      <c r="F597" s="25" t="str">
        <f>IFERROR(VLOOKUP(CANTIDAD[[#This Row],[Ubicación]],SAP[],8,FALSE),"")</f>
        <v/>
      </c>
      <c r="G597" s="25" t="str">
        <f>IFERROR(VLOOKUP(CANTIDAD[[#This Row],[Ubicación]],SAP[],9,FALSE),"")</f>
        <v/>
      </c>
      <c r="H597" s="25" t="str">
        <f>IFERROR(VLOOKUP(CANTIDAD[[#This Row],[Ubicación]],SAP[],5,FALSE),"")</f>
        <v/>
      </c>
      <c r="I597" s="47" t="str">
        <f>IFERROR(VLOOKUP(CANTIDAD[[#This Row],[Ubicación]],SAP[],6,FALSE),"")</f>
        <v/>
      </c>
      <c r="J597" s="25" t="str">
        <f>IFERROR(VLOOKUP(CANTIDAD[[#This Row],[Ubicación]],SAP[],7,FALSE),"")</f>
        <v/>
      </c>
      <c r="K597" s="25" t="str">
        <f>IFERROR(VLOOKUP(CANTIDAD[[#This Row],[Ubicación]],SAP[],10,FALSE),"")</f>
        <v/>
      </c>
      <c r="L597" s="51" t="str">
        <f>IFERROR(VLOOKUP(CANTIDAD[[#This Row],[Producto]],MARA[],5,FALSE),"")</f>
        <v/>
      </c>
      <c r="M597" s="51" t="str">
        <f>IFERROR(VLOOKUP(CANTIDAD[[#This Row],[Producto]],MARA[],4,FALSE),"")</f>
        <v/>
      </c>
      <c r="N597" s="136" t="s">
        <v>4986</v>
      </c>
    </row>
    <row r="598" spans="1:14" hidden="1">
      <c r="A598" s="139" t="str">
        <f t="shared" si="9"/>
        <v>PASILLO 16</v>
      </c>
      <c r="B598" s="92" t="s">
        <v>4987</v>
      </c>
      <c r="C598" s="11" t="str">
        <f>IFERROR(VLOOKUP(CANTIDAD[[#This Row],[Ubicación]],SAP[],3,FALSE),"")</f>
        <v/>
      </c>
      <c r="D598" s="35" t="str">
        <f>IFERROR(VLOOKUP(CANTIDAD[[#This Row],[Producto]],MARA[],3,FALSE),"")</f>
        <v/>
      </c>
      <c r="E598" s="26" t="str">
        <f>IFERROR(VLOOKUP(CANTIDAD[[#This Row],[Ubicación]],SAP[],4,FALSE),"")</f>
        <v/>
      </c>
      <c r="F598" s="26" t="str">
        <f>IFERROR(VLOOKUP(CANTIDAD[[#This Row],[Ubicación]],SAP[],8,FALSE),"")</f>
        <v/>
      </c>
      <c r="G598" s="26" t="str">
        <f>IFERROR(VLOOKUP(CANTIDAD[[#This Row],[Ubicación]],SAP[],9,FALSE),"")</f>
        <v/>
      </c>
      <c r="H598" s="26" t="str">
        <f>IFERROR(VLOOKUP(CANTIDAD[[#This Row],[Ubicación]],SAP[],5,FALSE),"")</f>
        <v/>
      </c>
      <c r="I598" s="46" t="str">
        <f>IFERROR(VLOOKUP(CANTIDAD[[#This Row],[Ubicación]],SAP[],6,FALSE),"")</f>
        <v/>
      </c>
      <c r="J598" s="26" t="str">
        <f>IFERROR(VLOOKUP(CANTIDAD[[#This Row],[Ubicación]],SAP[],7,FALSE),"")</f>
        <v/>
      </c>
      <c r="K598" s="26" t="str">
        <f>IFERROR(VLOOKUP(CANTIDAD[[#This Row],[Ubicación]],SAP[],10,FALSE),"")</f>
        <v/>
      </c>
      <c r="L598" s="52" t="str">
        <f>IFERROR(VLOOKUP(CANTIDAD[[#This Row],[Producto]],MARA[],5,FALSE),"")</f>
        <v/>
      </c>
      <c r="M598" s="52" t="str">
        <f>IFERROR(VLOOKUP(CANTIDAD[[#This Row],[Producto]],MARA[],4,FALSE),"")</f>
        <v/>
      </c>
      <c r="N598" s="136" t="s">
        <v>4988</v>
      </c>
    </row>
    <row r="599" spans="1:14" hidden="1">
      <c r="A599" s="139" t="str">
        <f t="shared" si="9"/>
        <v>PASILLO 16</v>
      </c>
      <c r="B599" s="93" t="s">
        <v>4989</v>
      </c>
      <c r="C599" s="11" t="str">
        <f>IFERROR(VLOOKUP(CANTIDAD[[#This Row],[Ubicación]],SAP[],3,FALSE),"")</f>
        <v/>
      </c>
      <c r="D599" s="34" t="str">
        <f>IFERROR(VLOOKUP(CANTIDAD[[#This Row],[Producto]],MARA[],3,FALSE),"")</f>
        <v/>
      </c>
      <c r="E599" s="25" t="str">
        <f>IFERROR(VLOOKUP(CANTIDAD[[#This Row],[Ubicación]],SAP[],4,FALSE),"")</f>
        <v/>
      </c>
      <c r="F599" s="25" t="str">
        <f>IFERROR(VLOOKUP(CANTIDAD[[#This Row],[Ubicación]],SAP[],8,FALSE),"")</f>
        <v/>
      </c>
      <c r="G599" s="25" t="str">
        <f>IFERROR(VLOOKUP(CANTIDAD[[#This Row],[Ubicación]],SAP[],9,FALSE),"")</f>
        <v/>
      </c>
      <c r="H599" s="25" t="str">
        <f>IFERROR(VLOOKUP(CANTIDAD[[#This Row],[Ubicación]],SAP[],5,FALSE),"")</f>
        <v/>
      </c>
      <c r="I599" s="47" t="str">
        <f>IFERROR(VLOOKUP(CANTIDAD[[#This Row],[Ubicación]],SAP[],6,FALSE),"")</f>
        <v/>
      </c>
      <c r="J599" s="25" t="str">
        <f>IFERROR(VLOOKUP(CANTIDAD[[#This Row],[Ubicación]],SAP[],7,FALSE),"")</f>
        <v/>
      </c>
      <c r="K599" s="25" t="str">
        <f>IFERROR(VLOOKUP(CANTIDAD[[#This Row],[Ubicación]],SAP[],10,FALSE),"")</f>
        <v/>
      </c>
      <c r="L599" s="51" t="str">
        <f>IFERROR(VLOOKUP(CANTIDAD[[#This Row],[Producto]],MARA[],5,FALSE),"")</f>
        <v/>
      </c>
      <c r="M599" s="51" t="str">
        <f>IFERROR(VLOOKUP(CANTIDAD[[#This Row],[Producto]],MARA[],4,FALSE),"")</f>
        <v/>
      </c>
      <c r="N599" s="136" t="s">
        <v>4990</v>
      </c>
    </row>
    <row r="600" spans="1:14" hidden="1">
      <c r="A600" s="139" t="str">
        <f t="shared" si="9"/>
        <v>PASILLO 16</v>
      </c>
      <c r="B600" s="92" t="s">
        <v>4991</v>
      </c>
      <c r="C600" s="11" t="str">
        <f>IFERROR(VLOOKUP(CANTIDAD[[#This Row],[Ubicación]],SAP[],3,FALSE),"")</f>
        <v/>
      </c>
      <c r="D600" s="35" t="str">
        <f>IFERROR(VLOOKUP(CANTIDAD[[#This Row],[Producto]],MARA[],3,FALSE),"")</f>
        <v/>
      </c>
      <c r="E600" s="26" t="str">
        <f>IFERROR(VLOOKUP(CANTIDAD[[#This Row],[Ubicación]],SAP[],4,FALSE),"")</f>
        <v/>
      </c>
      <c r="F600" s="26" t="str">
        <f>IFERROR(VLOOKUP(CANTIDAD[[#This Row],[Ubicación]],SAP[],8,FALSE),"")</f>
        <v/>
      </c>
      <c r="G600" s="26" t="str">
        <f>IFERROR(VLOOKUP(CANTIDAD[[#This Row],[Ubicación]],SAP[],9,FALSE),"")</f>
        <v/>
      </c>
      <c r="H600" s="26" t="str">
        <f>IFERROR(VLOOKUP(CANTIDAD[[#This Row],[Ubicación]],SAP[],5,FALSE),"")</f>
        <v/>
      </c>
      <c r="I600" s="46" t="str">
        <f>IFERROR(VLOOKUP(CANTIDAD[[#This Row],[Ubicación]],SAP[],6,FALSE),"")</f>
        <v/>
      </c>
      <c r="J600" s="26" t="str">
        <f>IFERROR(VLOOKUP(CANTIDAD[[#This Row],[Ubicación]],SAP[],7,FALSE),"")</f>
        <v/>
      </c>
      <c r="K600" s="26" t="str">
        <f>IFERROR(VLOOKUP(CANTIDAD[[#This Row],[Ubicación]],SAP[],10,FALSE),"")</f>
        <v/>
      </c>
      <c r="L600" s="52" t="str">
        <f>IFERROR(VLOOKUP(CANTIDAD[[#This Row],[Producto]],MARA[],5,FALSE),"")</f>
        <v/>
      </c>
      <c r="M600" s="52" t="str">
        <f>IFERROR(VLOOKUP(CANTIDAD[[#This Row],[Producto]],MARA[],4,FALSE),"")</f>
        <v/>
      </c>
      <c r="N600" s="136" t="s">
        <v>4992</v>
      </c>
    </row>
    <row r="601" spans="1:14" hidden="1">
      <c r="A601" s="139" t="str">
        <f t="shared" si="9"/>
        <v>PASILLO 16</v>
      </c>
      <c r="B601" s="99" t="s">
        <v>4993</v>
      </c>
      <c r="C601" s="11" t="str">
        <f>IFERROR(VLOOKUP(CANTIDAD[[#This Row],[Ubicación]],SAP[],3,FALSE),"")</f>
        <v/>
      </c>
      <c r="D601" s="100" t="str">
        <f>IFERROR(VLOOKUP(CANTIDAD[[#This Row],[Producto]],MARA[],3,FALSE),"")</f>
        <v/>
      </c>
      <c r="E601" s="90" t="str">
        <f>IFERROR(VLOOKUP(CANTIDAD[[#This Row],[Ubicación]],SAP[],4,FALSE),"")</f>
        <v/>
      </c>
      <c r="F601" s="90" t="str">
        <f>IFERROR(VLOOKUP(CANTIDAD[[#This Row],[Ubicación]],SAP[],8,FALSE),"")</f>
        <v/>
      </c>
      <c r="G601" s="90" t="str">
        <f>IFERROR(VLOOKUP(CANTIDAD[[#This Row],[Ubicación]],SAP[],9,FALSE),"")</f>
        <v/>
      </c>
      <c r="H601" s="90" t="str">
        <f>IFERROR(VLOOKUP(CANTIDAD[[#This Row],[Ubicación]],SAP[],5,FALSE),"")</f>
        <v/>
      </c>
      <c r="I601" s="120" t="str">
        <f>IFERROR(VLOOKUP(CANTIDAD[[#This Row],[Ubicación]],SAP[],6,FALSE),"")</f>
        <v/>
      </c>
      <c r="J601" s="90" t="str">
        <f>IFERROR(VLOOKUP(CANTIDAD[[#This Row],[Ubicación]],SAP[],7,FALSE),"")</f>
        <v/>
      </c>
      <c r="K601" s="90" t="str">
        <f>IFERROR(VLOOKUP(CANTIDAD[[#This Row],[Ubicación]],SAP[],10,FALSE),"")</f>
        <v/>
      </c>
      <c r="L601" s="101" t="str">
        <f>IFERROR(VLOOKUP(CANTIDAD[[#This Row],[Producto]],MARA[],5,FALSE),"")</f>
        <v/>
      </c>
      <c r="M601" s="101" t="str">
        <f>IFERROR(VLOOKUP(CANTIDAD[[#This Row],[Producto]],MARA[],4,FALSE),"")</f>
        <v/>
      </c>
      <c r="N601" s="136" t="s">
        <v>4994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1A17-C276-470D-843E-19EC60089C39}">
  <dimension ref="A1:B7"/>
  <sheetViews>
    <sheetView workbookViewId="0">
      <selection activeCell="B11" sqref="B11"/>
    </sheetView>
  </sheetViews>
  <sheetFormatPr defaultRowHeight="15"/>
  <cols>
    <col min="1" max="1" width="31.140625" customWidth="1"/>
  </cols>
  <sheetData>
    <row r="1" spans="1:2">
      <c r="A1" s="1" t="s">
        <v>4995</v>
      </c>
      <c r="B1" s="1" t="s">
        <v>7</v>
      </c>
    </row>
    <row r="2" spans="1:2">
      <c r="A2" t="s">
        <v>4996</v>
      </c>
      <c r="B2" t="s">
        <v>4997</v>
      </c>
    </row>
    <row r="3" spans="1:2">
      <c r="A3" t="s">
        <v>4998</v>
      </c>
      <c r="B3" t="s">
        <v>4999</v>
      </c>
    </row>
    <row r="4" spans="1:2">
      <c r="A4" t="s">
        <v>5000</v>
      </c>
      <c r="B4" t="s">
        <v>5001</v>
      </c>
    </row>
    <row r="5" spans="1:2">
      <c r="A5" t="s">
        <v>5002</v>
      </c>
      <c r="B5" t="s">
        <v>5003</v>
      </c>
    </row>
    <row r="6" spans="1:2">
      <c r="A6" t="s">
        <v>5004</v>
      </c>
      <c r="B6" t="s">
        <v>5005</v>
      </c>
    </row>
    <row r="7" spans="1:2">
      <c r="A7" t="s">
        <v>5006</v>
      </c>
      <c r="B7" t="s">
        <v>5007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14"/>
  <sheetViews>
    <sheetView zoomScaleNormal="100" workbookViewId="0">
      <selection activeCell="G2" sqref="G2:H14"/>
    </sheetView>
  </sheetViews>
  <sheetFormatPr defaultColWidth="8.7109375" defaultRowHeight="15"/>
  <cols>
    <col min="1" max="3" width="14" customWidth="1"/>
    <col min="4" max="5" width="22.28515625" customWidth="1"/>
    <col min="6" max="6" width="19.7109375" style="4" customWidth="1"/>
    <col min="7" max="7" width="19.140625" customWidth="1"/>
    <col min="8" max="9" width="20.85546875" customWidth="1"/>
    <col min="10" max="10" width="16.85546875" customWidth="1"/>
    <col min="11" max="11" width="22.42578125" customWidth="1"/>
    <col min="12" max="12" width="28.7109375" customWidth="1"/>
  </cols>
  <sheetData>
    <row r="1" spans="1:14">
      <c r="A1" s="1" t="s">
        <v>5008</v>
      </c>
      <c r="B1" s="1" t="s">
        <v>5009</v>
      </c>
      <c r="C1" s="1" t="s">
        <v>5010</v>
      </c>
      <c r="D1" s="125" t="s">
        <v>5011</v>
      </c>
      <c r="E1" s="125" t="s">
        <v>5012</v>
      </c>
      <c r="F1" s="125" t="s">
        <v>5013</v>
      </c>
      <c r="G1" s="3" t="s">
        <v>5014</v>
      </c>
      <c r="H1" s="1" t="s">
        <v>5015</v>
      </c>
      <c r="I1" s="122" t="s">
        <v>5016</v>
      </c>
      <c r="J1" s="122" t="s">
        <v>5017</v>
      </c>
      <c r="K1" s="123" t="s">
        <v>5018</v>
      </c>
      <c r="L1" s="123" t="s">
        <v>5019</v>
      </c>
      <c r="M1" s="123" t="s">
        <v>5020</v>
      </c>
      <c r="N1" s="123" t="s">
        <v>7</v>
      </c>
    </row>
    <row r="2" spans="1:14">
      <c r="A2" s="5" t="s">
        <v>5021</v>
      </c>
      <c r="B2" s="5" t="s">
        <v>5022</v>
      </c>
      <c r="C2" s="5" t="s">
        <v>4996</v>
      </c>
      <c r="D2" s="6">
        <f>IFERROR(Tiempos[[#This Row],[Ub. Registradas]]/Tiempos[[#This Row],[Total de Ubicaciones]],"")</f>
        <v>0.05</v>
      </c>
      <c r="E2" s="5" cm="1">
        <f t="array" ref="E2">IFERROR(ROWS(_xlfn.UNIQUE(_xlfn._xlws.FILTER('Registros'!D:D, ('Registros'!C:C=Tiempos[[#This Row],[Pasillo]]) * ('Registros'!E:E&lt;&gt;"")))), 0)</f>
        <v>2</v>
      </c>
      <c r="F2" s="5">
        <f>COUNTIF('CRUCE'!A:A, Tiempos[[#This Row],[Pasillo]])</f>
        <v>40</v>
      </c>
      <c r="G2" s="7">
        <v>46293.748809861099</v>
      </c>
      <c r="H2" s="10"/>
      <c r="I2" s="126" t="str">
        <f>IF(OR(Tiempos[[#This Row],[Inicio]]="", Tiempos[[#This Row],[Fin]]=""), "", (Tiempos[[#This Row],[Fin]]-Tiempos[[#This Row],[Inicio]])*1440)</f>
        <v/>
      </c>
      <c r="J2" s="8">
        <f>COUNTIFS(CRUCE[PASILLO], Tiempos[[#This Row],[Pasillo]], CRUCE[STATUS], "&lt;&gt;CUADRADO",CRUCE[STATUS], "&lt;&gt;PENDIENTE")</f>
        <v>0</v>
      </c>
      <c r="K2" s="9" t="str">
        <f>IF(Tiempos[[#This Row],[Estado]]="PENDIENTE", "", IF(Tiempos[[#This Row],[DIFERENCIAS]]=0, "Cuadrado", "Reconteo"))</f>
        <v>Cuadrado</v>
      </c>
      <c r="L2" s="9">
        <f>COUNTIFS(CRUCE[PASILLO], Tiempos[[#This Row],[Pasillo]], CRUCE[STATUS2], "&lt;&gt;CUADRADO",CRUCE[STATUS2], "&lt;&gt;PENDIENTE")</f>
        <v>0</v>
      </c>
      <c r="M2" s="9" t="str">
        <f>IF(Tiempos[[#This Row],[STATUS]]="cuadrado", "", IF(Tiempos[[#This Row],[DIFERENCIAS2]]=0, "Cuadrado", "Reconteo"))</f>
        <v/>
      </c>
      <c r="N2" s="134" t="s">
        <v>5023</v>
      </c>
    </row>
    <row r="3" spans="1:14">
      <c r="A3" s="5" t="s">
        <v>5024</v>
      </c>
      <c r="B3" s="5" t="s">
        <v>5025</v>
      </c>
      <c r="C3" s="8"/>
      <c r="D3" s="114">
        <f>IFERROR(Tiempos[[#This Row],[Ub. Registradas]]/Tiempos[[#This Row],[Total de Ubicaciones]],"")</f>
        <v>0</v>
      </c>
      <c r="E3" s="5" cm="1">
        <f t="array" ref="E3">IFERROR(ROWS(_xlfn.UNIQUE(_xlfn._xlws.FILTER('Registros'!D:D, ('Registros'!C:C=Tiempos[[#This Row],[Pasillo]]) * ('Registros'!E:E&lt;&gt;"")))), 0)</f>
        <v>0</v>
      </c>
      <c r="F3" s="5">
        <f>COUNTIF('CRUCE'!A:A, Tiempos[[#This Row],[Pasillo]])</f>
        <v>48</v>
      </c>
      <c r="G3" s="7"/>
      <c r="H3" s="10"/>
      <c r="I3" s="126" t="str">
        <f>IF(OR(Tiempos[[#This Row],[Inicio]]="", Tiempos[[#This Row],[Fin]]=""), "", (Tiempos[[#This Row],[Fin]]-Tiempos[[#This Row],[Inicio]])*1440)</f>
        <v/>
      </c>
      <c r="J3" s="8">
        <f>COUNTIFS(CRUCE[PASILLO], Tiempos[[#This Row],[Pasillo]], CRUCE[STATUS], "&lt;&gt;CUADRADO",CRUCE[STATUS], "&lt;&gt;PENDIENTE")</f>
        <v>0</v>
      </c>
      <c r="K3" s="9" t="str">
        <f>IF(Tiempos[[#This Row],[Estado]]="PENDIENTE", "", IF(Tiempos[[#This Row],[DIFERENCIAS]]=0, "Cuadrado", "Reconteo"))</f>
        <v/>
      </c>
      <c r="L3" s="9">
        <f>COUNTIFS(CRUCE[PASILLO], Tiempos[[#This Row],[Pasillo]], CRUCE[STATUS2], "&lt;&gt;CUADRADO",CRUCE[STATUS2], "&lt;&gt;PENDIENTE")</f>
        <v>0</v>
      </c>
      <c r="M3" s="9" t="str">
        <f>IF(Tiempos[[#This Row],[STATUS]]="cuadrado", "", IF(Tiempos[[#This Row],[DIFERENCIAS2]]=0, "Cuadrado", "Reconteo"))</f>
        <v>Cuadrado</v>
      </c>
      <c r="N3" s="134" t="s">
        <v>5026</v>
      </c>
    </row>
    <row r="4" spans="1:14">
      <c r="A4" s="5" t="s">
        <v>5027</v>
      </c>
      <c r="B4" s="5" t="s">
        <v>5025</v>
      </c>
      <c r="C4" s="8"/>
      <c r="D4" s="114">
        <f>IFERROR(Tiempos[[#This Row],[Ub. Registradas]]/Tiempos[[#This Row],[Total de Ubicaciones]],"")</f>
        <v>0</v>
      </c>
      <c r="E4" s="5" cm="1">
        <f t="array" ref="E4">IFERROR(ROWS(_xlfn.UNIQUE(_xlfn._xlws.FILTER('Registros'!D:D, ('Registros'!C:C=Tiempos[[#This Row],[Pasillo]]) * ('Registros'!E:E&lt;&gt;"")))), 0)</f>
        <v>0</v>
      </c>
      <c r="F4" s="5">
        <f>COUNTIF('CRUCE'!A:A, Tiempos[[#This Row],[Pasillo]])</f>
        <v>51</v>
      </c>
      <c r="G4" s="10"/>
      <c r="H4" s="10"/>
      <c r="I4" s="126" t="str">
        <f>IF(OR(Tiempos[[#This Row],[Inicio]]="", Tiempos[[#This Row],[Fin]]=""), "", (Tiempos[[#This Row],[Fin]]-Tiempos[[#This Row],[Inicio]])*1440)</f>
        <v/>
      </c>
      <c r="J4" s="8">
        <f>COUNTIFS(CRUCE[PASILLO], Tiempos[[#This Row],[Pasillo]], CRUCE[STATUS], "&lt;&gt;CUADRADO",CRUCE[STATUS], "&lt;&gt;PENDIENTE")</f>
        <v>0</v>
      </c>
      <c r="K4" s="9" t="str">
        <f>IF(Tiempos[[#This Row],[Estado]]="PENDIENTE", "", IF(Tiempos[[#This Row],[DIFERENCIAS]]=0, "Cuadrado", "Reconteo"))</f>
        <v/>
      </c>
      <c r="L4" s="9">
        <f>COUNTIFS(CRUCE[PASILLO], Tiempos[[#This Row],[Pasillo]], CRUCE[STATUS2], "&lt;&gt;CUADRADO",CRUCE[STATUS2], "&lt;&gt;PENDIENTE")</f>
        <v>0</v>
      </c>
      <c r="M4" s="9" t="str">
        <f>IF(Tiempos[[#This Row],[STATUS]]="cuadrado", "", IF(Tiempos[[#This Row],[DIFERENCIAS2]]=0, "Cuadrado", "Reconteo"))</f>
        <v>Cuadrado</v>
      </c>
      <c r="N4" s="134" t="s">
        <v>5028</v>
      </c>
    </row>
    <row r="5" spans="1:14">
      <c r="A5" s="5" t="s">
        <v>5029</v>
      </c>
      <c r="B5" s="5" t="s">
        <v>5025</v>
      </c>
      <c r="C5" s="8"/>
      <c r="D5" s="114">
        <f>IFERROR(Tiempos[[#This Row],[Ub. Registradas]]/Tiempos[[#This Row],[Total de Ubicaciones]],"")</f>
        <v>0</v>
      </c>
      <c r="E5" s="5" cm="1">
        <f t="array" ref="E5">IFERROR(ROWS(_xlfn.UNIQUE(_xlfn._xlws.FILTER('Registros'!D:D, ('Registros'!C:C=Tiempos[[#This Row],[Pasillo]]) * ('Registros'!E:E&lt;&gt;"")))), 0)</f>
        <v>0</v>
      </c>
      <c r="F5" s="5">
        <f>COUNTIF('CRUCE'!A:A, Tiempos[[#This Row],[Pasillo]])</f>
        <v>51</v>
      </c>
      <c r="G5" s="10"/>
      <c r="H5" s="10"/>
      <c r="I5" s="126" t="str">
        <f>IF(OR(Tiempos[[#This Row],[Inicio]]="", Tiempos[[#This Row],[Fin]]=""), "", (Tiempos[[#This Row],[Fin]]-Tiempos[[#This Row],[Inicio]])*1440)</f>
        <v/>
      </c>
      <c r="J5" s="8">
        <f>COUNTIFS(CRUCE[PASILLO], Tiempos[[#This Row],[Pasillo]], CRUCE[STATUS], "&lt;&gt;CUADRADO",CRUCE[STATUS], "&lt;&gt;PENDIENTE")</f>
        <v>0</v>
      </c>
      <c r="K5" s="9" t="str">
        <f>IF(Tiempos[[#This Row],[Estado]]="PENDIENTE", "", IF(Tiempos[[#This Row],[DIFERENCIAS]]=0, "Cuadrado", "Reconteo"))</f>
        <v/>
      </c>
      <c r="L5" s="9">
        <f>COUNTIFS(CRUCE[PASILLO], Tiempos[[#This Row],[Pasillo]], CRUCE[STATUS2], "&lt;&gt;CUADRADO",CRUCE[STATUS2], "&lt;&gt;PENDIENTE")</f>
        <v>0</v>
      </c>
      <c r="M5" s="9" t="str">
        <f>IF(Tiempos[[#This Row],[STATUS]]="cuadrado", "", IF(Tiempos[[#This Row],[DIFERENCIAS2]]=0, "Cuadrado", "Reconteo"))</f>
        <v>Cuadrado</v>
      </c>
      <c r="N5" s="134" t="s">
        <v>5030</v>
      </c>
    </row>
    <row r="6" spans="1:14">
      <c r="A6" s="5" t="s">
        <v>5031</v>
      </c>
      <c r="B6" s="5" t="s">
        <v>5025</v>
      </c>
      <c r="C6" s="8"/>
      <c r="D6" s="114">
        <f>IFERROR(Tiempos[[#This Row],[Ub. Registradas]]/Tiempos[[#This Row],[Total de Ubicaciones]],"")</f>
        <v>0</v>
      </c>
      <c r="E6" s="5" cm="1">
        <f t="array" ref="E6">IFERROR(ROWS(_xlfn.UNIQUE(_xlfn._xlws.FILTER('Registros'!D:D, ('Registros'!C:C=Tiempos[[#This Row],[Pasillo]]) * ('Registros'!E:E&lt;&gt;"")))), 0)</f>
        <v>0</v>
      </c>
      <c r="F6" s="5">
        <f>COUNTIF('CRUCE'!A:A, Tiempos[[#This Row],[Pasillo]])</f>
        <v>52</v>
      </c>
      <c r="G6" s="10"/>
      <c r="H6" s="10"/>
      <c r="I6" s="126" t="str">
        <f>IF(OR(Tiempos[[#This Row],[Inicio]]="", Tiempos[[#This Row],[Fin]]=""), "", (Tiempos[[#This Row],[Fin]]-Tiempos[[#This Row],[Inicio]])*1440)</f>
        <v/>
      </c>
      <c r="J6" s="8">
        <f>COUNTIFS(CRUCE[PASILLO], Tiempos[[#This Row],[Pasillo]], CRUCE[STATUS], "&lt;&gt;CUADRADO",CRUCE[STATUS], "&lt;&gt;PENDIENTE")</f>
        <v>0</v>
      </c>
      <c r="K6" s="9" t="str">
        <f>IF(Tiempos[[#This Row],[Estado]]="PENDIENTE", "", IF(Tiempos[[#This Row],[DIFERENCIAS]]=0, "Cuadrado", "Reconteo"))</f>
        <v/>
      </c>
      <c r="L6" s="9">
        <f>COUNTIFS(CRUCE[PASILLO], Tiempos[[#This Row],[Pasillo]], CRUCE[STATUS2], "&lt;&gt;CUADRADO",CRUCE[STATUS2], "&lt;&gt;PENDIENTE")</f>
        <v>1</v>
      </c>
      <c r="M6" s="9" t="str">
        <f>IF(Tiempos[[#This Row],[STATUS]]="cuadrado", "", IF(Tiempos[[#This Row],[DIFERENCIAS2]]=0, "Cuadrado", "Reconteo"))</f>
        <v>Reconteo</v>
      </c>
      <c r="N6" s="134" t="s">
        <v>5032</v>
      </c>
    </row>
    <row r="7" spans="1:14">
      <c r="A7" s="5" t="s">
        <v>5033</v>
      </c>
      <c r="B7" s="5" t="s">
        <v>5025</v>
      </c>
      <c r="C7" s="8"/>
      <c r="D7" s="114">
        <f>IFERROR(Tiempos[[#This Row],[Ub. Registradas]]/Tiempos[[#This Row],[Total de Ubicaciones]],"")</f>
        <v>0</v>
      </c>
      <c r="E7" s="5" cm="1">
        <f t="array" ref="E7">IFERROR(ROWS(_xlfn.UNIQUE(_xlfn._xlws.FILTER('Registros'!D:D, ('Registros'!C:C=Tiempos[[#This Row],[Pasillo]]) * ('Registros'!E:E&lt;&gt;"")))), 0)</f>
        <v>0</v>
      </c>
      <c r="F7" s="5">
        <f>COUNTIF('CRUCE'!A:A, Tiempos[[#This Row],[Pasillo]])</f>
        <v>51</v>
      </c>
      <c r="G7" s="10"/>
      <c r="H7" s="7"/>
      <c r="I7" s="126" t="str">
        <f>IF(OR(Tiempos[[#This Row],[Inicio]]="", Tiempos[[#This Row],[Fin]]=""), "", (Tiempos[[#This Row],[Fin]]-Tiempos[[#This Row],[Inicio]])*1440)</f>
        <v/>
      </c>
      <c r="J7" s="8">
        <f>COUNTIFS(CRUCE[PASILLO], Tiempos[[#This Row],[Pasillo]], CRUCE[STATUS], "&lt;&gt;CUADRADO",CRUCE[STATUS], "&lt;&gt;PENDIENTE")</f>
        <v>0</v>
      </c>
      <c r="K7" s="9" t="str">
        <f>IF(Tiempos[[#This Row],[Estado]]="PENDIENTE", "", IF(Tiempos[[#This Row],[DIFERENCIAS]]=0, "Cuadrado", "Reconteo"))</f>
        <v/>
      </c>
      <c r="L7" s="9">
        <f>COUNTIFS(CRUCE[PASILLO], Tiempos[[#This Row],[Pasillo]], CRUCE[STATUS2], "&lt;&gt;CUADRADO",CRUCE[STATUS2], "&lt;&gt;PENDIENTE")</f>
        <v>0</v>
      </c>
      <c r="M7" s="9" t="str">
        <f>IF(Tiempos[[#This Row],[STATUS]]="cuadrado", "", IF(Tiempos[[#This Row],[DIFERENCIAS2]]=0, "Cuadrado", "Reconteo"))</f>
        <v>Cuadrado</v>
      </c>
      <c r="N7" s="134" t="s">
        <v>5034</v>
      </c>
    </row>
    <row r="8" spans="1:14">
      <c r="A8" s="5" t="s">
        <v>5035</v>
      </c>
      <c r="B8" s="5" t="s">
        <v>5025</v>
      </c>
      <c r="C8" s="8"/>
      <c r="D8" s="114">
        <f>IFERROR(Tiempos[[#This Row],[Ub. Registradas]]/Tiempos[[#This Row],[Total de Ubicaciones]],"")</f>
        <v>0</v>
      </c>
      <c r="E8" s="5" cm="1">
        <f t="array" ref="E8">IFERROR(ROWS(_xlfn.UNIQUE(_xlfn._xlws.FILTER('Registros'!D:D, ('Registros'!C:C=Tiempos[[#This Row],[Pasillo]]) * ('Registros'!E:E&lt;&gt;"")))), 0)</f>
        <v>0</v>
      </c>
      <c r="F8" s="5">
        <f>COUNTIF('CRUCE'!A:A, Tiempos[[#This Row],[Pasillo]])</f>
        <v>51</v>
      </c>
      <c r="G8" s="7"/>
      <c r="H8" s="10"/>
      <c r="I8" s="126" t="str">
        <f>IF(OR(Tiempos[[#This Row],[Inicio]]="", Tiempos[[#This Row],[Fin]]=""), "", (Tiempos[[#This Row],[Fin]]-Tiempos[[#This Row],[Inicio]])*1440)</f>
        <v/>
      </c>
      <c r="J8" s="8">
        <f>COUNTIFS(CRUCE[PASILLO], Tiempos[[#This Row],[Pasillo]], CRUCE[STATUS], "&lt;&gt;CUADRADO",CRUCE[STATUS], "&lt;&gt;PENDIENTE")</f>
        <v>0</v>
      </c>
      <c r="K8" s="9" t="str">
        <f>IF(Tiempos[[#This Row],[Estado]]="PENDIENTE", "", IF(Tiempos[[#This Row],[DIFERENCIAS]]=0, "Cuadrado", "Reconteo"))</f>
        <v/>
      </c>
      <c r="L8" s="9">
        <f>COUNTIFS(CRUCE[PASILLO], Tiempos[[#This Row],[Pasillo]], CRUCE[STATUS2], "&lt;&gt;CUADRADO",CRUCE[STATUS2], "&lt;&gt;PENDIENTE")</f>
        <v>0</v>
      </c>
      <c r="M8" s="9" t="str">
        <f>IF(Tiempos[[#This Row],[STATUS]]="cuadrado", "", IF(Tiempos[[#This Row],[DIFERENCIAS2]]=0, "Cuadrado", "Reconteo"))</f>
        <v>Cuadrado</v>
      </c>
      <c r="N8" s="134" t="s">
        <v>5036</v>
      </c>
    </row>
    <row r="9" spans="1:14">
      <c r="A9" s="5" t="s">
        <v>5037</v>
      </c>
      <c r="B9" s="5" t="s">
        <v>5025</v>
      </c>
      <c r="C9" s="8"/>
      <c r="D9" s="114">
        <f>IFERROR(Tiempos[[#This Row],[Ub. Registradas]]/Tiempos[[#This Row],[Total de Ubicaciones]],"")</f>
        <v>0</v>
      </c>
      <c r="E9" s="5" cm="1">
        <f t="array" ref="E9">IFERROR(ROWS(_xlfn.UNIQUE(_xlfn._xlws.FILTER('Registros'!D:D, ('Registros'!C:C=Tiempos[[#This Row],[Pasillo]]) * ('Registros'!E:E&lt;&gt;"")))), 0)</f>
        <v>0</v>
      </c>
      <c r="F9" s="5">
        <f>COUNTIF('CRUCE'!A:A, Tiempos[[#This Row],[Pasillo]])</f>
        <v>52</v>
      </c>
      <c r="G9" s="10"/>
      <c r="H9" s="10"/>
      <c r="I9" s="126" t="str">
        <f>IF(OR(Tiempos[[#This Row],[Inicio]]="", Tiempos[[#This Row],[Fin]]=""), "", (Tiempos[[#This Row],[Fin]]-Tiempos[[#This Row],[Inicio]])*1440)</f>
        <v/>
      </c>
      <c r="J9" s="8">
        <f>COUNTIFS(CRUCE[PASILLO], Tiempos[[#This Row],[Pasillo]], CRUCE[STATUS], "&lt;&gt;CUADRADO",CRUCE[STATUS], "&lt;&gt;PENDIENTE")</f>
        <v>0</v>
      </c>
      <c r="K9" s="9" t="str">
        <f>IF(Tiempos[[#This Row],[Estado]]="PENDIENTE", "", IF(Tiempos[[#This Row],[DIFERENCIAS]]=0, "Cuadrado", "Reconteo"))</f>
        <v/>
      </c>
      <c r="L9" s="9">
        <f>COUNTIFS(CRUCE[PASILLO], Tiempos[[#This Row],[Pasillo]], CRUCE[STATUS2], "&lt;&gt;CUADRADO",CRUCE[STATUS2], "&lt;&gt;PENDIENTE")</f>
        <v>0</v>
      </c>
      <c r="M9" s="9" t="str">
        <f>IF(Tiempos[[#This Row],[STATUS]]="cuadrado", "", IF(Tiempos[[#This Row],[DIFERENCIAS2]]=0, "Cuadrado", "Reconteo"))</f>
        <v>Cuadrado</v>
      </c>
      <c r="N9" s="134" t="s">
        <v>5038</v>
      </c>
    </row>
    <row r="10" spans="1:14">
      <c r="A10" s="5" t="s">
        <v>5039</v>
      </c>
      <c r="B10" s="5" t="s">
        <v>5025</v>
      </c>
      <c r="C10" s="8"/>
      <c r="D10" s="114">
        <f>IFERROR(Tiempos[[#This Row],[Ub. Registradas]]/Tiempos[[#This Row],[Total de Ubicaciones]],"")</f>
        <v>0</v>
      </c>
      <c r="E10" s="5" cm="1">
        <f t="array" ref="E10">IFERROR(ROWS(_xlfn.UNIQUE(_xlfn._xlws.FILTER('Registros'!D:D, ('Registros'!C:C=Tiempos[[#This Row],[Pasillo]]) * ('Registros'!E:E&lt;&gt;"")))), 0)</f>
        <v>0</v>
      </c>
      <c r="F10" s="5">
        <f>COUNTIF('CRUCE'!A:A, Tiempos[[#This Row],[Pasillo]])</f>
        <v>51</v>
      </c>
      <c r="G10" s="10"/>
      <c r="H10" s="10"/>
      <c r="I10" s="126" t="str">
        <f>IF(OR(Tiempos[[#This Row],[Inicio]]="", Tiempos[[#This Row],[Fin]]=""), "", (Tiempos[[#This Row],[Fin]]-Tiempos[[#This Row],[Inicio]])*1440)</f>
        <v/>
      </c>
      <c r="J10" s="8">
        <f>COUNTIFS(CRUCE[PASILLO], Tiempos[[#This Row],[Pasillo]], CRUCE[STATUS], "&lt;&gt;CUADRADO",CRUCE[STATUS], "&lt;&gt;PENDIENTE")</f>
        <v>0</v>
      </c>
      <c r="K10" s="9" t="str">
        <f>IF(Tiempos[[#This Row],[Estado]]="PENDIENTE", "", IF(Tiempos[[#This Row],[DIFERENCIAS]]=0, "Cuadrado", "Reconteo"))</f>
        <v/>
      </c>
      <c r="L10" s="9">
        <f>COUNTIFS(CRUCE[PASILLO], Tiempos[[#This Row],[Pasillo]], CRUCE[STATUS2], "&lt;&gt;CUADRADO",CRUCE[STATUS2], "&lt;&gt;PENDIENTE")</f>
        <v>0</v>
      </c>
      <c r="M10" s="9" t="str">
        <f>IF(Tiempos[[#This Row],[STATUS]]="cuadrado", "", IF(Tiempos[[#This Row],[DIFERENCIAS2]]=0, "Cuadrado", "Reconteo"))</f>
        <v>Cuadrado</v>
      </c>
      <c r="N10" s="134" t="s">
        <v>5040</v>
      </c>
    </row>
    <row r="11" spans="1:14">
      <c r="A11" s="5" t="s">
        <v>5041</v>
      </c>
      <c r="B11" s="5" t="s">
        <v>5025</v>
      </c>
      <c r="C11" s="8"/>
      <c r="D11" s="114">
        <f>IFERROR(Tiempos[[#This Row],[Ub. Registradas]]/Tiempos[[#This Row],[Total de Ubicaciones]],"")</f>
        <v>0</v>
      </c>
      <c r="E11" s="5" cm="1">
        <f t="array" ref="E11">IFERROR(ROWS(_xlfn.UNIQUE(_xlfn._xlws.FILTER('Registros'!D:D, ('Registros'!C:C=Tiempos[[#This Row],[Pasillo]]) * ('Registros'!E:E&lt;&gt;"")))), 0)</f>
        <v>0</v>
      </c>
      <c r="F11" s="5">
        <f>COUNTIF('CRUCE'!A:A, Tiempos[[#This Row],[Pasillo]])</f>
        <v>51</v>
      </c>
      <c r="G11" s="10"/>
      <c r="H11" s="10"/>
      <c r="I11" s="126" t="str">
        <f>IF(OR(Tiempos[[#This Row],[Inicio]]="", Tiempos[[#This Row],[Fin]]=""), "", (Tiempos[[#This Row],[Fin]]-Tiempos[[#This Row],[Inicio]])*1440)</f>
        <v/>
      </c>
      <c r="J11" s="8">
        <f>COUNTIFS(CRUCE[PASILLO], Tiempos[[#This Row],[Pasillo]], CRUCE[STATUS], "&lt;&gt;CUADRADO",CRUCE[STATUS], "&lt;&gt;PENDIENTE")</f>
        <v>0</v>
      </c>
      <c r="K11" s="9" t="str">
        <f>IF(Tiempos[[#This Row],[Estado]]="PENDIENTE", "", IF(Tiempos[[#This Row],[DIFERENCIAS]]=0, "Cuadrado", "Reconteo"))</f>
        <v/>
      </c>
      <c r="L11" s="9">
        <f>COUNTIFS(CRUCE[PASILLO], Tiempos[[#This Row],[Pasillo]], CRUCE[STATUS2], "&lt;&gt;CUADRADO",CRUCE[STATUS2], "&lt;&gt;PENDIENTE")</f>
        <v>0</v>
      </c>
      <c r="M11" s="9" t="str">
        <f>IF(Tiempos[[#This Row],[STATUS]]="cuadrado", "", IF(Tiempos[[#This Row],[DIFERENCIAS2]]=0, "Cuadrado", "Reconteo"))</f>
        <v>Cuadrado</v>
      </c>
      <c r="N11" s="134" t="s">
        <v>5042</v>
      </c>
    </row>
    <row r="12" spans="1:14">
      <c r="A12" s="5" t="s">
        <v>5043</v>
      </c>
      <c r="B12" s="5" t="s">
        <v>5025</v>
      </c>
      <c r="C12" s="8"/>
      <c r="D12" s="114">
        <f>IFERROR(Tiempos[[#This Row],[Ub. Registradas]]/Tiempos[[#This Row],[Total de Ubicaciones]],"")</f>
        <v>0</v>
      </c>
      <c r="E12" s="5" cm="1">
        <f t="array" ref="E12">IFERROR(ROWS(_xlfn.UNIQUE(_xlfn._xlws.FILTER('Registros'!D:D, ('Registros'!C:C=Tiempos[[#This Row],[Pasillo]]) * ('Registros'!E:E&lt;&gt;"")))), 0)</f>
        <v>0</v>
      </c>
      <c r="F12" s="5">
        <f>COUNTIF('CRUCE'!A:A, Tiempos[[#This Row],[Pasillo]])</f>
        <v>51</v>
      </c>
      <c r="G12" s="10"/>
      <c r="H12" s="10"/>
      <c r="I12" s="126" t="str">
        <f>IF(OR(Tiempos[[#This Row],[Inicio]]="", Tiempos[[#This Row],[Fin]]=""), "", (Tiempos[[#This Row],[Fin]]-Tiempos[[#This Row],[Inicio]])*1440)</f>
        <v/>
      </c>
      <c r="J12" s="8">
        <f>COUNTIFS(CRUCE[PASILLO], Tiempos[[#This Row],[Pasillo]], CRUCE[STATUS], "&lt;&gt;CUADRADO",CRUCE[STATUS], "&lt;&gt;PENDIENTE")</f>
        <v>0</v>
      </c>
      <c r="K12" s="9" t="str">
        <f>IF(Tiempos[[#This Row],[Estado]]="PENDIENTE", "", IF(Tiempos[[#This Row],[DIFERENCIAS]]=0, "Cuadrado", "Reconteo"))</f>
        <v/>
      </c>
      <c r="L12" s="9">
        <f>COUNTIFS(CRUCE[PASILLO], Tiempos[[#This Row],[Pasillo]], CRUCE[STATUS2], "&lt;&gt;CUADRADO",CRUCE[STATUS2], "&lt;&gt;PENDIENTE")</f>
        <v>0</v>
      </c>
      <c r="M12" s="9" t="str">
        <f>IF(Tiempos[[#This Row],[STATUS]]="cuadrado", "", IF(Tiempos[[#This Row],[DIFERENCIAS2]]=0, "Cuadrado", "Reconteo"))</f>
        <v>Cuadrado</v>
      </c>
      <c r="N12" s="134" t="s">
        <v>5044</v>
      </c>
    </row>
    <row r="13" spans="1:14">
      <c r="A13" s="5" t="s">
        <v>5045</v>
      </c>
      <c r="B13" s="5" t="s">
        <v>5025</v>
      </c>
      <c r="C13" s="8"/>
      <c r="D13" s="114">
        <f>IFERROR(Tiempos[[#This Row],[Ub. Registradas]]/Tiempos[[#This Row],[Total de Ubicaciones]],"")</f>
        <v>0</v>
      </c>
      <c r="E13" s="5" cm="1">
        <f t="array" ref="E13">IFERROR(ROWS(_xlfn.UNIQUE(_xlfn._xlws.FILTER('Registros'!D:D, ('Registros'!C:C=Tiempos[[#This Row],[Pasillo]]) * ('Registros'!E:E&lt;&gt;"")))), 0)</f>
        <v>0</v>
      </c>
      <c r="F13" s="5">
        <f>COUNTIF('CRUCE'!A:A, Tiempos[[#This Row],[Pasillo]])</f>
        <v>51</v>
      </c>
      <c r="G13" s="10"/>
      <c r="H13" s="10"/>
      <c r="I13" s="126" t="str">
        <f>IF(OR(Tiempos[[#This Row],[Inicio]]="", Tiempos[[#This Row],[Fin]]=""), "", (Tiempos[[#This Row],[Fin]]-Tiempos[[#This Row],[Inicio]])*1440)</f>
        <v/>
      </c>
      <c r="J13" s="8">
        <f>COUNTIFS(CRUCE[PASILLO], Tiempos[[#This Row],[Pasillo]], CRUCE[STATUS], "&lt;&gt;CUADRADO",CRUCE[STATUS], "&lt;&gt;PENDIENTE")</f>
        <v>0</v>
      </c>
      <c r="K13" s="9" t="str">
        <f>IF(Tiempos[[#This Row],[Estado]]="PENDIENTE", "", IF(Tiempos[[#This Row],[DIFERENCIAS]]=0, "Cuadrado", "Reconteo"))</f>
        <v/>
      </c>
      <c r="L13" s="9">
        <f>COUNTIFS(CRUCE[PASILLO], Tiempos[[#This Row],[Pasillo]], CRUCE[STATUS2], "&lt;&gt;CUADRADO",CRUCE[STATUS2], "&lt;&gt;PENDIENTE")</f>
        <v>0</v>
      </c>
      <c r="M13" s="9" t="str">
        <f>IF(Tiempos[[#This Row],[STATUS]]="cuadrado", "", IF(Tiempos[[#This Row],[DIFERENCIAS2]]=0, "Cuadrado", "Reconteo"))</f>
        <v>Cuadrado</v>
      </c>
      <c r="N13" s="134" t="s">
        <v>5046</v>
      </c>
    </row>
    <row r="14" spans="1:14">
      <c r="A14" s="5" t="s">
        <v>5047</v>
      </c>
      <c r="B14" s="5" t="s">
        <v>5025</v>
      </c>
      <c r="C14" s="8"/>
      <c r="D14" s="114" t="str">
        <f>IFERROR(Tiempos[[#This Row],[Ub. Registradas]]/Tiempos[[#This Row],[Total de Ubicaciones]],"")</f>
        <v/>
      </c>
      <c r="E14" s="5" cm="1">
        <f t="array" ref="E14">IFERROR(ROWS(_xlfn.UNIQUE(_xlfn._xlws.FILTER('Registros'!D:D, ('Registros'!C:C=Tiempos[[#This Row],[Pasillo]]) * ('Registros'!E:E&lt;&gt;"")))), 0)</f>
        <v>0</v>
      </c>
      <c r="F14" s="5">
        <f>COUNTIF('CRUCE'!A:A, Tiempos[[#This Row],[Pasillo]])</f>
        <v>0</v>
      </c>
      <c r="G14" s="10"/>
      <c r="H14" s="10"/>
      <c r="I14" s="126" t="str">
        <f>IF(OR(Tiempos[[#This Row],[Inicio]]="", Tiempos[[#This Row],[Fin]]=""), "", (Tiempos[[#This Row],[Fin]]-Tiempos[[#This Row],[Inicio]])*1440)</f>
        <v/>
      </c>
      <c r="J14" s="8">
        <f>COUNTIFS(CRUCE[PASILLO], Tiempos[[#This Row],[Pasillo]], CRUCE[STATUS], "&lt;&gt;CUADRADO",CRUCE[STATUS], "&lt;&gt;PENDIENTE")</f>
        <v>0</v>
      </c>
      <c r="K14" s="9" t="str">
        <f>IF(Tiempos[[#This Row],[Estado]]="PENDIENTE", "", IF(Tiempos[[#This Row],[DIFERENCIAS]]=0, "Cuadrado", "Reconteo"))</f>
        <v/>
      </c>
      <c r="L14" s="9">
        <f>COUNTIFS(CRUCE[PASILLO], Tiempos[[#This Row],[Pasillo]], CRUCE[STATUS2], "&lt;&gt;CUADRADO",CRUCE[STATUS2], "&lt;&gt;PENDIENTE")</f>
        <v>0</v>
      </c>
      <c r="M14" s="9" t="str">
        <f>IF(Tiempos[[#This Row],[STATUS]]="cuadrado", "", IF(Tiempos[[#This Row],[DIFERENCIAS2]]=0, "Cuadrado", "Reconteo"))</f>
        <v>Cuadrado</v>
      </c>
      <c r="N14" s="134" t="s">
        <v>5048</v>
      </c>
    </row>
  </sheetData>
  <conditionalFormatting sqref="A15:A1048576 B1:B14">
    <cfRule type="cellIs" dxfId="51" priority="3" operator="equal">
      <formula>"en proceso"</formula>
    </cfRule>
  </conditionalFormatting>
  <conditionalFormatting sqref="A15:A1048576 B1:B14">
    <cfRule type="cellIs" dxfId="50" priority="2" operator="equal">
      <formula>"cerrado"</formula>
    </cfRule>
  </conditionalFormatting>
  <conditionalFormatting sqref="A15:A1048576 B1:B14">
    <cfRule type="cellIs" dxfId="49" priority="1" operator="equal">
      <formula>"pendiente"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M4"/>
  <sheetViews>
    <sheetView tabSelected="1" zoomScaleNormal="100" workbookViewId="0">
      <selection activeCell="M3" sqref="M3"/>
    </sheetView>
  </sheetViews>
  <sheetFormatPr defaultColWidth="8.7109375" defaultRowHeight="15"/>
  <cols>
    <col min="1" max="1" width="13.7109375" customWidth="1"/>
    <col min="2" max="3" width="14.7109375" customWidth="1"/>
    <col min="4" max="4" width="16.7109375" customWidth="1"/>
    <col min="5" max="5" width="25.140625" customWidth="1"/>
    <col min="6" max="6" width="48.7109375" customWidth="1"/>
    <col min="7" max="7" width="16.42578125" customWidth="1"/>
    <col min="8" max="8" width="16.5703125" customWidth="1"/>
    <col min="9" max="9" width="17" customWidth="1"/>
    <col min="10" max="10" width="15" customWidth="1"/>
    <col min="11" max="11" width="12.7109375" customWidth="1"/>
  </cols>
  <sheetData>
    <row r="1" spans="1:13">
      <c r="A1" s="1" t="s">
        <v>5049</v>
      </c>
      <c r="B1" s="1" t="s">
        <v>5010</v>
      </c>
      <c r="C1" s="1" t="s">
        <v>5008</v>
      </c>
      <c r="D1" s="1" t="s">
        <v>5050</v>
      </c>
      <c r="E1" s="1" t="s">
        <v>5051</v>
      </c>
      <c r="F1" s="1" t="s">
        <v>5052</v>
      </c>
      <c r="G1" s="1" t="s">
        <v>3</v>
      </c>
      <c r="H1" s="1" t="s">
        <v>5053</v>
      </c>
      <c r="I1" s="1" t="s">
        <v>5054</v>
      </c>
      <c r="J1" s="1" t="s">
        <v>5055</v>
      </c>
      <c r="K1" s="1" t="s">
        <v>5056</v>
      </c>
    </row>
    <row r="2" spans="1:13" s="124" customFormat="1">
      <c r="A2" s="140" t="s">
        <v>5057</v>
      </c>
      <c r="B2" s="140" t="s">
        <v>4996</v>
      </c>
      <c r="C2" s="140" t="s">
        <v>5021</v>
      </c>
      <c r="D2" s="141" t="s">
        <v>5058</v>
      </c>
      <c r="E2" s="141" t="s">
        <v>5059</v>
      </c>
      <c r="F2" s="140" t="s">
        <v>5060</v>
      </c>
      <c r="G2" s="140" t="s">
        <v>5061</v>
      </c>
      <c r="H2" s="140">
        <v>0</v>
      </c>
      <c r="I2" s="140">
        <v>0</v>
      </c>
      <c r="J2" s="140">
        <v>0</v>
      </c>
      <c r="K2" s="140">
        <v>0</v>
      </c>
      <c r="M2" s="124" t="s">
        <v>5062</v>
      </c>
    </row>
    <row r="3" spans="1:13">
      <c r="A3" s="142" t="s">
        <v>5063</v>
      </c>
      <c r="B3" s="142" t="s">
        <v>4996</v>
      </c>
      <c r="C3" s="142" t="s">
        <v>5021</v>
      </c>
      <c r="D3" s="143" t="s">
        <v>3721</v>
      </c>
      <c r="E3" s="143">
        <v>8325056</v>
      </c>
      <c r="F3" s="142" t="s">
        <v>1585</v>
      </c>
      <c r="G3" s="142" t="s">
        <v>9</v>
      </c>
      <c r="H3" s="142">
        <v>26</v>
      </c>
      <c r="I3" s="142">
        <v>0</v>
      </c>
      <c r="J3" s="142">
        <v>5</v>
      </c>
      <c r="K3" s="142">
        <v>5</v>
      </c>
    </row>
    <row r="4" spans="1:13">
      <c r="C4" s="2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F828-51EF-4D4C-A27D-4EAF80EC2563}">
  <dimension ref="A1:S602"/>
  <sheetViews>
    <sheetView workbookViewId="0">
      <selection activeCell="B466" sqref="B466"/>
    </sheetView>
  </sheetViews>
  <sheetFormatPr defaultRowHeight="15"/>
  <cols>
    <col min="1" max="1" width="12.7109375" bestFit="1" customWidth="1"/>
    <col min="2" max="2" width="15.28515625" bestFit="1" customWidth="1"/>
    <col min="4" max="4" width="18.5703125" style="36" bestFit="1" customWidth="1"/>
    <col min="5" max="5" width="46.42578125" bestFit="1" customWidth="1"/>
    <col min="6" max="6" width="10.42578125" bestFit="1" customWidth="1"/>
    <col min="8" max="8" width="11.42578125" bestFit="1" customWidth="1"/>
    <col min="9" max="9" width="10.140625" bestFit="1" customWidth="1"/>
    <col min="10" max="10" width="10.140625" customWidth="1"/>
    <col min="11" max="11" width="16.5703125" bestFit="1" customWidth="1"/>
    <col min="12" max="12" width="11.42578125" bestFit="1" customWidth="1"/>
    <col min="13" max="13" width="15" customWidth="1"/>
    <col min="14" max="14" width="12.7109375" bestFit="1" customWidth="1"/>
    <col min="15" max="15" width="11.42578125" bestFit="1" customWidth="1"/>
    <col min="16" max="16" width="17.85546875" bestFit="1" customWidth="1"/>
    <col min="17" max="17" width="12.7109375" bestFit="1" customWidth="1"/>
    <col min="18" max="18" width="15.28515625" bestFit="1" customWidth="1"/>
  </cols>
  <sheetData>
    <row r="1" spans="1:19">
      <c r="H1" s="144" t="s">
        <v>5064</v>
      </c>
      <c r="I1" s="144"/>
      <c r="J1" s="144"/>
      <c r="K1" s="144"/>
      <c r="L1" s="144"/>
      <c r="M1" s="144"/>
      <c r="N1" s="145" t="s">
        <v>5065</v>
      </c>
      <c r="O1" s="145"/>
      <c r="P1" s="145"/>
      <c r="Q1" s="145"/>
      <c r="R1" s="145"/>
    </row>
    <row r="2" spans="1:19" ht="15.75">
      <c r="A2" s="104" t="s">
        <v>4211</v>
      </c>
      <c r="B2" s="105" t="s">
        <v>5050</v>
      </c>
      <c r="C2" s="105" t="s">
        <v>5066</v>
      </c>
      <c r="D2" s="106" t="s">
        <v>4212</v>
      </c>
      <c r="E2" s="107" t="s">
        <v>5067</v>
      </c>
      <c r="F2" s="107" t="s">
        <v>5068</v>
      </c>
      <c r="G2" s="108" t="s">
        <v>3</v>
      </c>
      <c r="H2" s="109" t="s">
        <v>5069</v>
      </c>
      <c r="I2" s="109" t="s">
        <v>5070</v>
      </c>
      <c r="J2" s="109" t="s">
        <v>5071</v>
      </c>
      <c r="K2" s="109" t="s">
        <v>5072</v>
      </c>
      <c r="L2" s="109" t="s">
        <v>5018</v>
      </c>
      <c r="M2" s="110" t="s">
        <v>5073</v>
      </c>
      <c r="N2" s="109" t="s">
        <v>5074</v>
      </c>
      <c r="O2" s="109" t="s">
        <v>5075</v>
      </c>
      <c r="P2" s="109" t="s">
        <v>5076</v>
      </c>
      <c r="Q2" s="109" t="s">
        <v>5077</v>
      </c>
      <c r="R2" s="111" t="s">
        <v>5078</v>
      </c>
      <c r="S2" s="128" t="s">
        <v>7</v>
      </c>
    </row>
    <row r="3" spans="1:19">
      <c r="A3" s="92" t="s">
        <v>5079</v>
      </c>
      <c r="B3" s="39" t="s">
        <v>3721</v>
      </c>
      <c r="C3" s="39">
        <v>8325056</v>
      </c>
      <c r="D3" s="73">
        <v>37751851006645</v>
      </c>
      <c r="E3" s="39" t="s">
        <v>1585</v>
      </c>
      <c r="F3" s="39">
        <v>5</v>
      </c>
      <c r="G3" s="39" t="s">
        <v>9</v>
      </c>
      <c r="H3" s="39">
        <f>_xlfn.XLOOKUP(CRUCE[[#This Row],[Ubicacion]],Registros[Ubicacion],Registros[Codigo], "")</f>
        <v>8325056</v>
      </c>
      <c r="I3" s="39">
        <f>_xlfn.XLOOKUP(CRUCE[[#This Row],[Ubicacion]],Registros[Ubicacion],Registros[Total], "")</f>
        <v>5</v>
      </c>
      <c r="J3" s="39" t="str">
        <f>_xlfn.XLOOKUP(CRUCE[[#This Row],[Ubicacion]],Registros[Ubicacion],Registros[UMA], "")</f>
        <v>CJA</v>
      </c>
      <c r="K3" s="39">
        <f>IF(CRUCE[[#This Row],[TOTAL]]="","",CRUCE[[#This Row],[TOTAL]]-CRUCE[[#This Row],[BULTOS]])</f>
        <v>0</v>
      </c>
      <c r="L3" s="39" t="str">
        <f>IF(CRUCE[[#This Row],[TOTAL]]="", "PENDIENTE", IF(CRUCE[[#This Row],[Diferencia]]=0, "CUADRADO", IF(CRUCE[[#This Row],[Diferencia]]&gt;0, "SOBRANTE", "FALTANTE")))</f>
        <v>CUADRADO</v>
      </c>
      <c r="M3" s="12" t="str">
        <f>IF(CRUCE[[#This Row],[Diferencia]]="","",IF(CRUCE[[#This Row],[Diferencia]]=0,"OK","RECONTEO"))</f>
        <v>OK</v>
      </c>
      <c r="N3" s="39">
        <f>_xlfn.XLOOKUP(CRUCE[[#This Row],[Ubicacion]],Registros[Ubicacion],Registros[Codigo], "")</f>
        <v>8325056</v>
      </c>
      <c r="O3" s="39"/>
      <c r="P3" s="39"/>
      <c r="Q3" s="39" t="str">
        <f>IF(CRUCE[[#This Row],[TOTAL2]]="", "PENDIENTE", IF(CRUCE[[#This Row],[DIFERENCIA2]]=0, "CUADRADO", IF(CRUCE[[#This Row],[DIFERENCIA2]]&gt;0, "SOBRANTE", "FALTANTE")))</f>
        <v>PENDIENTE</v>
      </c>
      <c r="R3" s="78"/>
      <c r="S3" s="127" t="s">
        <v>5080</v>
      </c>
    </row>
    <row r="4" spans="1:19">
      <c r="A4" s="93" t="s">
        <v>5079</v>
      </c>
      <c r="B4" s="38" t="s">
        <v>3732</v>
      </c>
      <c r="C4" s="38">
        <v>8325096</v>
      </c>
      <c r="D4" s="74">
        <v>37751851006652</v>
      </c>
      <c r="E4" s="38" t="s">
        <v>1620</v>
      </c>
      <c r="F4" s="38">
        <v>9</v>
      </c>
      <c r="G4" s="38" t="s">
        <v>9</v>
      </c>
      <c r="H4" s="39" t="str">
        <f>_xlfn.XLOOKUP(CRUCE[[#This Row],[Ubicacion]],Registros[Ubicacion],Registros[Codigo], "")</f>
        <v/>
      </c>
      <c r="I4" s="38" t="str">
        <f>_xlfn.XLOOKUP(CRUCE[[#This Row],[Ubicacion]],Registros[Ubicacion],Registros[Total], "")</f>
        <v/>
      </c>
      <c r="J4" s="103" t="str">
        <f>_xlfn.XLOOKUP(CRUCE[[#This Row],[Ubicacion]],Registros[Ubicacion],Registros[UMA], "")</f>
        <v/>
      </c>
      <c r="K4" s="39" t="str">
        <f>IF(CRUCE[[#This Row],[TOTAL]]="","",CRUCE[[#This Row],[TOTAL]]-CRUCE[[#This Row],[BULTOS]])</f>
        <v/>
      </c>
      <c r="L4" s="39" t="str">
        <f>IF(CRUCE[[#This Row],[TOTAL]]="", "PENDIENTE", IF(CRUCE[[#This Row],[Diferencia]]=0, "CUADRADO", IF(CRUCE[[#This Row],[Diferencia]]&gt;0, "SOBRANTE", "FALTANTE")))</f>
        <v>PENDIENTE</v>
      </c>
      <c r="M4" s="71" t="str">
        <f>IF(CRUCE[[#This Row],[Diferencia]]="","",IF(CRUCE[[#This Row],[Diferencia]]=0,"OK","RECONTEO"))</f>
        <v/>
      </c>
      <c r="N4" s="39" t="str">
        <f>_xlfn.XLOOKUP(CRUCE[[#This Row],[Ubicacion]],Registros[Ubicacion],Registros[Codigo], "")</f>
        <v/>
      </c>
      <c r="O4" s="38"/>
      <c r="P4" s="38"/>
      <c r="Q4" s="39" t="str">
        <f>IF(CRUCE[[#This Row],[TOTAL2]]="", "PENDIENTE", IF(CRUCE[[#This Row],[DIFERENCIA2]]=0, "CUADRADO", IF(CRUCE[[#This Row],[DIFERENCIA2]]&gt;0, "SOBRANTE", "FALTANTE")))</f>
        <v>PENDIENTE</v>
      </c>
      <c r="R4" s="102" t="s">
        <v>5081</v>
      </c>
      <c r="S4" s="127" t="s">
        <v>5082</v>
      </c>
    </row>
    <row r="5" spans="1:19">
      <c r="A5" s="92" t="s">
        <v>5079</v>
      </c>
      <c r="B5" s="39" t="s">
        <v>3528</v>
      </c>
      <c r="C5" s="39">
        <v>8315030</v>
      </c>
      <c r="D5" s="73">
        <v>27751851006129</v>
      </c>
      <c r="E5" s="39" t="s">
        <v>811</v>
      </c>
      <c r="F5" s="39">
        <v>39</v>
      </c>
      <c r="G5" s="39" t="s">
        <v>9</v>
      </c>
      <c r="H5" s="39" t="str">
        <f>_xlfn.XLOOKUP(CRUCE[[#This Row],[Ubicacion]],Registros[Ubicacion],Registros[Codigo], "")</f>
        <v/>
      </c>
      <c r="I5" s="26" t="str">
        <f>_xlfn.XLOOKUP(CRUCE[[#This Row],[Ubicacion]],Registros[Ubicacion],Registros[Total], "")</f>
        <v/>
      </c>
      <c r="J5" s="26" t="str">
        <f>_xlfn.XLOOKUP(CRUCE[[#This Row],[Ubicacion]],Registros[Ubicacion],Registros[UMA], "")</f>
        <v/>
      </c>
      <c r="K5" s="39" t="str">
        <f>IF(CRUCE[[#This Row],[TOTAL]]="","",CRUCE[[#This Row],[TOTAL]]-CRUCE[[#This Row],[BULTOS]])</f>
        <v/>
      </c>
      <c r="L5" s="39" t="str">
        <f>IF(CRUCE[[#This Row],[TOTAL]]="", "PENDIENTE", IF(CRUCE[[#This Row],[Diferencia]]=0, "CUADRADO", IF(CRUCE[[#This Row],[Diferencia]]&gt;0, "SOBRANTE", "FALTANTE")))</f>
        <v>PENDIENTE</v>
      </c>
      <c r="M5" s="72" t="str">
        <f>IF(CRUCE[[#This Row],[Diferencia]]="","",IF(CRUCE[[#This Row],[Diferencia]]=0,"OK","RECONTEO"))</f>
        <v/>
      </c>
      <c r="N5" s="39" t="str">
        <f>_xlfn.XLOOKUP(CRUCE[[#This Row],[Ubicacion]],Registros[Ubicacion],Registros[Codigo], "")</f>
        <v/>
      </c>
      <c r="O5" s="26"/>
      <c r="P5" s="26"/>
      <c r="Q5" s="39" t="str">
        <f>IF(CRUCE[[#This Row],[TOTAL2]]="", "PENDIENTE", IF(CRUCE[[#This Row],[DIFERENCIA2]]=0, "CUADRADO", IF(CRUCE[[#This Row],[DIFERENCIA2]]&gt;0, "SOBRANTE", "FALTANTE")))</f>
        <v>PENDIENTE</v>
      </c>
      <c r="R5" s="102" t="s">
        <v>5081</v>
      </c>
      <c r="S5" s="127" t="s">
        <v>5083</v>
      </c>
    </row>
    <row r="6" spans="1:19">
      <c r="A6" s="93" t="s">
        <v>5079</v>
      </c>
      <c r="B6" s="38" t="s">
        <v>3489</v>
      </c>
      <c r="C6" s="38">
        <v>8315000</v>
      </c>
      <c r="D6" s="74">
        <v>17751851007556</v>
      </c>
      <c r="E6" s="38" t="s">
        <v>763</v>
      </c>
      <c r="F6" s="38">
        <v>15</v>
      </c>
      <c r="G6" s="38" t="s">
        <v>9</v>
      </c>
      <c r="H6" s="39" t="str">
        <f>_xlfn.XLOOKUP(CRUCE[[#This Row],[Ubicacion]],Registros[Ubicacion],Registros[Codigo], "")</f>
        <v/>
      </c>
      <c r="I6" s="25" t="str">
        <f>_xlfn.XLOOKUP(CRUCE[[#This Row],[Ubicacion]],Registros[Ubicacion],Registros[Total], "")</f>
        <v/>
      </c>
      <c r="J6" s="79" t="str">
        <f>_xlfn.XLOOKUP(CRUCE[[#This Row],[Ubicacion]],Registros[Ubicacion],Registros[UMA], "")</f>
        <v/>
      </c>
      <c r="K6" s="39" t="str">
        <f>IF(CRUCE[[#This Row],[TOTAL]]="","",CRUCE[[#This Row],[TOTAL]]-CRUCE[[#This Row],[BULTOS]])</f>
        <v/>
      </c>
      <c r="L6" s="39" t="str">
        <f>IF(CRUCE[[#This Row],[TOTAL]]="", "PENDIENTE", IF(CRUCE[[#This Row],[Diferencia]]=0, "CUADRADO", IF(CRUCE[[#This Row],[Diferencia]]&gt;0, "SOBRANTE", "FALTANTE")))</f>
        <v>PENDIENTE</v>
      </c>
      <c r="M6" s="71" t="str">
        <f>IF(CRUCE[[#This Row],[Diferencia]]="","",IF(CRUCE[[#This Row],[Diferencia]]=0,"OK","RECONTEO"))</f>
        <v/>
      </c>
      <c r="N6" s="39" t="str">
        <f>_xlfn.XLOOKUP(CRUCE[[#This Row],[Ubicacion]],Registros[Ubicacion],Registros[Codigo], "")</f>
        <v/>
      </c>
      <c r="O6" s="25"/>
      <c r="P6" s="25"/>
      <c r="Q6" s="39" t="str">
        <f>IF(CRUCE[[#This Row],[TOTAL2]]="", "PENDIENTE", IF(CRUCE[[#This Row],[DIFERENCIA2]]=0, "CUADRADO", IF(CRUCE[[#This Row],[DIFERENCIA2]]&gt;0, "SOBRANTE", "FALTANTE")))</f>
        <v>PENDIENTE</v>
      </c>
      <c r="R6" s="103" t="s">
        <v>5081</v>
      </c>
      <c r="S6" s="127" t="s">
        <v>5084</v>
      </c>
    </row>
    <row r="7" spans="1:19">
      <c r="A7" s="92" t="s">
        <v>5079</v>
      </c>
      <c r="B7" s="39" t="s">
        <v>3493</v>
      </c>
      <c r="C7" s="39">
        <v>8315001</v>
      </c>
      <c r="D7" s="73">
        <v>17751851007563</v>
      </c>
      <c r="E7" s="39" t="s">
        <v>765</v>
      </c>
      <c r="F7" s="39">
        <v>57</v>
      </c>
      <c r="G7" s="39" t="s">
        <v>9</v>
      </c>
      <c r="H7" s="39" t="str">
        <f>_xlfn.XLOOKUP(CRUCE[[#This Row],[Ubicacion]],Registros[Ubicacion],Registros[Codigo], "")</f>
        <v/>
      </c>
      <c r="I7" s="26" t="str">
        <f>_xlfn.XLOOKUP(CRUCE[[#This Row],[Ubicacion]],Registros[Ubicacion],Registros[Total], "")</f>
        <v/>
      </c>
      <c r="J7" s="26" t="str">
        <f>_xlfn.XLOOKUP(CRUCE[[#This Row],[Ubicacion]],Registros[Ubicacion],Registros[UMA], "")</f>
        <v/>
      </c>
      <c r="K7" s="39" t="str">
        <f>IF(CRUCE[[#This Row],[TOTAL]]="","",CRUCE[[#This Row],[TOTAL]]-CRUCE[[#This Row],[BULTOS]])</f>
        <v/>
      </c>
      <c r="L7" s="39" t="str">
        <f>IF(CRUCE[[#This Row],[TOTAL]]="", "PENDIENTE", IF(CRUCE[[#This Row],[Diferencia]]=0, "CUADRADO", IF(CRUCE[[#This Row],[Diferencia]]&gt;0, "SOBRANTE", "FALTANTE")))</f>
        <v>PENDIENTE</v>
      </c>
      <c r="M7" s="72" t="str">
        <f>IF(CRUCE[[#This Row],[Diferencia]]="","",IF(CRUCE[[#This Row],[Diferencia]]=0,"OK","RECONTEO"))</f>
        <v/>
      </c>
      <c r="N7" s="39" t="str">
        <f>_xlfn.XLOOKUP(CRUCE[[#This Row],[Ubicacion]],Registros[Ubicacion],Registros[Codigo], "")</f>
        <v/>
      </c>
      <c r="O7" s="26"/>
      <c r="P7" s="26"/>
      <c r="Q7" s="39" t="str">
        <f>IF(CRUCE[[#This Row],[TOTAL2]]="", "PENDIENTE", IF(CRUCE[[#This Row],[DIFERENCIA2]]=0, "CUADRADO", IF(CRUCE[[#This Row],[DIFERENCIA2]]&gt;0, "SOBRANTE", "FALTANTE")))</f>
        <v>PENDIENTE</v>
      </c>
      <c r="R7" s="102" t="s">
        <v>5081</v>
      </c>
      <c r="S7" s="127" t="s">
        <v>5085</v>
      </c>
    </row>
    <row r="8" spans="1:19">
      <c r="A8" s="93" t="s">
        <v>5079</v>
      </c>
      <c r="B8" s="38" t="s">
        <v>3751</v>
      </c>
      <c r="C8" s="38">
        <v>8325116</v>
      </c>
      <c r="D8" s="74">
        <v>47751851011196</v>
      </c>
      <c r="E8" s="38" t="s">
        <v>1652</v>
      </c>
      <c r="F8" s="38">
        <v>76</v>
      </c>
      <c r="G8" s="38" t="s">
        <v>9</v>
      </c>
      <c r="H8" s="39" t="str">
        <f>_xlfn.XLOOKUP(CRUCE[[#This Row],[Ubicacion]],Registros[Ubicacion],Registros[Codigo], "")</f>
        <v/>
      </c>
      <c r="I8" s="25" t="str">
        <f>_xlfn.XLOOKUP(CRUCE[[#This Row],[Ubicacion]],Registros[Ubicacion],Registros[Total], "")</f>
        <v/>
      </c>
      <c r="J8" s="79" t="str">
        <f>_xlfn.XLOOKUP(CRUCE[[#This Row],[Ubicacion]],Registros[Ubicacion],Registros[UMA], "")</f>
        <v/>
      </c>
      <c r="K8" s="39" t="str">
        <f>IF(CRUCE[[#This Row],[TOTAL]]="","",CRUCE[[#This Row],[TOTAL]]-CRUCE[[#This Row],[BULTOS]])</f>
        <v/>
      </c>
      <c r="L8" s="38" t="str">
        <f>IF(CRUCE[[#This Row],[TOTAL]]="", "PENDIENTE", IF(CRUCE[[#This Row],[Diferencia]]=0, "CUADRADO", IF(CRUCE[[#This Row],[Diferencia]]&gt;0, "SOBRANTE", "FALTANTE")))</f>
        <v>PENDIENTE</v>
      </c>
      <c r="M8" s="71" t="str">
        <f>IF(CRUCE[[#This Row],[Diferencia]]="","",IF(CRUCE[[#This Row],[Diferencia]]=0,"OK","RECONTEO"))</f>
        <v/>
      </c>
      <c r="N8" s="39" t="str">
        <f>_xlfn.XLOOKUP(CRUCE[[#This Row],[Ubicacion]],Registros[Ubicacion],Registros[Codigo], "")</f>
        <v/>
      </c>
      <c r="O8" s="25"/>
      <c r="P8" s="25"/>
      <c r="Q8" s="39" t="str">
        <f>IF(CRUCE[[#This Row],[TOTAL2]]="", "PENDIENTE", IF(CRUCE[[#This Row],[DIFERENCIA2]]=0, "CUADRADO", IF(CRUCE[[#This Row],[DIFERENCIA2]]&gt;0, "SOBRANTE", "FALTANTE")))</f>
        <v>PENDIENTE</v>
      </c>
      <c r="R8" s="103" t="s">
        <v>5081</v>
      </c>
      <c r="S8" s="127" t="s">
        <v>5086</v>
      </c>
    </row>
    <row r="9" spans="1:19">
      <c r="A9" s="92" t="s">
        <v>5079</v>
      </c>
      <c r="B9" s="39" t="s">
        <v>3753</v>
      </c>
      <c r="C9" s="39">
        <v>8325118</v>
      </c>
      <c r="D9" s="73">
        <v>47751851006666</v>
      </c>
      <c r="E9" s="39" t="s">
        <v>1656</v>
      </c>
      <c r="F9" s="39">
        <v>76</v>
      </c>
      <c r="G9" s="39" t="s">
        <v>9</v>
      </c>
      <c r="H9" s="39" t="str">
        <f>_xlfn.XLOOKUP(CRUCE[[#This Row],[Ubicacion]],Registros[Ubicacion],Registros[Codigo], "")</f>
        <v/>
      </c>
      <c r="I9" s="26" t="str">
        <f>_xlfn.XLOOKUP(CRUCE[[#This Row],[Ubicacion]],Registros[Ubicacion],Registros[Total], "")</f>
        <v/>
      </c>
      <c r="J9" s="26" t="str">
        <f>_xlfn.XLOOKUP(CRUCE[[#This Row],[Ubicacion]],Registros[Ubicacion],Registros[UMA], "")</f>
        <v/>
      </c>
      <c r="K9" s="39" t="str">
        <f>IF(CRUCE[[#This Row],[TOTAL]]="","",CRUCE[[#This Row],[TOTAL]]-CRUCE[[#This Row],[BULTOS]])</f>
        <v/>
      </c>
      <c r="L9" s="39" t="str">
        <f>IF(CRUCE[[#This Row],[TOTAL]]="", "PENDIENTE", IF(CRUCE[[#This Row],[Diferencia]]=0, "CUADRADO", IF(CRUCE[[#This Row],[Diferencia]]&gt;0, "SOBRANTE", "FALTANTE")))</f>
        <v>PENDIENTE</v>
      </c>
      <c r="M9" s="72" t="str">
        <f>IF(CRUCE[[#This Row],[Diferencia]]="","",IF(CRUCE[[#This Row],[Diferencia]]=0,"OK","RECONTEO"))</f>
        <v/>
      </c>
      <c r="N9" s="39" t="str">
        <f>_xlfn.XLOOKUP(CRUCE[[#This Row],[Ubicacion]],Registros[Ubicacion],Registros[Codigo], "")</f>
        <v/>
      </c>
      <c r="O9" s="26"/>
      <c r="P9" s="26"/>
      <c r="Q9" s="39" t="str">
        <f>IF(CRUCE[[#This Row],[TOTAL2]]="", "PENDIENTE", IF(CRUCE[[#This Row],[DIFERENCIA2]]=0, "CUADRADO", IF(CRUCE[[#This Row],[DIFERENCIA2]]&gt;0, "SOBRANTE", "FALTANTE")))</f>
        <v>PENDIENTE</v>
      </c>
      <c r="R9" s="102" t="s">
        <v>5081</v>
      </c>
      <c r="S9" s="127" t="s">
        <v>5087</v>
      </c>
    </row>
    <row r="10" spans="1:19">
      <c r="A10" s="93" t="s">
        <v>5079</v>
      </c>
      <c r="B10" s="38" t="s">
        <v>3444</v>
      </c>
      <c r="C10" s="38">
        <v>8309033</v>
      </c>
      <c r="D10" s="74">
        <v>17751851019634</v>
      </c>
      <c r="E10" s="38" t="s">
        <v>633</v>
      </c>
      <c r="F10" s="38">
        <v>50</v>
      </c>
      <c r="G10" s="38" t="s">
        <v>9</v>
      </c>
      <c r="H10" s="39" t="str">
        <f>_xlfn.XLOOKUP(CRUCE[[#This Row],[Ubicacion]],Registros[Ubicacion],Registros[Codigo], "")</f>
        <v/>
      </c>
      <c r="I10" s="25" t="str">
        <f>_xlfn.XLOOKUP(CRUCE[[#This Row],[Ubicacion]],Registros[Ubicacion],Registros[Total], "")</f>
        <v/>
      </c>
      <c r="J10" s="79" t="str">
        <f>_xlfn.XLOOKUP(CRUCE[[#This Row],[Ubicacion]],Registros[Ubicacion],Registros[UMA], "")</f>
        <v/>
      </c>
      <c r="K10" s="39" t="str">
        <f>IF(CRUCE[[#This Row],[TOTAL]]="","",CRUCE[[#This Row],[TOTAL]]-CRUCE[[#This Row],[BULTOS]])</f>
        <v/>
      </c>
      <c r="L10" s="38" t="str">
        <f>IF(CRUCE[[#This Row],[TOTAL]]="", "PENDIENTE", IF(CRUCE[[#This Row],[Diferencia]]=0, "CUADRADO", IF(CRUCE[[#This Row],[Diferencia]]&gt;0, "SOBRANTE", "FALTANTE")))</f>
        <v>PENDIENTE</v>
      </c>
      <c r="M10" s="71" t="str">
        <f>IF(CRUCE[[#This Row],[Diferencia]]="","",IF(CRUCE[[#This Row],[Diferencia]]=0,"OK","RECONTEO"))</f>
        <v/>
      </c>
      <c r="N10" s="39" t="str">
        <f>_xlfn.XLOOKUP(CRUCE[[#This Row],[Ubicacion]],Registros[Ubicacion],Registros[Codigo], "")</f>
        <v/>
      </c>
      <c r="O10" s="25"/>
      <c r="P10" s="25"/>
      <c r="Q10" s="39" t="str">
        <f>IF(CRUCE[[#This Row],[TOTAL2]]="", "PENDIENTE", IF(CRUCE[[#This Row],[DIFERENCIA2]]=0, "CUADRADO", IF(CRUCE[[#This Row],[DIFERENCIA2]]&gt;0, "SOBRANTE", "FALTANTE")))</f>
        <v>PENDIENTE</v>
      </c>
      <c r="R10" s="103" t="s">
        <v>5081</v>
      </c>
      <c r="S10" s="127" t="s">
        <v>5088</v>
      </c>
    </row>
    <row r="11" spans="1:19">
      <c r="A11" s="92" t="s">
        <v>5079</v>
      </c>
      <c r="B11" s="39" t="s">
        <v>3729</v>
      </c>
      <c r="C11" s="39">
        <v>8325095</v>
      </c>
      <c r="D11" s="73">
        <v>37751851006638</v>
      </c>
      <c r="E11" s="39" t="s">
        <v>1618</v>
      </c>
      <c r="F11" s="39">
        <v>44</v>
      </c>
      <c r="G11" s="39" t="s">
        <v>9</v>
      </c>
      <c r="H11" s="39" t="str">
        <f>_xlfn.XLOOKUP(CRUCE[[#This Row],[Ubicacion]],Registros[Ubicacion],Registros[Codigo], "")</f>
        <v/>
      </c>
      <c r="I11" s="26" t="str">
        <f>_xlfn.XLOOKUP(CRUCE[[#This Row],[Ubicacion]],Registros[Ubicacion],Registros[Total], "")</f>
        <v/>
      </c>
      <c r="J11" s="26" t="str">
        <f>_xlfn.XLOOKUP(CRUCE[[#This Row],[Ubicacion]],Registros[Ubicacion],Registros[UMA], "")</f>
        <v/>
      </c>
      <c r="K11" s="39" t="str">
        <f>IF(CRUCE[[#This Row],[TOTAL]]="","",CRUCE[[#This Row],[TOTAL]]-CRUCE[[#This Row],[BULTOS]])</f>
        <v/>
      </c>
      <c r="L11" s="39" t="str">
        <f>IF(CRUCE[[#This Row],[TOTAL]]="", "PENDIENTE", IF(CRUCE[[#This Row],[Diferencia]]=0, "CUADRADO", IF(CRUCE[[#This Row],[Diferencia]]&gt;0, "SOBRANTE", "FALTANTE")))</f>
        <v>PENDIENTE</v>
      </c>
      <c r="M11" s="72" t="str">
        <f>IF(CRUCE[[#This Row],[Diferencia]]="","",IF(CRUCE[[#This Row],[Diferencia]]=0,"OK","RECONTEO"))</f>
        <v/>
      </c>
      <c r="N11" s="39" t="str">
        <f>_xlfn.XLOOKUP(CRUCE[[#This Row],[Ubicacion]],Registros[Ubicacion],Registros[Codigo], "")</f>
        <v/>
      </c>
      <c r="O11" s="26"/>
      <c r="P11" s="26"/>
      <c r="Q11" s="39" t="str">
        <f>IF(CRUCE[[#This Row],[TOTAL2]]="", "PENDIENTE", IF(CRUCE[[#This Row],[DIFERENCIA2]]=0, "CUADRADO", IF(CRUCE[[#This Row],[DIFERENCIA2]]&gt;0, "SOBRANTE", "FALTANTE")))</f>
        <v>PENDIENTE</v>
      </c>
      <c r="R11" s="102" t="s">
        <v>5081</v>
      </c>
      <c r="S11" s="127" t="s">
        <v>5089</v>
      </c>
    </row>
    <row r="12" spans="1:19">
      <c r="A12" s="93" t="s">
        <v>5079</v>
      </c>
      <c r="B12" s="38" t="s">
        <v>3727</v>
      </c>
      <c r="C12" s="38">
        <v>8325093</v>
      </c>
      <c r="D12" s="74">
        <v>27751851020156</v>
      </c>
      <c r="E12" s="38" t="s">
        <v>1614</v>
      </c>
      <c r="F12" s="38">
        <v>19</v>
      </c>
      <c r="G12" s="38" t="s">
        <v>9</v>
      </c>
      <c r="H12" s="39" t="str">
        <f>_xlfn.XLOOKUP(CRUCE[[#This Row],[Ubicacion]],Registros[Ubicacion],Registros[Codigo], "")</f>
        <v/>
      </c>
      <c r="I12" s="25" t="str">
        <f>_xlfn.XLOOKUP(CRUCE[[#This Row],[Ubicacion]],Registros[Ubicacion],Registros[Total], "")</f>
        <v/>
      </c>
      <c r="J12" s="79" t="str">
        <f>_xlfn.XLOOKUP(CRUCE[[#This Row],[Ubicacion]],Registros[Ubicacion],Registros[UMA], "")</f>
        <v/>
      </c>
      <c r="K12" s="39" t="str">
        <f>IF(CRUCE[[#This Row],[TOTAL]]="","",CRUCE[[#This Row],[TOTAL]]-CRUCE[[#This Row],[BULTOS]])</f>
        <v/>
      </c>
      <c r="L12" s="38" t="str">
        <f>IF(CRUCE[[#This Row],[TOTAL]]="", "PENDIENTE", IF(CRUCE[[#This Row],[Diferencia]]=0, "CUADRADO", IF(CRUCE[[#This Row],[Diferencia]]&gt;0, "SOBRANTE", "FALTANTE")))</f>
        <v>PENDIENTE</v>
      </c>
      <c r="M12" s="71" t="str">
        <f>IF(CRUCE[[#This Row],[Diferencia]]="","",IF(CRUCE[[#This Row],[Diferencia]]=0,"OK","RECONTEO"))</f>
        <v/>
      </c>
      <c r="N12" s="39" t="str">
        <f>_xlfn.XLOOKUP(CRUCE[[#This Row],[Ubicacion]],Registros[Ubicacion],Registros[Codigo], "")</f>
        <v/>
      </c>
      <c r="O12" s="25"/>
      <c r="P12" s="25"/>
      <c r="Q12" s="39" t="str">
        <f>IF(CRUCE[[#This Row],[TOTAL2]]="", "PENDIENTE", IF(CRUCE[[#This Row],[DIFERENCIA2]]=0, "CUADRADO", IF(CRUCE[[#This Row],[DIFERENCIA2]]&gt;0, "SOBRANTE", "FALTANTE")))</f>
        <v>PENDIENTE</v>
      </c>
      <c r="R12" s="103" t="s">
        <v>5081</v>
      </c>
      <c r="S12" s="127" t="s">
        <v>5090</v>
      </c>
    </row>
    <row r="13" spans="1:19">
      <c r="A13" s="92" t="s">
        <v>5079</v>
      </c>
      <c r="B13" s="39" t="s">
        <v>4226</v>
      </c>
      <c r="C13" s="26"/>
      <c r="D13" s="35"/>
      <c r="E13" s="26"/>
      <c r="F13" s="26"/>
      <c r="G13" s="26"/>
      <c r="H13" s="39" t="str">
        <f>_xlfn.XLOOKUP(CRUCE[[#This Row],[Ubicacion]],Registros[Ubicacion],Registros[Codigo], "")</f>
        <v/>
      </c>
      <c r="I13" s="26" t="str">
        <f>_xlfn.XLOOKUP(CRUCE[[#This Row],[Ubicacion]],Registros[Ubicacion],Registros[Total], "")</f>
        <v/>
      </c>
      <c r="J13" s="26" t="str">
        <f>_xlfn.XLOOKUP(CRUCE[[#This Row],[Ubicacion]],Registros[Ubicacion],Registros[UMA], "")</f>
        <v/>
      </c>
      <c r="K13" s="39" t="str">
        <f>IF(CRUCE[[#This Row],[TOTAL]]="","",CRUCE[[#This Row],[TOTAL]]-CRUCE[[#This Row],[BULTOS]])</f>
        <v/>
      </c>
      <c r="L13" s="39" t="str">
        <f>IF(CRUCE[[#This Row],[TOTAL]]="", "PENDIENTE", IF(CRUCE[[#This Row],[Diferencia]]=0, "CUADRADO", IF(CRUCE[[#This Row],[Diferencia]]&gt;0, "SOBRANTE", "FALTANTE")))</f>
        <v>PENDIENTE</v>
      </c>
      <c r="M13" s="72" t="str">
        <f>IF(CRUCE[[#This Row],[Diferencia]]="","",IF(CRUCE[[#This Row],[Diferencia]]=0,"OK","RECONTEO"))</f>
        <v/>
      </c>
      <c r="N13" s="39" t="str">
        <f>_xlfn.XLOOKUP(CRUCE[[#This Row],[Ubicacion]],Registros[Ubicacion],Registros[Codigo], "")</f>
        <v/>
      </c>
      <c r="O13" s="26"/>
      <c r="P13" s="26"/>
      <c r="Q13" s="39" t="str">
        <f>IF(CRUCE[[#This Row],[TOTAL2]]="", "PENDIENTE", IF(CRUCE[[#This Row],[DIFERENCIA2]]=0, "CUADRADO", IF(CRUCE[[#This Row],[DIFERENCIA2]]&gt;0, "SOBRANTE", "FALTANTE")))</f>
        <v>PENDIENTE</v>
      </c>
      <c r="R13" s="102" t="s">
        <v>5081</v>
      </c>
      <c r="S13" s="127" t="s">
        <v>5091</v>
      </c>
    </row>
    <row r="14" spans="1:19">
      <c r="A14" s="93" t="s">
        <v>5079</v>
      </c>
      <c r="B14" s="38" t="s">
        <v>3725</v>
      </c>
      <c r="C14" s="38">
        <v>8325084</v>
      </c>
      <c r="D14" s="74">
        <v>67751851006622</v>
      </c>
      <c r="E14" s="38" t="s">
        <v>1598</v>
      </c>
      <c r="F14" s="38">
        <v>60</v>
      </c>
      <c r="G14" s="38" t="s">
        <v>9</v>
      </c>
      <c r="H14" s="39" t="str">
        <f>_xlfn.XLOOKUP(CRUCE[[#This Row],[Ubicacion]],Registros[Ubicacion],Registros[Codigo], "")</f>
        <v/>
      </c>
      <c r="I14" s="25" t="str">
        <f>_xlfn.XLOOKUP(CRUCE[[#This Row],[Ubicacion]],Registros[Ubicacion],Registros[Total], "")</f>
        <v/>
      </c>
      <c r="J14" s="79" t="str">
        <f>_xlfn.XLOOKUP(CRUCE[[#This Row],[Ubicacion]],Registros[Ubicacion],Registros[UMA], "")</f>
        <v/>
      </c>
      <c r="K14" s="39" t="str">
        <f>IF(CRUCE[[#This Row],[TOTAL]]="","",CRUCE[[#This Row],[TOTAL]]-CRUCE[[#This Row],[BULTOS]])</f>
        <v/>
      </c>
      <c r="L14" s="38" t="str">
        <f>IF(CRUCE[[#This Row],[TOTAL]]="", "PENDIENTE", IF(CRUCE[[#This Row],[Diferencia]]=0, "CUADRADO", IF(CRUCE[[#This Row],[Diferencia]]&gt;0, "SOBRANTE", "FALTANTE")))</f>
        <v>PENDIENTE</v>
      </c>
      <c r="M14" s="71" t="str">
        <f>IF(CRUCE[[#This Row],[Diferencia]]="","",IF(CRUCE[[#This Row],[Diferencia]]=0,"OK","RECONTEO"))</f>
        <v/>
      </c>
      <c r="N14" s="39" t="str">
        <f>_xlfn.XLOOKUP(CRUCE[[#This Row],[Ubicacion]],Registros[Ubicacion],Registros[Codigo], "")</f>
        <v/>
      </c>
      <c r="O14" s="25"/>
      <c r="P14" s="25"/>
      <c r="Q14" s="39" t="str">
        <f>IF(CRUCE[[#This Row],[TOTAL2]]="", "PENDIENTE", IF(CRUCE[[#This Row],[DIFERENCIA2]]=0, "CUADRADO", IF(CRUCE[[#This Row],[DIFERENCIA2]]&gt;0, "SOBRANTE", "FALTANTE")))</f>
        <v>PENDIENTE</v>
      </c>
      <c r="R14" s="103" t="s">
        <v>5081</v>
      </c>
      <c r="S14" s="127" t="s">
        <v>5092</v>
      </c>
    </row>
    <row r="15" spans="1:19">
      <c r="A15" s="92" t="s">
        <v>5079</v>
      </c>
      <c r="B15" s="39" t="s">
        <v>3749</v>
      </c>
      <c r="C15" s="39">
        <v>8325115</v>
      </c>
      <c r="D15" s="73">
        <v>37751851005464</v>
      </c>
      <c r="E15" s="39" t="s">
        <v>1650</v>
      </c>
      <c r="F15" s="39">
        <v>87</v>
      </c>
      <c r="G15" s="39" t="s">
        <v>9</v>
      </c>
      <c r="H15" s="39" t="str">
        <f>_xlfn.XLOOKUP(CRUCE[[#This Row],[Ubicacion]],Registros[Ubicacion],Registros[Codigo], "")</f>
        <v/>
      </c>
      <c r="I15" s="26" t="str">
        <f>_xlfn.XLOOKUP(CRUCE[[#This Row],[Ubicacion]],Registros[Ubicacion],Registros[Total], "")</f>
        <v/>
      </c>
      <c r="J15" s="26" t="str">
        <f>_xlfn.XLOOKUP(CRUCE[[#This Row],[Ubicacion]],Registros[Ubicacion],Registros[UMA], "")</f>
        <v/>
      </c>
      <c r="K15" s="39" t="str">
        <f>IF(CRUCE[[#This Row],[TOTAL]]="","",CRUCE[[#This Row],[TOTAL]]-CRUCE[[#This Row],[BULTOS]])</f>
        <v/>
      </c>
      <c r="L15" s="39" t="str">
        <f>IF(CRUCE[[#This Row],[TOTAL]]="", "PENDIENTE", IF(CRUCE[[#This Row],[Diferencia]]=0, "CUADRADO", IF(CRUCE[[#This Row],[Diferencia]]&gt;0, "SOBRANTE", "FALTANTE")))</f>
        <v>PENDIENTE</v>
      </c>
      <c r="M15" s="72" t="str">
        <f>IF(CRUCE[[#This Row],[Diferencia]]="","",IF(CRUCE[[#This Row],[Diferencia]]=0,"OK","RECONTEO"))</f>
        <v/>
      </c>
      <c r="N15" s="39" t="str">
        <f>_xlfn.XLOOKUP(CRUCE[[#This Row],[Ubicacion]],Registros[Ubicacion],Registros[Codigo], "")</f>
        <v/>
      </c>
      <c r="O15" s="26"/>
      <c r="P15" s="26"/>
      <c r="Q15" s="39" t="str">
        <f>IF(CRUCE[[#This Row],[TOTAL2]]="", "PENDIENTE", IF(CRUCE[[#This Row],[DIFERENCIA2]]=0, "CUADRADO", IF(CRUCE[[#This Row],[DIFERENCIA2]]&gt;0, "SOBRANTE", "FALTANTE")))</f>
        <v>PENDIENTE</v>
      </c>
      <c r="R15" s="102" t="s">
        <v>5081</v>
      </c>
      <c r="S15" s="127" t="s">
        <v>5093</v>
      </c>
    </row>
    <row r="16" spans="1:19">
      <c r="A16" s="93" t="s">
        <v>5079</v>
      </c>
      <c r="B16" s="38" t="s">
        <v>3442</v>
      </c>
      <c r="C16" s="38">
        <v>8309028</v>
      </c>
      <c r="D16" s="74">
        <v>27751851006419</v>
      </c>
      <c r="E16" s="38" t="s">
        <v>627</v>
      </c>
      <c r="F16" s="38">
        <v>43</v>
      </c>
      <c r="G16" s="38" t="s">
        <v>9</v>
      </c>
      <c r="H16" s="39" t="str">
        <f>_xlfn.XLOOKUP(CRUCE[[#This Row],[Ubicacion]],Registros[Ubicacion],Registros[Codigo], "")</f>
        <v/>
      </c>
      <c r="I16" s="25" t="str">
        <f>_xlfn.XLOOKUP(CRUCE[[#This Row],[Ubicacion]],Registros[Ubicacion],Registros[Total], "")</f>
        <v/>
      </c>
      <c r="J16" s="79" t="str">
        <f>_xlfn.XLOOKUP(CRUCE[[#This Row],[Ubicacion]],Registros[Ubicacion],Registros[UMA], "")</f>
        <v/>
      </c>
      <c r="K16" s="39" t="str">
        <f>IF(CRUCE[[#This Row],[TOTAL]]="","",CRUCE[[#This Row],[TOTAL]]-CRUCE[[#This Row],[BULTOS]])</f>
        <v/>
      </c>
      <c r="L16" s="38" t="str">
        <f>IF(CRUCE[[#This Row],[TOTAL]]="", "PENDIENTE", IF(CRUCE[[#This Row],[Diferencia]]=0, "CUADRADO", IF(CRUCE[[#This Row],[Diferencia]]&gt;0, "SOBRANTE", "FALTANTE")))</f>
        <v>PENDIENTE</v>
      </c>
      <c r="M16" s="71" t="str">
        <f>IF(CRUCE[[#This Row],[Diferencia]]="","",IF(CRUCE[[#This Row],[Diferencia]]=0,"OK","RECONTEO"))</f>
        <v/>
      </c>
      <c r="N16" s="39" t="str">
        <f>_xlfn.XLOOKUP(CRUCE[[#This Row],[Ubicacion]],Registros[Ubicacion],Registros[Codigo], "")</f>
        <v/>
      </c>
      <c r="O16" s="25"/>
      <c r="P16" s="25"/>
      <c r="Q16" s="39" t="str">
        <f>IF(CRUCE[[#This Row],[TOTAL2]]="", "PENDIENTE", IF(CRUCE[[#This Row],[DIFERENCIA2]]=0, "CUADRADO", IF(CRUCE[[#This Row],[DIFERENCIA2]]&gt;0, "SOBRANTE", "FALTANTE")))</f>
        <v>PENDIENTE</v>
      </c>
      <c r="R16" s="103" t="s">
        <v>5081</v>
      </c>
      <c r="S16" s="129" t="s">
        <v>5094</v>
      </c>
    </row>
    <row r="17" spans="1:19">
      <c r="A17" s="92" t="s">
        <v>5079</v>
      </c>
      <c r="B17" s="39" t="s">
        <v>3438</v>
      </c>
      <c r="C17" s="39">
        <v>8309027</v>
      </c>
      <c r="D17" s="73">
        <v>27751851006402</v>
      </c>
      <c r="E17" s="39" t="s">
        <v>625</v>
      </c>
      <c r="F17" s="39">
        <v>45</v>
      </c>
      <c r="G17" s="39" t="s">
        <v>9</v>
      </c>
      <c r="H17" s="39" t="str">
        <f>_xlfn.XLOOKUP(CRUCE[[#This Row],[Ubicacion]],Registros[Ubicacion],Registros[Codigo], "")</f>
        <v/>
      </c>
      <c r="I17" s="26" t="str">
        <f>_xlfn.XLOOKUP(CRUCE[[#This Row],[Ubicacion]],Registros[Ubicacion],Registros[Total], "")</f>
        <v/>
      </c>
      <c r="J17" s="26" t="str">
        <f>_xlfn.XLOOKUP(CRUCE[[#This Row],[Ubicacion]],Registros[Ubicacion],Registros[UMA], "")</f>
        <v/>
      </c>
      <c r="K17" s="39" t="str">
        <f>IF(CRUCE[[#This Row],[TOTAL]]="","",CRUCE[[#This Row],[TOTAL]]-CRUCE[[#This Row],[BULTOS]])</f>
        <v/>
      </c>
      <c r="L17" s="39" t="str">
        <f>IF(CRUCE[[#This Row],[TOTAL]]="", "PENDIENTE", IF(CRUCE[[#This Row],[Diferencia]]=0, "CUADRADO", IF(CRUCE[[#This Row],[Diferencia]]&gt;0, "SOBRANTE", "FALTANTE")))</f>
        <v>PENDIENTE</v>
      </c>
      <c r="M17" s="72" t="str">
        <f>IF(CRUCE[[#This Row],[Diferencia]]="","",IF(CRUCE[[#This Row],[Diferencia]]=0,"OK","RECONTEO"))</f>
        <v/>
      </c>
      <c r="N17" s="39" t="str">
        <f>_xlfn.XLOOKUP(CRUCE[[#This Row],[Ubicacion]],Registros[Ubicacion],Registros[Codigo], "")</f>
        <v/>
      </c>
      <c r="O17" s="26"/>
      <c r="P17" s="26"/>
      <c r="Q17" s="39" t="str">
        <f>IF(CRUCE[[#This Row],[TOTAL2]]="", "PENDIENTE", IF(CRUCE[[#This Row],[DIFERENCIA2]]=0, "CUADRADO", IF(CRUCE[[#This Row],[DIFERENCIA2]]&gt;0, "SOBRANTE", "FALTANTE")))</f>
        <v>PENDIENTE</v>
      </c>
      <c r="R17" s="102" t="s">
        <v>5081</v>
      </c>
      <c r="S17" s="127" t="s">
        <v>5095</v>
      </c>
    </row>
    <row r="18" spans="1:19">
      <c r="A18" s="93" t="s">
        <v>5079</v>
      </c>
      <c r="B18" s="38" t="s">
        <v>3471</v>
      </c>
      <c r="C18" s="38">
        <v>8309194</v>
      </c>
      <c r="D18" s="74">
        <v>57751851006021</v>
      </c>
      <c r="E18" s="38" t="s">
        <v>703</v>
      </c>
      <c r="F18" s="38">
        <v>17</v>
      </c>
      <c r="G18" s="38" t="s">
        <v>9</v>
      </c>
      <c r="H18" s="39" t="str">
        <f>_xlfn.XLOOKUP(CRUCE[[#This Row],[Ubicacion]],Registros[Ubicacion],Registros[Codigo], "")</f>
        <v/>
      </c>
      <c r="I18" s="25" t="str">
        <f>_xlfn.XLOOKUP(CRUCE[[#This Row],[Ubicacion]],Registros[Ubicacion],Registros[Total], "")</f>
        <v/>
      </c>
      <c r="J18" s="79" t="str">
        <f>_xlfn.XLOOKUP(CRUCE[[#This Row],[Ubicacion]],Registros[Ubicacion],Registros[UMA], "")</f>
        <v/>
      </c>
      <c r="K18" s="39" t="str">
        <f>IF(CRUCE[[#This Row],[TOTAL]]="","",CRUCE[[#This Row],[TOTAL]]-CRUCE[[#This Row],[BULTOS]])</f>
        <v/>
      </c>
      <c r="L18" s="38" t="str">
        <f>IF(CRUCE[[#This Row],[TOTAL]]="", "PENDIENTE", IF(CRUCE[[#This Row],[Diferencia]]=0, "CUADRADO", IF(CRUCE[[#This Row],[Diferencia]]&gt;0, "SOBRANTE", "FALTANTE")))</f>
        <v>PENDIENTE</v>
      </c>
      <c r="M18" s="71" t="str">
        <f>IF(CRUCE[[#This Row],[Diferencia]]="","",IF(CRUCE[[#This Row],[Diferencia]]=0,"OK","RECONTEO"))</f>
        <v/>
      </c>
      <c r="N18" s="39" t="str">
        <f>_xlfn.XLOOKUP(CRUCE[[#This Row],[Ubicacion]],Registros[Ubicacion],Registros[Codigo], "")</f>
        <v/>
      </c>
      <c r="O18" s="25"/>
      <c r="P18" s="25"/>
      <c r="Q18" s="39" t="str">
        <f>IF(CRUCE[[#This Row],[TOTAL2]]="", "PENDIENTE", IF(CRUCE[[#This Row],[DIFERENCIA2]]=0, "CUADRADO", IF(CRUCE[[#This Row],[DIFERENCIA2]]&gt;0, "SOBRANTE", "FALTANTE")))</f>
        <v>PENDIENTE</v>
      </c>
      <c r="R18" s="103" t="s">
        <v>5081</v>
      </c>
      <c r="S18" s="127" t="s">
        <v>5096</v>
      </c>
    </row>
    <row r="19" spans="1:19">
      <c r="A19" s="92" t="s">
        <v>5079</v>
      </c>
      <c r="B19" s="39" t="s">
        <v>3452</v>
      </c>
      <c r="C19" s="39">
        <v>8309120</v>
      </c>
      <c r="D19" s="73">
        <v>37751851005990</v>
      </c>
      <c r="E19" s="39" t="s">
        <v>665</v>
      </c>
      <c r="F19" s="39">
        <v>9</v>
      </c>
      <c r="G19" s="39" t="s">
        <v>9</v>
      </c>
      <c r="H19" s="39" t="str">
        <f>_xlfn.XLOOKUP(CRUCE[[#This Row],[Ubicacion]],Registros[Ubicacion],Registros[Codigo], "")</f>
        <v/>
      </c>
      <c r="I19" s="26" t="str">
        <f>_xlfn.XLOOKUP(CRUCE[[#This Row],[Ubicacion]],Registros[Ubicacion],Registros[Total], "")</f>
        <v/>
      </c>
      <c r="J19" s="26" t="str">
        <f>_xlfn.XLOOKUP(CRUCE[[#This Row],[Ubicacion]],Registros[Ubicacion],Registros[UMA], "")</f>
        <v/>
      </c>
      <c r="K19" s="39" t="str">
        <f>IF(CRUCE[[#This Row],[TOTAL]]="","",CRUCE[[#This Row],[TOTAL]]-CRUCE[[#This Row],[BULTOS]])</f>
        <v/>
      </c>
      <c r="L19" s="39" t="str">
        <f>IF(CRUCE[[#This Row],[TOTAL]]="", "PENDIENTE", IF(CRUCE[[#This Row],[Diferencia]]=0, "CUADRADO", IF(CRUCE[[#This Row],[Diferencia]]&gt;0, "SOBRANTE", "FALTANTE")))</f>
        <v>PENDIENTE</v>
      </c>
      <c r="M19" s="72" t="str">
        <f>IF(CRUCE[[#This Row],[Diferencia]]="","",IF(CRUCE[[#This Row],[Diferencia]]=0,"OK","RECONTEO"))</f>
        <v/>
      </c>
      <c r="N19" s="39" t="str">
        <f>_xlfn.XLOOKUP(CRUCE[[#This Row],[Ubicacion]],Registros[Ubicacion],Registros[Codigo], "")</f>
        <v/>
      </c>
      <c r="O19" s="26"/>
      <c r="P19" s="26"/>
      <c r="Q19" s="39" t="str">
        <f>IF(CRUCE[[#This Row],[TOTAL2]]="", "PENDIENTE", IF(CRUCE[[#This Row],[DIFERENCIA2]]=0, "CUADRADO", IF(CRUCE[[#This Row],[DIFERENCIA2]]&gt;0, "SOBRANTE", "FALTANTE")))</f>
        <v>PENDIENTE</v>
      </c>
      <c r="R19" s="102" t="s">
        <v>5081</v>
      </c>
      <c r="S19" s="127" t="s">
        <v>5097</v>
      </c>
    </row>
    <row r="20" spans="1:19">
      <c r="A20" s="93" t="s">
        <v>5079</v>
      </c>
      <c r="B20" s="38" t="s">
        <v>3446</v>
      </c>
      <c r="C20" s="38">
        <v>8309119</v>
      </c>
      <c r="D20" s="74">
        <v>37751851005983</v>
      </c>
      <c r="E20" s="38" t="s">
        <v>663</v>
      </c>
      <c r="F20" s="38">
        <v>94</v>
      </c>
      <c r="G20" s="38" t="s">
        <v>9</v>
      </c>
      <c r="H20" s="39" t="str">
        <f>_xlfn.XLOOKUP(CRUCE[[#This Row],[Ubicacion]],Registros[Ubicacion],Registros[Codigo], "")</f>
        <v/>
      </c>
      <c r="I20" s="25" t="str">
        <f>_xlfn.XLOOKUP(CRUCE[[#This Row],[Ubicacion]],Registros[Ubicacion],Registros[Total], "")</f>
        <v/>
      </c>
      <c r="J20" s="79" t="str">
        <f>_xlfn.XLOOKUP(CRUCE[[#This Row],[Ubicacion]],Registros[Ubicacion],Registros[UMA], "")</f>
        <v/>
      </c>
      <c r="K20" s="39" t="str">
        <f>IF(CRUCE[[#This Row],[TOTAL]]="","",CRUCE[[#This Row],[TOTAL]]-CRUCE[[#This Row],[BULTOS]])</f>
        <v/>
      </c>
      <c r="L20" s="38" t="str">
        <f>IF(CRUCE[[#This Row],[TOTAL]]="", "PENDIENTE", IF(CRUCE[[#This Row],[Diferencia]]=0, "CUADRADO", IF(CRUCE[[#This Row],[Diferencia]]&gt;0, "SOBRANTE", "FALTANTE")))</f>
        <v>PENDIENTE</v>
      </c>
      <c r="M20" s="71" t="str">
        <f>IF(CRUCE[[#This Row],[Diferencia]]="","",IF(CRUCE[[#This Row],[Diferencia]]=0,"OK","RECONTEO"))</f>
        <v/>
      </c>
      <c r="N20" s="39" t="str">
        <f>_xlfn.XLOOKUP(CRUCE[[#This Row],[Ubicacion]],Registros[Ubicacion],Registros[Codigo], "")</f>
        <v/>
      </c>
      <c r="O20" s="25"/>
      <c r="P20" s="25"/>
      <c r="Q20" s="39" t="str">
        <f>IF(CRUCE[[#This Row],[TOTAL2]]="", "PENDIENTE", IF(CRUCE[[#This Row],[DIFERENCIA2]]=0, "CUADRADO", IF(CRUCE[[#This Row],[DIFERENCIA2]]&gt;0, "SOBRANTE", "FALTANTE")))</f>
        <v>PENDIENTE</v>
      </c>
      <c r="R20" s="103" t="s">
        <v>5081</v>
      </c>
      <c r="S20" s="127" t="s">
        <v>5098</v>
      </c>
    </row>
    <row r="21" spans="1:19">
      <c r="A21" s="92" t="s">
        <v>5079</v>
      </c>
      <c r="B21" s="39" t="s">
        <v>3456</v>
      </c>
      <c r="C21" s="39">
        <v>8309126</v>
      </c>
      <c r="D21" s="73">
        <v>37751851006089</v>
      </c>
      <c r="E21" s="39" t="s">
        <v>675</v>
      </c>
      <c r="F21" s="39">
        <v>22</v>
      </c>
      <c r="G21" s="39" t="s">
        <v>9</v>
      </c>
      <c r="H21" s="39" t="str">
        <f>_xlfn.XLOOKUP(CRUCE[[#This Row],[Ubicacion]],Registros[Ubicacion],Registros[Codigo], "")</f>
        <v/>
      </c>
      <c r="I21" s="26" t="str">
        <f>_xlfn.XLOOKUP(CRUCE[[#This Row],[Ubicacion]],Registros[Ubicacion],Registros[Total], "")</f>
        <v/>
      </c>
      <c r="J21" s="26" t="str">
        <f>_xlfn.XLOOKUP(CRUCE[[#This Row],[Ubicacion]],Registros[Ubicacion],Registros[UMA], "")</f>
        <v/>
      </c>
      <c r="K21" s="39" t="str">
        <f>IF(CRUCE[[#This Row],[TOTAL]]="","",CRUCE[[#This Row],[TOTAL]]-CRUCE[[#This Row],[BULTOS]])</f>
        <v/>
      </c>
      <c r="L21" s="39" t="str">
        <f>IF(CRUCE[[#This Row],[TOTAL]]="", "PENDIENTE", IF(CRUCE[[#This Row],[Diferencia]]=0, "CUADRADO", IF(CRUCE[[#This Row],[Diferencia]]&gt;0, "SOBRANTE", "FALTANTE")))</f>
        <v>PENDIENTE</v>
      </c>
      <c r="M21" s="72" t="str">
        <f>IF(CRUCE[[#This Row],[Diferencia]]="","",IF(CRUCE[[#This Row],[Diferencia]]=0,"OK","RECONTEO"))</f>
        <v/>
      </c>
      <c r="N21" s="39" t="str">
        <f>_xlfn.XLOOKUP(CRUCE[[#This Row],[Ubicacion]],Registros[Ubicacion],Registros[Codigo], "")</f>
        <v/>
      </c>
      <c r="O21" s="26"/>
      <c r="P21" s="26"/>
      <c r="Q21" s="39" t="str">
        <f>IF(CRUCE[[#This Row],[TOTAL2]]="", "PENDIENTE", IF(CRUCE[[#This Row],[DIFERENCIA2]]=0, "CUADRADO", IF(CRUCE[[#This Row],[DIFERENCIA2]]&gt;0, "SOBRANTE", "FALTANTE")))</f>
        <v>PENDIENTE</v>
      </c>
      <c r="R21" s="102" t="s">
        <v>5081</v>
      </c>
      <c r="S21" s="127" t="s">
        <v>5099</v>
      </c>
    </row>
    <row r="22" spans="1:19">
      <c r="A22" s="93" t="s">
        <v>5079</v>
      </c>
      <c r="B22" s="38" t="s">
        <v>3454</v>
      </c>
      <c r="C22" s="38">
        <v>8309121</v>
      </c>
      <c r="D22" s="74">
        <v>37751851006003</v>
      </c>
      <c r="E22" s="38" t="s">
        <v>667</v>
      </c>
      <c r="F22" s="38">
        <v>14</v>
      </c>
      <c r="G22" s="38" t="s">
        <v>9</v>
      </c>
      <c r="H22" s="39" t="str">
        <f>_xlfn.XLOOKUP(CRUCE[[#This Row],[Ubicacion]],Registros[Ubicacion],Registros[Codigo], "")</f>
        <v/>
      </c>
      <c r="I22" s="25" t="str">
        <f>_xlfn.XLOOKUP(CRUCE[[#This Row],[Ubicacion]],Registros[Ubicacion],Registros[Total], "")</f>
        <v/>
      </c>
      <c r="J22" s="79" t="str">
        <f>_xlfn.XLOOKUP(CRUCE[[#This Row],[Ubicacion]],Registros[Ubicacion],Registros[UMA], "")</f>
        <v/>
      </c>
      <c r="K22" s="39" t="str">
        <f>IF(CRUCE[[#This Row],[TOTAL]]="","",CRUCE[[#This Row],[TOTAL]]-CRUCE[[#This Row],[BULTOS]])</f>
        <v/>
      </c>
      <c r="L22" s="38" t="str">
        <f>IF(CRUCE[[#This Row],[TOTAL]]="", "PENDIENTE", IF(CRUCE[[#This Row],[Diferencia]]=0, "CUADRADO", IF(CRUCE[[#This Row],[Diferencia]]&gt;0, "SOBRANTE", "FALTANTE")))</f>
        <v>PENDIENTE</v>
      </c>
      <c r="M22" s="71" t="str">
        <f>IF(CRUCE[[#This Row],[Diferencia]]="","",IF(CRUCE[[#This Row],[Diferencia]]=0,"OK","RECONTEO"))</f>
        <v/>
      </c>
      <c r="N22" s="39" t="str">
        <f>_xlfn.XLOOKUP(CRUCE[[#This Row],[Ubicacion]],Registros[Ubicacion],Registros[Codigo], "")</f>
        <v/>
      </c>
      <c r="O22" s="25"/>
      <c r="P22" s="25"/>
      <c r="Q22" s="39" t="str">
        <f>IF(CRUCE[[#This Row],[TOTAL2]]="", "PENDIENTE", IF(CRUCE[[#This Row],[DIFERENCIA2]]=0, "CUADRADO", IF(CRUCE[[#This Row],[DIFERENCIA2]]&gt;0, "SOBRANTE", "FALTANTE")))</f>
        <v>PENDIENTE</v>
      </c>
      <c r="R22" s="103" t="s">
        <v>5081</v>
      </c>
      <c r="S22" s="127" t="s">
        <v>5100</v>
      </c>
    </row>
    <row r="23" spans="1:19">
      <c r="A23" s="92" t="s">
        <v>5079</v>
      </c>
      <c r="B23" s="39" t="s">
        <v>3468</v>
      </c>
      <c r="C23" s="39">
        <v>8309131</v>
      </c>
      <c r="D23" s="73">
        <v>27750243066864</v>
      </c>
      <c r="E23" s="39" t="s">
        <v>685</v>
      </c>
      <c r="F23" s="39">
        <v>19</v>
      </c>
      <c r="G23" s="39" t="s">
        <v>9</v>
      </c>
      <c r="H23" s="39" t="str">
        <f>_xlfn.XLOOKUP(CRUCE[[#This Row],[Ubicacion]],Registros[Ubicacion],Registros[Codigo], "")</f>
        <v/>
      </c>
      <c r="I23" s="26" t="str">
        <f>_xlfn.XLOOKUP(CRUCE[[#This Row],[Ubicacion]],Registros[Ubicacion],Registros[Total], "")</f>
        <v/>
      </c>
      <c r="J23" s="26" t="str">
        <f>_xlfn.XLOOKUP(CRUCE[[#This Row],[Ubicacion]],Registros[Ubicacion],Registros[UMA], "")</f>
        <v/>
      </c>
      <c r="K23" s="39" t="str">
        <f>IF(CRUCE[[#This Row],[TOTAL]]="","",CRUCE[[#This Row],[TOTAL]]-CRUCE[[#This Row],[BULTOS]])</f>
        <v/>
      </c>
      <c r="L23" s="39" t="str">
        <f>IF(CRUCE[[#This Row],[TOTAL]]="", "PENDIENTE", IF(CRUCE[[#This Row],[Diferencia]]=0, "CUADRADO", IF(CRUCE[[#This Row],[Diferencia]]&gt;0, "SOBRANTE", "FALTANTE")))</f>
        <v>PENDIENTE</v>
      </c>
      <c r="M23" s="72" t="str">
        <f>IF(CRUCE[[#This Row],[Diferencia]]="","",IF(CRUCE[[#This Row],[Diferencia]]=0,"OK","RECONTEO"))</f>
        <v/>
      </c>
      <c r="N23" s="39" t="str">
        <f>_xlfn.XLOOKUP(CRUCE[[#This Row],[Ubicacion]],Registros[Ubicacion],Registros[Codigo], "")</f>
        <v/>
      </c>
      <c r="O23" s="26"/>
      <c r="P23" s="26"/>
      <c r="Q23" s="39" t="str">
        <f>IF(CRUCE[[#This Row],[TOTAL2]]="", "PENDIENTE", IF(CRUCE[[#This Row],[DIFERENCIA2]]=0, "CUADRADO", IF(CRUCE[[#This Row],[DIFERENCIA2]]&gt;0, "SOBRANTE", "FALTANTE")))</f>
        <v>PENDIENTE</v>
      </c>
      <c r="R23" s="102" t="s">
        <v>5081</v>
      </c>
      <c r="S23" s="127" t="s">
        <v>5101</v>
      </c>
    </row>
    <row r="24" spans="1:19">
      <c r="A24" s="93" t="s">
        <v>5079</v>
      </c>
      <c r="B24" s="38" t="s">
        <v>3458</v>
      </c>
      <c r="C24" s="38">
        <v>8309128</v>
      </c>
      <c r="D24" s="74">
        <v>27751851013264</v>
      </c>
      <c r="E24" s="38" t="s">
        <v>679</v>
      </c>
      <c r="F24" s="38">
        <v>17</v>
      </c>
      <c r="G24" s="38" t="s">
        <v>9</v>
      </c>
      <c r="H24" s="39" t="str">
        <f>_xlfn.XLOOKUP(CRUCE[[#This Row],[Ubicacion]],Registros[Ubicacion],Registros[Codigo], "")</f>
        <v/>
      </c>
      <c r="I24" s="25" t="str">
        <f>_xlfn.XLOOKUP(CRUCE[[#This Row],[Ubicacion]],Registros[Ubicacion],Registros[Total], "")</f>
        <v/>
      </c>
      <c r="J24" s="79" t="str">
        <f>_xlfn.XLOOKUP(CRUCE[[#This Row],[Ubicacion]],Registros[Ubicacion],Registros[UMA], "")</f>
        <v/>
      </c>
      <c r="K24" s="39" t="str">
        <f>IF(CRUCE[[#This Row],[TOTAL]]="","",CRUCE[[#This Row],[TOTAL]]-CRUCE[[#This Row],[BULTOS]])</f>
        <v/>
      </c>
      <c r="L24" s="38" t="str">
        <f>IF(CRUCE[[#This Row],[TOTAL]]="", "PENDIENTE", IF(CRUCE[[#This Row],[Diferencia]]=0, "CUADRADO", IF(CRUCE[[#This Row],[Diferencia]]&gt;0, "SOBRANTE", "FALTANTE")))</f>
        <v>PENDIENTE</v>
      </c>
      <c r="M24" s="71" t="str">
        <f>IF(CRUCE[[#This Row],[Diferencia]]="","",IF(CRUCE[[#This Row],[Diferencia]]=0,"OK","RECONTEO"))</f>
        <v/>
      </c>
      <c r="N24" s="39" t="str">
        <f>_xlfn.XLOOKUP(CRUCE[[#This Row],[Ubicacion]],Registros[Ubicacion],Registros[Codigo], "")</f>
        <v/>
      </c>
      <c r="O24" s="25"/>
      <c r="P24" s="25"/>
      <c r="Q24" s="39" t="str">
        <f>IF(CRUCE[[#This Row],[TOTAL2]]="", "PENDIENTE", IF(CRUCE[[#This Row],[DIFERENCIA2]]=0, "CUADRADO", IF(CRUCE[[#This Row],[DIFERENCIA2]]&gt;0, "SOBRANTE", "FALTANTE")))</f>
        <v>PENDIENTE</v>
      </c>
      <c r="R24" s="103" t="s">
        <v>5081</v>
      </c>
      <c r="S24" s="127" t="s">
        <v>5102</v>
      </c>
    </row>
    <row r="25" spans="1:19">
      <c r="A25" s="92" t="s">
        <v>5079</v>
      </c>
      <c r="B25" s="39" t="s">
        <v>3735</v>
      </c>
      <c r="C25" s="39">
        <v>8325102</v>
      </c>
      <c r="D25" s="73">
        <v>47751851010281</v>
      </c>
      <c r="E25" s="39" t="s">
        <v>1624</v>
      </c>
      <c r="F25" s="39">
        <v>56</v>
      </c>
      <c r="G25" s="39" t="s">
        <v>9</v>
      </c>
      <c r="H25" s="39" t="str">
        <f>_xlfn.XLOOKUP(CRUCE[[#This Row],[Ubicacion]],Registros[Ubicacion],Registros[Codigo], "")</f>
        <v/>
      </c>
      <c r="I25" s="26" t="str">
        <f>_xlfn.XLOOKUP(CRUCE[[#This Row],[Ubicacion]],Registros[Ubicacion],Registros[Total], "")</f>
        <v/>
      </c>
      <c r="J25" s="26" t="str">
        <f>_xlfn.XLOOKUP(CRUCE[[#This Row],[Ubicacion]],Registros[Ubicacion],Registros[UMA], "")</f>
        <v/>
      </c>
      <c r="K25" s="39" t="str">
        <f>IF(CRUCE[[#This Row],[TOTAL]]="","",CRUCE[[#This Row],[TOTAL]]-CRUCE[[#This Row],[BULTOS]])</f>
        <v/>
      </c>
      <c r="L25" s="39" t="str">
        <f>IF(CRUCE[[#This Row],[TOTAL]]="", "PENDIENTE", IF(CRUCE[[#This Row],[Diferencia]]=0, "CUADRADO", IF(CRUCE[[#This Row],[Diferencia]]&gt;0, "SOBRANTE", "FALTANTE")))</f>
        <v>PENDIENTE</v>
      </c>
      <c r="M25" s="72" t="str">
        <f>IF(CRUCE[[#This Row],[Diferencia]]="","",IF(CRUCE[[#This Row],[Diferencia]]=0,"OK","RECONTEO"))</f>
        <v/>
      </c>
      <c r="N25" s="39" t="str">
        <f>_xlfn.XLOOKUP(CRUCE[[#This Row],[Ubicacion]],Registros[Ubicacion],Registros[Codigo], "")</f>
        <v/>
      </c>
      <c r="O25" s="26"/>
      <c r="P25" s="26"/>
      <c r="Q25" s="39" t="str">
        <f>IF(CRUCE[[#This Row],[TOTAL2]]="", "PENDIENTE", IF(CRUCE[[#This Row],[DIFERENCIA2]]=0, "CUADRADO", IF(CRUCE[[#This Row],[DIFERENCIA2]]&gt;0, "SOBRANTE", "FALTANTE")))</f>
        <v>PENDIENTE</v>
      </c>
      <c r="R25" s="102" t="s">
        <v>5081</v>
      </c>
      <c r="S25" s="127" t="s">
        <v>5103</v>
      </c>
    </row>
    <row r="26" spans="1:19">
      <c r="A26" s="93" t="s">
        <v>5079</v>
      </c>
      <c r="B26" s="38" t="s">
        <v>3462</v>
      </c>
      <c r="C26" s="38">
        <v>8309129</v>
      </c>
      <c r="D26" s="74">
        <v>27751851025212</v>
      </c>
      <c r="E26" s="38" t="s">
        <v>681</v>
      </c>
      <c r="F26" s="38">
        <v>35</v>
      </c>
      <c r="G26" s="38" t="s">
        <v>9</v>
      </c>
      <c r="H26" s="39" t="str">
        <f>_xlfn.XLOOKUP(CRUCE[[#This Row],[Ubicacion]],Registros[Ubicacion],Registros[Codigo], "")</f>
        <v/>
      </c>
      <c r="I26" s="25" t="str">
        <f>_xlfn.XLOOKUP(CRUCE[[#This Row],[Ubicacion]],Registros[Ubicacion],Registros[Total], "")</f>
        <v/>
      </c>
      <c r="J26" s="79" t="str">
        <f>_xlfn.XLOOKUP(CRUCE[[#This Row],[Ubicacion]],Registros[Ubicacion],Registros[UMA], "")</f>
        <v/>
      </c>
      <c r="K26" s="39" t="str">
        <f>IF(CRUCE[[#This Row],[TOTAL]]="","",CRUCE[[#This Row],[TOTAL]]-CRUCE[[#This Row],[BULTOS]])</f>
        <v/>
      </c>
      <c r="L26" s="38" t="str">
        <f>IF(CRUCE[[#This Row],[TOTAL]]="", "PENDIENTE", IF(CRUCE[[#This Row],[Diferencia]]=0, "CUADRADO", IF(CRUCE[[#This Row],[Diferencia]]&gt;0, "SOBRANTE", "FALTANTE")))</f>
        <v>PENDIENTE</v>
      </c>
      <c r="M26" s="71" t="str">
        <f>IF(CRUCE[[#This Row],[Diferencia]]="","",IF(CRUCE[[#This Row],[Diferencia]]=0,"OK","RECONTEO"))</f>
        <v/>
      </c>
      <c r="N26" s="39" t="str">
        <f>_xlfn.XLOOKUP(CRUCE[[#This Row],[Ubicacion]],Registros[Ubicacion],Registros[Codigo], "")</f>
        <v/>
      </c>
      <c r="O26" s="25"/>
      <c r="P26" s="25"/>
      <c r="Q26" s="39" t="str">
        <f>IF(CRUCE[[#This Row],[TOTAL2]]="", "PENDIENTE", IF(CRUCE[[#This Row],[DIFERENCIA2]]=0, "CUADRADO", IF(CRUCE[[#This Row],[DIFERENCIA2]]&gt;0, "SOBRANTE", "FALTANTE")))</f>
        <v>PENDIENTE</v>
      </c>
      <c r="R26" s="103" t="s">
        <v>5081</v>
      </c>
      <c r="S26" s="127" t="s">
        <v>5104</v>
      </c>
    </row>
    <row r="27" spans="1:19">
      <c r="A27" s="92" t="s">
        <v>5079</v>
      </c>
      <c r="B27" s="39" t="s">
        <v>3464</v>
      </c>
      <c r="C27" s="39">
        <v>8309130</v>
      </c>
      <c r="D27" s="73">
        <v>27750243066857</v>
      </c>
      <c r="E27" s="39" t="s">
        <v>683</v>
      </c>
      <c r="F27" s="39">
        <v>38</v>
      </c>
      <c r="G27" s="39" t="s">
        <v>9</v>
      </c>
      <c r="H27" s="39" t="str">
        <f>_xlfn.XLOOKUP(CRUCE[[#This Row],[Ubicacion]],Registros[Ubicacion],Registros[Codigo], "")</f>
        <v/>
      </c>
      <c r="I27" s="26" t="str">
        <f>_xlfn.XLOOKUP(CRUCE[[#This Row],[Ubicacion]],Registros[Ubicacion],Registros[Total], "")</f>
        <v/>
      </c>
      <c r="J27" s="26" t="str">
        <f>_xlfn.XLOOKUP(CRUCE[[#This Row],[Ubicacion]],Registros[Ubicacion],Registros[UMA], "")</f>
        <v/>
      </c>
      <c r="K27" s="39" t="str">
        <f>IF(CRUCE[[#This Row],[TOTAL]]="","",CRUCE[[#This Row],[TOTAL]]-CRUCE[[#This Row],[BULTOS]])</f>
        <v/>
      </c>
      <c r="L27" s="39" t="str">
        <f>IF(CRUCE[[#This Row],[TOTAL]]="", "PENDIENTE", IF(CRUCE[[#This Row],[Diferencia]]=0, "CUADRADO", IF(CRUCE[[#This Row],[Diferencia]]&gt;0, "SOBRANTE", "FALTANTE")))</f>
        <v>PENDIENTE</v>
      </c>
      <c r="M27" s="72" t="str">
        <f>IF(CRUCE[[#This Row],[Diferencia]]="","",IF(CRUCE[[#This Row],[Diferencia]]=0,"OK","RECONTEO"))</f>
        <v/>
      </c>
      <c r="N27" s="39" t="str">
        <f>_xlfn.XLOOKUP(CRUCE[[#This Row],[Ubicacion]],Registros[Ubicacion],Registros[Codigo], "")</f>
        <v/>
      </c>
      <c r="O27" s="26"/>
      <c r="P27" s="26"/>
      <c r="Q27" s="39" t="str">
        <f>IF(CRUCE[[#This Row],[TOTAL2]]="", "PENDIENTE", IF(CRUCE[[#This Row],[DIFERENCIA2]]=0, "CUADRADO", IF(CRUCE[[#This Row],[DIFERENCIA2]]&gt;0, "SOBRANTE", "FALTANTE")))</f>
        <v>PENDIENTE</v>
      </c>
      <c r="R27" s="102" t="s">
        <v>5081</v>
      </c>
      <c r="S27" s="127" t="s">
        <v>5105</v>
      </c>
    </row>
    <row r="28" spans="1:19">
      <c r="A28" s="93" t="s">
        <v>5079</v>
      </c>
      <c r="B28" s="38" t="s">
        <v>3746</v>
      </c>
      <c r="C28" s="38">
        <v>8325114</v>
      </c>
      <c r="D28" s="74">
        <v>77751851006612</v>
      </c>
      <c r="E28" s="38" t="s">
        <v>1648</v>
      </c>
      <c r="F28" s="38">
        <v>99</v>
      </c>
      <c r="G28" s="38" t="s">
        <v>9</v>
      </c>
      <c r="H28" s="39" t="str">
        <f>_xlfn.XLOOKUP(CRUCE[[#This Row],[Ubicacion]],Registros[Ubicacion],Registros[Codigo], "")</f>
        <v/>
      </c>
      <c r="I28" s="25" t="str">
        <f>_xlfn.XLOOKUP(CRUCE[[#This Row],[Ubicacion]],Registros[Ubicacion],Registros[Total], "")</f>
        <v/>
      </c>
      <c r="J28" s="79" t="str">
        <f>_xlfn.XLOOKUP(CRUCE[[#This Row],[Ubicacion]],Registros[Ubicacion],Registros[UMA], "")</f>
        <v/>
      </c>
      <c r="K28" s="39" t="str">
        <f>IF(CRUCE[[#This Row],[TOTAL]]="","",CRUCE[[#This Row],[TOTAL]]-CRUCE[[#This Row],[BULTOS]])</f>
        <v/>
      </c>
      <c r="L28" s="38" t="str">
        <f>IF(CRUCE[[#This Row],[TOTAL]]="", "PENDIENTE", IF(CRUCE[[#This Row],[Diferencia]]=0, "CUADRADO", IF(CRUCE[[#This Row],[Diferencia]]&gt;0, "SOBRANTE", "FALTANTE")))</f>
        <v>PENDIENTE</v>
      </c>
      <c r="M28" s="71" t="str">
        <f>IF(CRUCE[[#This Row],[Diferencia]]="","",IF(CRUCE[[#This Row],[Diferencia]]=0,"OK","RECONTEO"))</f>
        <v/>
      </c>
      <c r="N28" s="39" t="str">
        <f>_xlfn.XLOOKUP(CRUCE[[#This Row],[Ubicacion]],Registros[Ubicacion],Registros[Codigo], "")</f>
        <v/>
      </c>
      <c r="O28" s="25"/>
      <c r="P28" s="25"/>
      <c r="Q28" s="39" t="str">
        <f>IF(CRUCE[[#This Row],[TOTAL2]]="", "PENDIENTE", IF(CRUCE[[#This Row],[DIFERENCIA2]]=0, "CUADRADO", IF(CRUCE[[#This Row],[DIFERENCIA2]]&gt;0, "SOBRANTE", "FALTANTE")))</f>
        <v>PENDIENTE</v>
      </c>
      <c r="R28" s="103" t="s">
        <v>5081</v>
      </c>
      <c r="S28" s="127" t="s">
        <v>5106</v>
      </c>
    </row>
    <row r="29" spans="1:19">
      <c r="A29" s="92" t="s">
        <v>5079</v>
      </c>
      <c r="B29" s="39" t="s">
        <v>4243</v>
      </c>
      <c r="C29" s="26"/>
      <c r="D29" s="35"/>
      <c r="E29" s="26"/>
      <c r="F29" s="26"/>
      <c r="G29" s="26"/>
      <c r="H29" s="39" t="str">
        <f>_xlfn.XLOOKUP(CRUCE[[#This Row],[Ubicacion]],Registros[Ubicacion],Registros[Codigo], "")</f>
        <v/>
      </c>
      <c r="I29" s="26" t="str">
        <f>_xlfn.XLOOKUP(CRUCE[[#This Row],[Ubicacion]],Registros[Ubicacion],Registros[Total], "")</f>
        <v/>
      </c>
      <c r="J29" s="26" t="str">
        <f>_xlfn.XLOOKUP(CRUCE[[#This Row],[Ubicacion]],Registros[Ubicacion],Registros[UMA], "")</f>
        <v/>
      </c>
      <c r="K29" s="39" t="str">
        <f>IF(CRUCE[[#This Row],[TOTAL]]="","",CRUCE[[#This Row],[TOTAL]]-CRUCE[[#This Row],[BULTOS]])</f>
        <v/>
      </c>
      <c r="L29" s="39" t="str">
        <f>IF(CRUCE[[#This Row],[TOTAL]]="", "PENDIENTE", IF(CRUCE[[#This Row],[Diferencia]]=0, "CUADRADO", IF(CRUCE[[#This Row],[Diferencia]]&gt;0, "SOBRANTE", "FALTANTE")))</f>
        <v>PENDIENTE</v>
      </c>
      <c r="M29" s="72" t="str">
        <f>IF(CRUCE[[#This Row],[Diferencia]]="","",IF(CRUCE[[#This Row],[Diferencia]]=0,"OK","RECONTEO"))</f>
        <v/>
      </c>
      <c r="N29" s="39" t="str">
        <f>_xlfn.XLOOKUP(CRUCE[[#This Row],[Ubicacion]],Registros[Ubicacion],Registros[Codigo], "")</f>
        <v/>
      </c>
      <c r="O29" s="26"/>
      <c r="P29" s="26"/>
      <c r="Q29" s="39" t="str">
        <f>IF(CRUCE[[#This Row],[TOTAL2]]="", "PENDIENTE", IF(CRUCE[[#This Row],[DIFERENCIA2]]=0, "CUADRADO", IF(CRUCE[[#This Row],[DIFERENCIA2]]&gt;0, "SOBRANTE", "FALTANTE")))</f>
        <v>PENDIENTE</v>
      </c>
      <c r="R29" s="102" t="s">
        <v>5081</v>
      </c>
      <c r="S29" s="127" t="s">
        <v>5107</v>
      </c>
    </row>
    <row r="30" spans="1:19">
      <c r="A30" s="93" t="s">
        <v>5079</v>
      </c>
      <c r="B30" s="38" t="s">
        <v>4245</v>
      </c>
      <c r="C30" s="25"/>
      <c r="D30" s="34"/>
      <c r="E30" s="25"/>
      <c r="F30" s="25"/>
      <c r="G30" s="25"/>
      <c r="H30" s="39" t="str">
        <f>_xlfn.XLOOKUP(CRUCE[[#This Row],[Ubicacion]],Registros[Ubicacion],Registros[Codigo], "")</f>
        <v/>
      </c>
      <c r="I30" s="25" t="str">
        <f>_xlfn.XLOOKUP(CRUCE[[#This Row],[Ubicacion]],Registros[Ubicacion],Registros[Total], "")</f>
        <v/>
      </c>
      <c r="J30" s="79" t="str">
        <f>_xlfn.XLOOKUP(CRUCE[[#This Row],[Ubicacion]],Registros[Ubicacion],Registros[UMA], "")</f>
        <v/>
      </c>
      <c r="K30" s="39" t="str">
        <f>IF(CRUCE[[#This Row],[TOTAL]]="","",CRUCE[[#This Row],[TOTAL]]-CRUCE[[#This Row],[BULTOS]])</f>
        <v/>
      </c>
      <c r="L30" s="38" t="str">
        <f>IF(CRUCE[[#This Row],[TOTAL]]="", "PENDIENTE", IF(CRUCE[[#This Row],[Diferencia]]=0, "CUADRADO", IF(CRUCE[[#This Row],[Diferencia]]&gt;0, "SOBRANTE", "FALTANTE")))</f>
        <v>PENDIENTE</v>
      </c>
      <c r="M30" s="71" t="str">
        <f>IF(CRUCE[[#This Row],[Diferencia]]="","",IF(CRUCE[[#This Row],[Diferencia]]=0,"OK","RECONTEO"))</f>
        <v/>
      </c>
      <c r="N30" s="39" t="str">
        <f>_xlfn.XLOOKUP(CRUCE[[#This Row],[Ubicacion]],Registros[Ubicacion],Registros[Codigo], "")</f>
        <v/>
      </c>
      <c r="O30" s="25"/>
      <c r="P30" s="25"/>
      <c r="Q30" s="39" t="str">
        <f>IF(CRUCE[[#This Row],[TOTAL2]]="", "PENDIENTE", IF(CRUCE[[#This Row],[DIFERENCIA2]]=0, "CUADRADO", IF(CRUCE[[#This Row],[DIFERENCIA2]]&gt;0, "SOBRANTE", "FALTANTE")))</f>
        <v>PENDIENTE</v>
      </c>
      <c r="R30" s="103" t="s">
        <v>5081</v>
      </c>
      <c r="S30" s="127" t="s">
        <v>5108</v>
      </c>
    </row>
    <row r="31" spans="1:19">
      <c r="A31" s="92" t="s">
        <v>5079</v>
      </c>
      <c r="B31" s="39" t="s">
        <v>4247</v>
      </c>
      <c r="C31" s="26"/>
      <c r="D31" s="35"/>
      <c r="E31" s="26"/>
      <c r="F31" s="26"/>
      <c r="G31" s="26"/>
      <c r="H31" s="39" t="str">
        <f>_xlfn.XLOOKUP(CRUCE[[#This Row],[Ubicacion]],Registros[Ubicacion],Registros[Codigo], "")</f>
        <v/>
      </c>
      <c r="I31" s="26" t="str">
        <f>_xlfn.XLOOKUP(CRUCE[[#This Row],[Ubicacion]],Registros[Ubicacion],Registros[Total], "")</f>
        <v/>
      </c>
      <c r="J31" s="26" t="str">
        <f>_xlfn.XLOOKUP(CRUCE[[#This Row],[Ubicacion]],Registros[Ubicacion],Registros[UMA], "")</f>
        <v/>
      </c>
      <c r="K31" s="39" t="str">
        <f>IF(CRUCE[[#This Row],[TOTAL]]="","",CRUCE[[#This Row],[TOTAL]]-CRUCE[[#This Row],[BULTOS]])</f>
        <v/>
      </c>
      <c r="L31" s="39" t="str">
        <f>IF(CRUCE[[#This Row],[TOTAL]]="", "PENDIENTE", IF(CRUCE[[#This Row],[Diferencia]]=0, "CUADRADO", IF(CRUCE[[#This Row],[Diferencia]]&gt;0, "SOBRANTE", "FALTANTE")))</f>
        <v>PENDIENTE</v>
      </c>
      <c r="M31" s="72" t="str">
        <f>IF(CRUCE[[#This Row],[Diferencia]]="","",IF(CRUCE[[#This Row],[Diferencia]]=0,"OK","RECONTEO"))</f>
        <v/>
      </c>
      <c r="N31" s="39" t="str">
        <f>_xlfn.XLOOKUP(CRUCE[[#This Row],[Ubicacion]],Registros[Ubicacion],Registros[Codigo], "")</f>
        <v/>
      </c>
      <c r="O31" s="26"/>
      <c r="P31" s="26"/>
      <c r="Q31" s="39" t="str">
        <f>IF(CRUCE[[#This Row],[TOTAL2]]="", "PENDIENTE", IF(CRUCE[[#This Row],[DIFERENCIA2]]=0, "CUADRADO", IF(CRUCE[[#This Row],[DIFERENCIA2]]&gt;0, "SOBRANTE", "FALTANTE")))</f>
        <v>PENDIENTE</v>
      </c>
      <c r="R31" s="102" t="s">
        <v>5081</v>
      </c>
      <c r="S31" s="127" t="s">
        <v>5109</v>
      </c>
    </row>
    <row r="32" spans="1:19">
      <c r="A32" s="93" t="s">
        <v>5079</v>
      </c>
      <c r="B32" s="38" t="s">
        <v>4249</v>
      </c>
      <c r="C32" s="25"/>
      <c r="D32" s="34"/>
      <c r="E32" s="25"/>
      <c r="F32" s="25"/>
      <c r="G32" s="25"/>
      <c r="H32" s="39" t="str">
        <f>_xlfn.XLOOKUP(CRUCE[[#This Row],[Ubicacion]],Registros[Ubicacion],Registros[Codigo], "")</f>
        <v/>
      </c>
      <c r="I32" s="25" t="str">
        <f>_xlfn.XLOOKUP(CRUCE[[#This Row],[Ubicacion]],Registros[Ubicacion],Registros[Total], "")</f>
        <v/>
      </c>
      <c r="J32" s="79" t="str">
        <f>_xlfn.XLOOKUP(CRUCE[[#This Row],[Ubicacion]],Registros[Ubicacion],Registros[UMA], "")</f>
        <v/>
      </c>
      <c r="K32" s="39" t="str">
        <f>IF(CRUCE[[#This Row],[TOTAL]]="","",CRUCE[[#This Row],[TOTAL]]-CRUCE[[#This Row],[BULTOS]])</f>
        <v/>
      </c>
      <c r="L32" s="38" t="str">
        <f>IF(CRUCE[[#This Row],[TOTAL]]="", "PENDIENTE", IF(CRUCE[[#This Row],[Diferencia]]=0, "CUADRADO", IF(CRUCE[[#This Row],[Diferencia]]&gt;0, "SOBRANTE", "FALTANTE")))</f>
        <v>PENDIENTE</v>
      </c>
      <c r="M32" s="71" t="str">
        <f>IF(CRUCE[[#This Row],[Diferencia]]="","",IF(CRUCE[[#This Row],[Diferencia]]=0,"OK","RECONTEO"))</f>
        <v/>
      </c>
      <c r="N32" s="39" t="str">
        <f>_xlfn.XLOOKUP(CRUCE[[#This Row],[Ubicacion]],Registros[Ubicacion],Registros[Codigo], "")</f>
        <v/>
      </c>
      <c r="O32" s="25"/>
      <c r="P32" s="25"/>
      <c r="Q32" s="39" t="str">
        <f>IF(CRUCE[[#This Row],[TOTAL2]]="", "PENDIENTE", IF(CRUCE[[#This Row],[DIFERENCIA2]]=0, "CUADRADO", IF(CRUCE[[#This Row],[DIFERENCIA2]]&gt;0, "SOBRANTE", "FALTANTE")))</f>
        <v>PENDIENTE</v>
      </c>
      <c r="R32" s="103" t="s">
        <v>5081</v>
      </c>
      <c r="S32" s="129" t="s">
        <v>5110</v>
      </c>
    </row>
    <row r="33" spans="1:19">
      <c r="A33" s="92" t="s">
        <v>5079</v>
      </c>
      <c r="B33" s="39" t="s">
        <v>4251</v>
      </c>
      <c r="C33" s="26"/>
      <c r="D33" s="35"/>
      <c r="E33" s="26"/>
      <c r="F33" s="26"/>
      <c r="G33" s="26"/>
      <c r="H33" s="39" t="str">
        <f>_xlfn.XLOOKUP(CRUCE[[#This Row],[Ubicacion]],Registros[Ubicacion],Registros[Codigo], "")</f>
        <v/>
      </c>
      <c r="I33" s="26" t="str">
        <f>_xlfn.XLOOKUP(CRUCE[[#This Row],[Ubicacion]],Registros[Ubicacion],Registros[Total], "")</f>
        <v/>
      </c>
      <c r="J33" s="26" t="str">
        <f>_xlfn.XLOOKUP(CRUCE[[#This Row],[Ubicacion]],Registros[Ubicacion],Registros[UMA], "")</f>
        <v/>
      </c>
      <c r="K33" s="39" t="str">
        <f>IF(CRUCE[[#This Row],[TOTAL]]="","",CRUCE[[#This Row],[TOTAL]]-CRUCE[[#This Row],[BULTOS]])</f>
        <v/>
      </c>
      <c r="L33" s="39" t="str">
        <f>IF(CRUCE[[#This Row],[TOTAL]]="", "PENDIENTE", IF(CRUCE[[#This Row],[Diferencia]]=0, "CUADRADO", IF(CRUCE[[#This Row],[Diferencia]]&gt;0, "SOBRANTE", "FALTANTE")))</f>
        <v>PENDIENTE</v>
      </c>
      <c r="M33" s="72" t="str">
        <f>IF(CRUCE[[#This Row],[Diferencia]]="","",IF(CRUCE[[#This Row],[Diferencia]]=0,"OK","RECONTEO"))</f>
        <v/>
      </c>
      <c r="N33" s="39" t="str">
        <f>_xlfn.XLOOKUP(CRUCE[[#This Row],[Ubicacion]],Registros[Ubicacion],Registros[Codigo], "")</f>
        <v/>
      </c>
      <c r="O33" s="26"/>
      <c r="P33" s="26"/>
      <c r="Q33" s="39" t="str">
        <f>IF(CRUCE[[#This Row],[TOTAL2]]="", "PENDIENTE", IF(CRUCE[[#This Row],[DIFERENCIA2]]=0, "CUADRADO", IF(CRUCE[[#This Row],[DIFERENCIA2]]&gt;0, "SOBRANTE", "FALTANTE")))</f>
        <v>PENDIENTE</v>
      </c>
      <c r="R33" s="102" t="s">
        <v>5081</v>
      </c>
      <c r="S33" s="127" t="s">
        <v>5111</v>
      </c>
    </row>
    <row r="34" spans="1:19">
      <c r="A34" s="93" t="s">
        <v>5079</v>
      </c>
      <c r="B34" s="38" t="s">
        <v>4253</v>
      </c>
      <c r="C34" s="25"/>
      <c r="D34" s="34"/>
      <c r="E34" s="25"/>
      <c r="F34" s="25"/>
      <c r="G34" s="25"/>
      <c r="H34" s="39" t="str">
        <f>_xlfn.XLOOKUP(CRUCE[[#This Row],[Ubicacion]],Registros[Ubicacion],Registros[Codigo], "")</f>
        <v/>
      </c>
      <c r="I34" s="25" t="str">
        <f>_xlfn.XLOOKUP(CRUCE[[#This Row],[Ubicacion]],Registros[Ubicacion],Registros[Total], "")</f>
        <v/>
      </c>
      <c r="J34" s="79" t="str">
        <f>_xlfn.XLOOKUP(CRUCE[[#This Row],[Ubicacion]],Registros[Ubicacion],Registros[UMA], "")</f>
        <v/>
      </c>
      <c r="K34" s="39" t="str">
        <f>IF(CRUCE[[#This Row],[TOTAL]]="","",CRUCE[[#This Row],[TOTAL]]-CRUCE[[#This Row],[BULTOS]])</f>
        <v/>
      </c>
      <c r="L34" s="38" t="str">
        <f>IF(CRUCE[[#This Row],[TOTAL]]="", "PENDIENTE", IF(CRUCE[[#This Row],[Diferencia]]=0, "CUADRADO", IF(CRUCE[[#This Row],[Diferencia]]&gt;0, "SOBRANTE", "FALTANTE")))</f>
        <v>PENDIENTE</v>
      </c>
      <c r="M34" s="71" t="str">
        <f>IF(CRUCE[[#This Row],[Diferencia]]="","",IF(CRUCE[[#This Row],[Diferencia]]=0,"OK","RECONTEO"))</f>
        <v/>
      </c>
      <c r="N34" s="39" t="str">
        <f>_xlfn.XLOOKUP(CRUCE[[#This Row],[Ubicacion]],Registros[Ubicacion],Registros[Codigo], "")</f>
        <v/>
      </c>
      <c r="O34" s="25"/>
      <c r="P34" s="25"/>
      <c r="Q34" s="39" t="str">
        <f>IF(CRUCE[[#This Row],[TOTAL2]]="", "PENDIENTE", IF(CRUCE[[#This Row],[DIFERENCIA2]]=0, "CUADRADO", IF(CRUCE[[#This Row],[DIFERENCIA2]]&gt;0, "SOBRANTE", "FALTANTE")))</f>
        <v>PENDIENTE</v>
      </c>
      <c r="R34" s="103" t="s">
        <v>5081</v>
      </c>
      <c r="S34" s="127" t="s">
        <v>5112</v>
      </c>
    </row>
    <row r="35" spans="1:19">
      <c r="A35" s="92" t="s">
        <v>5079</v>
      </c>
      <c r="B35" s="39" t="s">
        <v>4255</v>
      </c>
      <c r="C35" s="26"/>
      <c r="D35" s="35"/>
      <c r="E35" s="26"/>
      <c r="F35" s="26"/>
      <c r="G35" s="26"/>
      <c r="H35" s="39" t="str">
        <f>_xlfn.XLOOKUP(CRUCE[[#This Row],[Ubicacion]],Registros[Ubicacion],Registros[Codigo], "")</f>
        <v/>
      </c>
      <c r="I35" s="26" t="str">
        <f>_xlfn.XLOOKUP(CRUCE[[#This Row],[Ubicacion]],Registros[Ubicacion],Registros[Total], "")</f>
        <v/>
      </c>
      <c r="J35" s="26" t="str">
        <f>_xlfn.XLOOKUP(CRUCE[[#This Row],[Ubicacion]],Registros[Ubicacion],Registros[UMA], "")</f>
        <v/>
      </c>
      <c r="K35" s="39" t="str">
        <f>IF(CRUCE[[#This Row],[TOTAL]]="","",CRUCE[[#This Row],[TOTAL]]-CRUCE[[#This Row],[BULTOS]])</f>
        <v/>
      </c>
      <c r="L35" s="39" t="str">
        <f>IF(CRUCE[[#This Row],[TOTAL]]="", "PENDIENTE", IF(CRUCE[[#This Row],[Diferencia]]=0, "CUADRADO", IF(CRUCE[[#This Row],[Diferencia]]&gt;0, "SOBRANTE", "FALTANTE")))</f>
        <v>PENDIENTE</v>
      </c>
      <c r="M35" s="72" t="str">
        <f>IF(CRUCE[[#This Row],[Diferencia]]="","",IF(CRUCE[[#This Row],[Diferencia]]=0,"OK","RECONTEO"))</f>
        <v/>
      </c>
      <c r="N35" s="39" t="str">
        <f>_xlfn.XLOOKUP(CRUCE[[#This Row],[Ubicacion]],Registros[Ubicacion],Registros[Codigo], "")</f>
        <v/>
      </c>
      <c r="O35" s="26"/>
      <c r="P35" s="26"/>
      <c r="Q35" s="39" t="str">
        <f>IF(CRUCE[[#This Row],[TOTAL2]]="", "PENDIENTE", IF(CRUCE[[#This Row],[DIFERENCIA2]]=0, "CUADRADO", IF(CRUCE[[#This Row],[DIFERENCIA2]]&gt;0, "SOBRANTE", "FALTANTE")))</f>
        <v>PENDIENTE</v>
      </c>
      <c r="R35" s="102" t="s">
        <v>5081</v>
      </c>
      <c r="S35" s="127" t="s">
        <v>5113</v>
      </c>
    </row>
    <row r="36" spans="1:19">
      <c r="A36" s="93" t="s">
        <v>5079</v>
      </c>
      <c r="B36" s="38" t="s">
        <v>4257</v>
      </c>
      <c r="C36" s="25"/>
      <c r="D36" s="34"/>
      <c r="E36" s="25"/>
      <c r="F36" s="25"/>
      <c r="G36" s="25"/>
      <c r="H36" s="39" t="str">
        <f>_xlfn.XLOOKUP(CRUCE[[#This Row],[Ubicacion]],Registros[Ubicacion],Registros[Codigo], "")</f>
        <v/>
      </c>
      <c r="I36" s="25" t="str">
        <f>_xlfn.XLOOKUP(CRUCE[[#This Row],[Ubicacion]],Registros[Ubicacion],Registros[Total], "")</f>
        <v/>
      </c>
      <c r="J36" s="79" t="str">
        <f>_xlfn.XLOOKUP(CRUCE[[#This Row],[Ubicacion]],Registros[Ubicacion],Registros[UMA], "")</f>
        <v/>
      </c>
      <c r="K36" s="39" t="str">
        <f>IF(CRUCE[[#This Row],[TOTAL]]="","",CRUCE[[#This Row],[TOTAL]]-CRUCE[[#This Row],[BULTOS]])</f>
        <v/>
      </c>
      <c r="L36" s="38" t="str">
        <f>IF(CRUCE[[#This Row],[TOTAL]]="", "PENDIENTE", IF(CRUCE[[#This Row],[Diferencia]]=0, "CUADRADO", IF(CRUCE[[#This Row],[Diferencia]]&gt;0, "SOBRANTE", "FALTANTE")))</f>
        <v>PENDIENTE</v>
      </c>
      <c r="M36" s="71" t="str">
        <f>IF(CRUCE[[#This Row],[Diferencia]]="","",IF(CRUCE[[#This Row],[Diferencia]]=0,"OK","RECONTEO"))</f>
        <v/>
      </c>
      <c r="N36" s="39" t="str">
        <f>_xlfn.XLOOKUP(CRUCE[[#This Row],[Ubicacion]],Registros[Ubicacion],Registros[Codigo], "")</f>
        <v/>
      </c>
      <c r="O36" s="25"/>
      <c r="P36" s="25"/>
      <c r="Q36" s="39" t="str">
        <f>IF(CRUCE[[#This Row],[TOTAL2]]="", "PENDIENTE", IF(CRUCE[[#This Row],[DIFERENCIA2]]=0, "CUADRADO", IF(CRUCE[[#This Row],[DIFERENCIA2]]&gt;0, "SOBRANTE", "FALTANTE")))</f>
        <v>PENDIENTE</v>
      </c>
      <c r="R36" s="103" t="s">
        <v>5081</v>
      </c>
      <c r="S36" s="129" t="s">
        <v>5114</v>
      </c>
    </row>
    <row r="37" spans="1:19">
      <c r="A37" s="92" t="s">
        <v>5079</v>
      </c>
      <c r="B37" s="39" t="s">
        <v>4259</v>
      </c>
      <c r="C37" s="26"/>
      <c r="D37" s="35"/>
      <c r="E37" s="26"/>
      <c r="F37" s="26"/>
      <c r="G37" s="26"/>
      <c r="H37" s="39" t="str">
        <f>_xlfn.XLOOKUP(CRUCE[[#This Row],[Ubicacion]],Registros[Ubicacion],Registros[Codigo], "")</f>
        <v/>
      </c>
      <c r="I37" s="26" t="str">
        <f>_xlfn.XLOOKUP(CRUCE[[#This Row],[Ubicacion]],Registros[Ubicacion],Registros[Total], "")</f>
        <v/>
      </c>
      <c r="J37" s="26" t="str">
        <f>_xlfn.XLOOKUP(CRUCE[[#This Row],[Ubicacion]],Registros[Ubicacion],Registros[UMA], "")</f>
        <v/>
      </c>
      <c r="K37" s="39" t="str">
        <f>IF(CRUCE[[#This Row],[TOTAL]]="","",CRUCE[[#This Row],[TOTAL]]-CRUCE[[#This Row],[BULTOS]])</f>
        <v/>
      </c>
      <c r="L37" s="39" t="str">
        <f>IF(CRUCE[[#This Row],[TOTAL]]="", "PENDIENTE", IF(CRUCE[[#This Row],[Diferencia]]=0, "CUADRADO", IF(CRUCE[[#This Row],[Diferencia]]&gt;0, "SOBRANTE", "FALTANTE")))</f>
        <v>PENDIENTE</v>
      </c>
      <c r="M37" s="72" t="str">
        <f>IF(CRUCE[[#This Row],[Diferencia]]="","",IF(CRUCE[[#This Row],[Diferencia]]=0,"OK","RECONTEO"))</f>
        <v/>
      </c>
      <c r="N37" s="39" t="str">
        <f>_xlfn.XLOOKUP(CRUCE[[#This Row],[Ubicacion]],Registros[Ubicacion],Registros[Codigo], "")</f>
        <v/>
      </c>
      <c r="O37" s="26"/>
      <c r="P37" s="26"/>
      <c r="Q37" s="39" t="str">
        <f>IF(CRUCE[[#This Row],[TOTAL2]]="", "PENDIENTE", IF(CRUCE[[#This Row],[DIFERENCIA2]]=0, "CUADRADO", IF(CRUCE[[#This Row],[DIFERENCIA2]]&gt;0, "SOBRANTE", "FALTANTE")))</f>
        <v>PENDIENTE</v>
      </c>
      <c r="R37" s="102" t="s">
        <v>5081</v>
      </c>
      <c r="S37" s="127" t="s">
        <v>5115</v>
      </c>
    </row>
    <row r="38" spans="1:19">
      <c r="A38" s="93" t="s">
        <v>5079</v>
      </c>
      <c r="B38" s="38" t="s">
        <v>4261</v>
      </c>
      <c r="C38" s="25"/>
      <c r="D38" s="34"/>
      <c r="E38" s="25"/>
      <c r="F38" s="25"/>
      <c r="G38" s="25"/>
      <c r="H38" s="39" t="str">
        <f>_xlfn.XLOOKUP(CRUCE[[#This Row],[Ubicacion]],Registros[Ubicacion],Registros[Codigo], "")</f>
        <v/>
      </c>
      <c r="I38" s="25" t="str">
        <f>_xlfn.XLOOKUP(CRUCE[[#This Row],[Ubicacion]],Registros[Ubicacion],Registros[Total], "")</f>
        <v/>
      </c>
      <c r="J38" s="79" t="str">
        <f>_xlfn.XLOOKUP(CRUCE[[#This Row],[Ubicacion]],Registros[Ubicacion],Registros[UMA], "")</f>
        <v/>
      </c>
      <c r="K38" s="39" t="str">
        <f>IF(CRUCE[[#This Row],[TOTAL]]="","",CRUCE[[#This Row],[TOTAL]]-CRUCE[[#This Row],[BULTOS]])</f>
        <v/>
      </c>
      <c r="L38" s="38" t="str">
        <f>IF(CRUCE[[#This Row],[TOTAL]]="", "PENDIENTE", IF(CRUCE[[#This Row],[Diferencia]]=0, "CUADRADO", IF(CRUCE[[#This Row],[Diferencia]]&gt;0, "SOBRANTE", "FALTANTE")))</f>
        <v>PENDIENTE</v>
      </c>
      <c r="M38" s="71" t="str">
        <f>IF(CRUCE[[#This Row],[Diferencia]]="","",IF(CRUCE[[#This Row],[Diferencia]]=0,"OK","RECONTEO"))</f>
        <v/>
      </c>
      <c r="N38" s="39" t="str">
        <f>_xlfn.XLOOKUP(CRUCE[[#This Row],[Ubicacion]],Registros[Ubicacion],Registros[Codigo], "")</f>
        <v/>
      </c>
      <c r="O38" s="25"/>
      <c r="P38" s="25"/>
      <c r="Q38" s="39" t="str">
        <f>IF(CRUCE[[#This Row],[TOTAL2]]="", "PENDIENTE", IF(CRUCE[[#This Row],[DIFERENCIA2]]=0, "CUADRADO", IF(CRUCE[[#This Row],[DIFERENCIA2]]&gt;0, "SOBRANTE", "FALTANTE")))</f>
        <v>PENDIENTE</v>
      </c>
      <c r="R38" s="103" t="s">
        <v>5081</v>
      </c>
      <c r="S38" s="127" t="s">
        <v>5116</v>
      </c>
    </row>
    <row r="39" spans="1:19">
      <c r="A39" s="92" t="s">
        <v>5079</v>
      </c>
      <c r="B39" s="39" t="s">
        <v>4263</v>
      </c>
      <c r="C39" s="26"/>
      <c r="D39" s="35"/>
      <c r="E39" s="26"/>
      <c r="F39" s="26"/>
      <c r="G39" s="26"/>
      <c r="H39" s="39" t="str">
        <f>_xlfn.XLOOKUP(CRUCE[[#This Row],[Ubicacion]],Registros[Ubicacion],Registros[Codigo], "")</f>
        <v/>
      </c>
      <c r="I39" s="26" t="str">
        <f>_xlfn.XLOOKUP(CRUCE[[#This Row],[Ubicacion]],Registros[Ubicacion],Registros[Total], "")</f>
        <v/>
      </c>
      <c r="J39" s="26" t="str">
        <f>_xlfn.XLOOKUP(CRUCE[[#This Row],[Ubicacion]],Registros[Ubicacion],Registros[UMA], "")</f>
        <v/>
      </c>
      <c r="K39" s="39" t="str">
        <f>IF(CRUCE[[#This Row],[TOTAL]]="","",CRUCE[[#This Row],[TOTAL]]-CRUCE[[#This Row],[BULTOS]])</f>
        <v/>
      </c>
      <c r="L39" s="39" t="str">
        <f>IF(CRUCE[[#This Row],[TOTAL]]="", "PENDIENTE", IF(CRUCE[[#This Row],[Diferencia]]=0, "CUADRADO", IF(CRUCE[[#This Row],[Diferencia]]&gt;0, "SOBRANTE", "FALTANTE")))</f>
        <v>PENDIENTE</v>
      </c>
      <c r="M39" s="72" t="str">
        <f>IF(CRUCE[[#This Row],[Diferencia]]="","",IF(CRUCE[[#This Row],[Diferencia]]=0,"OK","RECONTEO"))</f>
        <v/>
      </c>
      <c r="N39" s="39" t="str">
        <f>_xlfn.XLOOKUP(CRUCE[[#This Row],[Ubicacion]],Registros[Ubicacion],Registros[Codigo], "")</f>
        <v/>
      </c>
      <c r="O39" s="26"/>
      <c r="P39" s="26"/>
      <c r="Q39" s="39" t="str">
        <f>IF(CRUCE[[#This Row],[TOTAL2]]="", "PENDIENTE", IF(CRUCE[[#This Row],[DIFERENCIA2]]=0, "CUADRADO", IF(CRUCE[[#This Row],[DIFERENCIA2]]&gt;0, "SOBRANTE", "FALTANTE")))</f>
        <v>PENDIENTE</v>
      </c>
      <c r="R39" s="102" t="s">
        <v>5081</v>
      </c>
      <c r="S39" s="127" t="s">
        <v>5117</v>
      </c>
    </row>
    <row r="40" spans="1:19">
      <c r="A40" s="93" t="s">
        <v>5079</v>
      </c>
      <c r="B40" s="38" t="s">
        <v>4265</v>
      </c>
      <c r="C40" s="25"/>
      <c r="D40" s="34"/>
      <c r="E40" s="25"/>
      <c r="F40" s="25"/>
      <c r="G40" s="25"/>
      <c r="H40" s="39" t="str">
        <f>_xlfn.XLOOKUP(CRUCE[[#This Row],[Ubicacion]],Registros[Ubicacion],Registros[Codigo], "")</f>
        <v/>
      </c>
      <c r="I40" s="25" t="str">
        <f>_xlfn.XLOOKUP(CRUCE[[#This Row],[Ubicacion]],Registros[Ubicacion],Registros[Total], "")</f>
        <v/>
      </c>
      <c r="J40" s="79" t="str">
        <f>_xlfn.XLOOKUP(CRUCE[[#This Row],[Ubicacion]],Registros[Ubicacion],Registros[UMA], "")</f>
        <v/>
      </c>
      <c r="K40" s="39" t="str">
        <f>IF(CRUCE[[#This Row],[TOTAL]]="","",CRUCE[[#This Row],[TOTAL]]-CRUCE[[#This Row],[BULTOS]])</f>
        <v/>
      </c>
      <c r="L40" s="38" t="str">
        <f>IF(CRUCE[[#This Row],[TOTAL]]="", "PENDIENTE", IF(CRUCE[[#This Row],[Diferencia]]=0, "CUADRADO", IF(CRUCE[[#This Row],[Diferencia]]&gt;0, "SOBRANTE", "FALTANTE")))</f>
        <v>PENDIENTE</v>
      </c>
      <c r="M40" s="71" t="str">
        <f>IF(CRUCE[[#This Row],[Diferencia]]="","",IF(CRUCE[[#This Row],[Diferencia]]=0,"OK","RECONTEO"))</f>
        <v/>
      </c>
      <c r="N40" s="39" t="str">
        <f>_xlfn.XLOOKUP(CRUCE[[#This Row],[Ubicacion]],Registros[Ubicacion],Registros[Codigo], "")</f>
        <v/>
      </c>
      <c r="O40" s="25"/>
      <c r="P40" s="25"/>
      <c r="Q40" s="39" t="str">
        <f>IF(CRUCE[[#This Row],[TOTAL2]]="", "PENDIENTE", IF(CRUCE[[#This Row],[DIFERENCIA2]]=0, "CUADRADO", IF(CRUCE[[#This Row],[DIFERENCIA2]]&gt;0, "SOBRANTE", "FALTANTE")))</f>
        <v>PENDIENTE</v>
      </c>
      <c r="R40" s="103" t="s">
        <v>5081</v>
      </c>
      <c r="S40" s="127" t="s">
        <v>5118</v>
      </c>
    </row>
    <row r="41" spans="1:19">
      <c r="A41" s="92" t="s">
        <v>5079</v>
      </c>
      <c r="B41" s="39" t="s">
        <v>4267</v>
      </c>
      <c r="C41" s="26"/>
      <c r="D41" s="35"/>
      <c r="E41" s="26"/>
      <c r="F41" s="26"/>
      <c r="G41" s="26"/>
      <c r="H41" s="39" t="str">
        <f>_xlfn.XLOOKUP(CRUCE[[#This Row],[Ubicacion]],Registros[Ubicacion],Registros[Codigo], "")</f>
        <v/>
      </c>
      <c r="I41" s="26" t="str">
        <f>_xlfn.XLOOKUP(CRUCE[[#This Row],[Ubicacion]],Registros[Ubicacion],Registros[Total], "")</f>
        <v/>
      </c>
      <c r="J41" s="26" t="str">
        <f>_xlfn.XLOOKUP(CRUCE[[#This Row],[Ubicacion]],Registros[Ubicacion],Registros[UMA], "")</f>
        <v/>
      </c>
      <c r="K41" s="39" t="str">
        <f>IF(CRUCE[[#This Row],[TOTAL]]="","",CRUCE[[#This Row],[TOTAL]]-CRUCE[[#This Row],[BULTOS]])</f>
        <v/>
      </c>
      <c r="L41" s="39" t="str">
        <f>IF(CRUCE[[#This Row],[TOTAL]]="", "PENDIENTE", IF(CRUCE[[#This Row],[Diferencia]]=0, "CUADRADO", IF(CRUCE[[#This Row],[Diferencia]]&gt;0, "SOBRANTE", "FALTANTE")))</f>
        <v>PENDIENTE</v>
      </c>
      <c r="M41" s="72" t="str">
        <f>IF(CRUCE[[#This Row],[Diferencia]]="","",IF(CRUCE[[#This Row],[Diferencia]]=0,"OK","RECONTEO"))</f>
        <v/>
      </c>
      <c r="N41" s="39" t="str">
        <f>_xlfn.XLOOKUP(CRUCE[[#This Row],[Ubicacion]],Registros[Ubicacion],Registros[Codigo], "")</f>
        <v/>
      </c>
      <c r="O41" s="26"/>
      <c r="P41" s="26"/>
      <c r="Q41" s="39" t="str">
        <f>IF(CRUCE[[#This Row],[TOTAL2]]="", "PENDIENTE", IF(CRUCE[[#This Row],[DIFERENCIA2]]=0, "CUADRADO", IF(CRUCE[[#This Row],[DIFERENCIA2]]&gt;0, "SOBRANTE", "FALTANTE")))</f>
        <v>PENDIENTE</v>
      </c>
      <c r="R41" s="102" t="s">
        <v>5081</v>
      </c>
      <c r="S41" s="127" t="s">
        <v>5119</v>
      </c>
    </row>
    <row r="42" spans="1:19">
      <c r="A42" s="93" t="s">
        <v>5079</v>
      </c>
      <c r="B42" s="38" t="s">
        <v>3449</v>
      </c>
      <c r="C42" s="38">
        <v>8309119</v>
      </c>
      <c r="D42" s="74">
        <v>37751851005983</v>
      </c>
      <c r="E42" s="38" t="s">
        <v>663</v>
      </c>
      <c r="F42" s="38">
        <v>94</v>
      </c>
      <c r="G42" s="38" t="s">
        <v>9</v>
      </c>
      <c r="H42" s="39" t="str">
        <f>_xlfn.XLOOKUP(CRUCE[[#This Row],[Ubicacion]],Registros[Ubicacion],Registros[Codigo], "")</f>
        <v/>
      </c>
      <c r="I42" s="25" t="str">
        <f>_xlfn.XLOOKUP(CRUCE[[#This Row],[Ubicacion]],Registros[Ubicacion],Registros[Total], "")</f>
        <v/>
      </c>
      <c r="J42" s="79" t="str">
        <f>_xlfn.XLOOKUP(CRUCE[[#This Row],[Ubicacion]],Registros[Ubicacion],Registros[UMA], "")</f>
        <v/>
      </c>
      <c r="K42" s="39" t="str">
        <f>IF(CRUCE[[#This Row],[TOTAL]]="","",CRUCE[[#This Row],[TOTAL]]-CRUCE[[#This Row],[BULTOS]])</f>
        <v/>
      </c>
      <c r="L42" s="38" t="str">
        <f>IF(CRUCE[[#This Row],[TOTAL]]="", "PENDIENTE", IF(CRUCE[[#This Row],[Diferencia]]=0, "CUADRADO", IF(CRUCE[[#This Row],[Diferencia]]&gt;0, "SOBRANTE", "FALTANTE")))</f>
        <v>PENDIENTE</v>
      </c>
      <c r="M42" s="71" t="str">
        <f>IF(CRUCE[[#This Row],[Diferencia]]="","",IF(CRUCE[[#This Row],[Diferencia]]=0,"OK","RECONTEO"))</f>
        <v/>
      </c>
      <c r="N42" s="39" t="str">
        <f>_xlfn.XLOOKUP(CRUCE[[#This Row],[Ubicacion]],Registros[Ubicacion],Registros[Codigo], "")</f>
        <v/>
      </c>
      <c r="O42" s="25"/>
      <c r="P42" s="25"/>
      <c r="Q42" s="39" t="str">
        <f>IF(CRUCE[[#This Row],[TOTAL2]]="", "PENDIENTE", IF(CRUCE[[#This Row],[DIFERENCIA2]]=0, "CUADRADO", IF(CRUCE[[#This Row],[DIFERENCIA2]]&gt;0, "SOBRANTE", "FALTANTE")))</f>
        <v>PENDIENTE</v>
      </c>
      <c r="R42" s="103" t="s">
        <v>5081</v>
      </c>
      <c r="S42" s="127" t="s">
        <v>5120</v>
      </c>
    </row>
    <row r="43" spans="1:19">
      <c r="A43" s="92" t="s">
        <v>5121</v>
      </c>
      <c r="B43" s="39" t="s">
        <v>4270</v>
      </c>
      <c r="C43" s="26"/>
      <c r="D43" s="35"/>
      <c r="E43" s="26"/>
      <c r="F43" s="26"/>
      <c r="G43" s="26"/>
      <c r="H43" s="39" t="str">
        <f>_xlfn.XLOOKUP(CRUCE[[#This Row],[Ubicacion]],Registros[Ubicacion],Registros[Codigo], "")</f>
        <v/>
      </c>
      <c r="I43" s="26" t="str">
        <f>_xlfn.XLOOKUP(CRUCE[[#This Row],[Ubicacion]],Registros[Ubicacion],Registros[Total], "")</f>
        <v/>
      </c>
      <c r="J43" s="26" t="str">
        <f>_xlfn.XLOOKUP(CRUCE[[#This Row],[Ubicacion]],Registros[Ubicacion],Registros[UMA], "")</f>
        <v/>
      </c>
      <c r="K43" s="39" t="str">
        <f>IF(CRUCE[[#This Row],[TOTAL]]="","",CRUCE[[#This Row],[TOTAL]]-CRUCE[[#This Row],[BULTOS]])</f>
        <v/>
      </c>
      <c r="L43" s="39" t="str">
        <f>IF(CRUCE[[#This Row],[TOTAL]]="", "PENDIENTE", IF(CRUCE[[#This Row],[Diferencia]]=0, "CUADRADO", IF(CRUCE[[#This Row],[Diferencia]]&gt;0, "SOBRANTE", "FALTANTE")))</f>
        <v>PENDIENTE</v>
      </c>
      <c r="M43" s="72" t="str">
        <f>IF(CRUCE[[#This Row],[Diferencia]]="","",IF(CRUCE[[#This Row],[Diferencia]]=0,"OK","RECONTEO"))</f>
        <v/>
      </c>
      <c r="N43" s="39" t="str">
        <f>_xlfn.XLOOKUP(CRUCE[[#This Row],[Ubicacion]],Registros[Ubicacion],Registros[Codigo], "")</f>
        <v/>
      </c>
      <c r="O43" s="26"/>
      <c r="P43" s="26"/>
      <c r="Q43" s="39" t="str">
        <f>IF(CRUCE[[#This Row],[TOTAL2]]="", "PENDIENTE", IF(CRUCE[[#This Row],[DIFERENCIA2]]=0, "CUADRADO", IF(CRUCE[[#This Row],[DIFERENCIA2]]&gt;0, "SOBRANTE", "FALTANTE")))</f>
        <v>PENDIENTE</v>
      </c>
      <c r="R43" s="102" t="s">
        <v>5081</v>
      </c>
      <c r="S43" s="127" t="s">
        <v>5122</v>
      </c>
    </row>
    <row r="44" spans="1:19">
      <c r="A44" s="93" t="s">
        <v>5121</v>
      </c>
      <c r="B44" s="38" t="s">
        <v>4272</v>
      </c>
      <c r="C44" s="25"/>
      <c r="D44" s="34"/>
      <c r="E44" s="25"/>
      <c r="F44" s="25"/>
      <c r="G44" s="25"/>
      <c r="H44" s="39" t="str">
        <f>_xlfn.XLOOKUP(CRUCE[[#This Row],[Ubicacion]],Registros[Ubicacion],Registros[Codigo], "")</f>
        <v/>
      </c>
      <c r="I44" s="25" t="str">
        <f>_xlfn.XLOOKUP(CRUCE[[#This Row],[Ubicacion]],Registros[Ubicacion],Registros[Total], "")</f>
        <v/>
      </c>
      <c r="J44" s="79" t="str">
        <f>_xlfn.XLOOKUP(CRUCE[[#This Row],[Ubicacion]],Registros[Ubicacion],Registros[UMA], "")</f>
        <v/>
      </c>
      <c r="K44" s="39" t="str">
        <f>IF(CRUCE[[#This Row],[TOTAL]]="","",CRUCE[[#This Row],[TOTAL]]-CRUCE[[#This Row],[BULTOS]])</f>
        <v/>
      </c>
      <c r="L44" s="38" t="str">
        <f>IF(CRUCE[[#This Row],[TOTAL]]="", "PENDIENTE", IF(CRUCE[[#This Row],[Diferencia]]=0, "CUADRADO", IF(CRUCE[[#This Row],[Diferencia]]&gt;0, "SOBRANTE", "FALTANTE")))</f>
        <v>PENDIENTE</v>
      </c>
      <c r="M44" s="71" t="str">
        <f>IF(CRUCE[[#This Row],[Diferencia]]="","",IF(CRUCE[[#This Row],[Diferencia]]=0,"OK","RECONTEO"))</f>
        <v/>
      </c>
      <c r="N44" s="39" t="str">
        <f>_xlfn.XLOOKUP(CRUCE[[#This Row],[Ubicacion]],Registros[Ubicacion],Registros[Codigo], "")</f>
        <v/>
      </c>
      <c r="O44" s="25"/>
      <c r="P44" s="25"/>
      <c r="Q44" s="39" t="str">
        <f>IF(CRUCE[[#This Row],[TOTAL2]]="", "PENDIENTE", IF(CRUCE[[#This Row],[DIFERENCIA2]]=0, "CUADRADO", IF(CRUCE[[#This Row],[DIFERENCIA2]]&gt;0, "SOBRANTE", "FALTANTE")))</f>
        <v>PENDIENTE</v>
      </c>
      <c r="R44" s="103" t="s">
        <v>5081</v>
      </c>
      <c r="S44" s="127" t="s">
        <v>5123</v>
      </c>
    </row>
    <row r="45" spans="1:19">
      <c r="A45" s="92" t="s">
        <v>5121</v>
      </c>
      <c r="B45" s="39" t="s">
        <v>4274</v>
      </c>
      <c r="C45" s="26"/>
      <c r="D45" s="35"/>
      <c r="E45" s="26"/>
      <c r="F45" s="26"/>
      <c r="G45" s="26"/>
      <c r="H45" s="39" t="str">
        <f>_xlfn.XLOOKUP(CRUCE[[#This Row],[Ubicacion]],Registros[Ubicacion],Registros[Codigo], "")</f>
        <v/>
      </c>
      <c r="I45" s="26" t="str">
        <f>_xlfn.XLOOKUP(CRUCE[[#This Row],[Ubicacion]],Registros[Ubicacion],Registros[Total], "")</f>
        <v/>
      </c>
      <c r="J45" s="26" t="str">
        <f>_xlfn.XLOOKUP(CRUCE[[#This Row],[Ubicacion]],Registros[Ubicacion],Registros[UMA], "")</f>
        <v/>
      </c>
      <c r="K45" s="39" t="str">
        <f>IF(CRUCE[[#This Row],[TOTAL]]="","",CRUCE[[#This Row],[TOTAL]]-CRUCE[[#This Row],[BULTOS]])</f>
        <v/>
      </c>
      <c r="L45" s="39" t="str">
        <f>IF(CRUCE[[#This Row],[TOTAL]]="", "PENDIENTE", IF(CRUCE[[#This Row],[Diferencia]]=0, "CUADRADO", IF(CRUCE[[#This Row],[Diferencia]]&gt;0, "SOBRANTE", "FALTANTE")))</f>
        <v>PENDIENTE</v>
      </c>
      <c r="M45" s="72" t="str">
        <f>IF(CRUCE[[#This Row],[Diferencia]]="","",IF(CRUCE[[#This Row],[Diferencia]]=0,"OK","RECONTEO"))</f>
        <v/>
      </c>
      <c r="N45" s="39" t="str">
        <f>_xlfn.XLOOKUP(CRUCE[[#This Row],[Ubicacion]],Registros[Ubicacion],Registros[Codigo], "")</f>
        <v/>
      </c>
      <c r="O45" s="26"/>
      <c r="P45" s="26"/>
      <c r="Q45" s="39" t="str">
        <f>IF(CRUCE[[#This Row],[TOTAL2]]="", "PENDIENTE", IF(CRUCE[[#This Row],[DIFERENCIA2]]=0, "CUADRADO", IF(CRUCE[[#This Row],[DIFERENCIA2]]&gt;0, "SOBRANTE", "FALTANTE")))</f>
        <v>PENDIENTE</v>
      </c>
      <c r="R45" s="102" t="s">
        <v>5081</v>
      </c>
      <c r="S45" s="127" t="s">
        <v>5124</v>
      </c>
    </row>
    <row r="46" spans="1:19">
      <c r="A46" s="93" t="s">
        <v>5121</v>
      </c>
      <c r="B46" s="38" t="s">
        <v>4276</v>
      </c>
      <c r="C46" s="25"/>
      <c r="D46" s="34"/>
      <c r="E46" s="25"/>
      <c r="F46" s="25"/>
      <c r="G46" s="25"/>
      <c r="H46" s="39" t="str">
        <f>_xlfn.XLOOKUP(CRUCE[[#This Row],[Ubicacion]],Registros[Ubicacion],Registros[Codigo], "")</f>
        <v/>
      </c>
      <c r="I46" s="25" t="str">
        <f>_xlfn.XLOOKUP(CRUCE[[#This Row],[Ubicacion]],Registros[Ubicacion],Registros[Total], "")</f>
        <v/>
      </c>
      <c r="J46" s="79" t="str">
        <f>_xlfn.XLOOKUP(CRUCE[[#This Row],[Ubicacion]],Registros[Ubicacion],Registros[UMA], "")</f>
        <v/>
      </c>
      <c r="K46" s="39" t="str">
        <f>IF(CRUCE[[#This Row],[TOTAL]]="","",CRUCE[[#This Row],[TOTAL]]-CRUCE[[#This Row],[BULTOS]])</f>
        <v/>
      </c>
      <c r="L46" s="38" t="str">
        <f>IF(CRUCE[[#This Row],[TOTAL]]="", "PENDIENTE", IF(CRUCE[[#This Row],[Diferencia]]=0, "CUADRADO", IF(CRUCE[[#This Row],[Diferencia]]&gt;0, "SOBRANTE", "FALTANTE")))</f>
        <v>PENDIENTE</v>
      </c>
      <c r="M46" s="71" t="str">
        <f>IF(CRUCE[[#This Row],[Diferencia]]="","",IF(CRUCE[[#This Row],[Diferencia]]=0,"OK","RECONTEO"))</f>
        <v/>
      </c>
      <c r="N46" s="39" t="str">
        <f>_xlfn.XLOOKUP(CRUCE[[#This Row],[Ubicacion]],Registros[Ubicacion],Registros[Codigo], "")</f>
        <v/>
      </c>
      <c r="O46" s="25"/>
      <c r="P46" s="25"/>
      <c r="Q46" s="39" t="str">
        <f>IF(CRUCE[[#This Row],[TOTAL2]]="", "PENDIENTE", IF(CRUCE[[#This Row],[DIFERENCIA2]]=0, "CUADRADO", IF(CRUCE[[#This Row],[DIFERENCIA2]]&gt;0, "SOBRANTE", "FALTANTE")))</f>
        <v>PENDIENTE</v>
      </c>
      <c r="R46" s="103" t="s">
        <v>5081</v>
      </c>
      <c r="S46" s="127" t="s">
        <v>5125</v>
      </c>
    </row>
    <row r="47" spans="1:19">
      <c r="A47" s="92" t="s">
        <v>5121</v>
      </c>
      <c r="B47" s="39" t="s">
        <v>4278</v>
      </c>
      <c r="C47" s="26"/>
      <c r="D47" s="35"/>
      <c r="E47" s="26"/>
      <c r="F47" s="26"/>
      <c r="G47" s="26"/>
      <c r="H47" s="39" t="str">
        <f>_xlfn.XLOOKUP(CRUCE[[#This Row],[Ubicacion]],Registros[Ubicacion],Registros[Codigo], "")</f>
        <v/>
      </c>
      <c r="I47" s="26" t="str">
        <f>_xlfn.XLOOKUP(CRUCE[[#This Row],[Ubicacion]],Registros[Ubicacion],Registros[Total], "")</f>
        <v/>
      </c>
      <c r="J47" s="26" t="str">
        <f>_xlfn.XLOOKUP(CRUCE[[#This Row],[Ubicacion]],Registros[Ubicacion],Registros[UMA], "")</f>
        <v/>
      </c>
      <c r="K47" s="39" t="str">
        <f>IF(CRUCE[[#This Row],[TOTAL]]="","",CRUCE[[#This Row],[TOTAL]]-CRUCE[[#This Row],[BULTOS]])</f>
        <v/>
      </c>
      <c r="L47" s="39" t="str">
        <f>IF(CRUCE[[#This Row],[TOTAL]]="", "PENDIENTE", IF(CRUCE[[#This Row],[Diferencia]]=0, "CUADRADO", IF(CRUCE[[#This Row],[Diferencia]]&gt;0, "SOBRANTE", "FALTANTE")))</f>
        <v>PENDIENTE</v>
      </c>
      <c r="M47" s="72" t="str">
        <f>IF(CRUCE[[#This Row],[Diferencia]]="","",IF(CRUCE[[#This Row],[Diferencia]]=0,"OK","RECONTEO"))</f>
        <v/>
      </c>
      <c r="N47" s="39" t="str">
        <f>_xlfn.XLOOKUP(CRUCE[[#This Row],[Ubicacion]],Registros[Ubicacion],Registros[Codigo], "")</f>
        <v/>
      </c>
      <c r="O47" s="26"/>
      <c r="P47" s="26"/>
      <c r="Q47" s="39" t="str">
        <f>IF(CRUCE[[#This Row],[TOTAL2]]="", "PENDIENTE", IF(CRUCE[[#This Row],[DIFERENCIA2]]=0, "CUADRADO", IF(CRUCE[[#This Row],[DIFERENCIA2]]&gt;0, "SOBRANTE", "FALTANTE")))</f>
        <v>PENDIENTE</v>
      </c>
      <c r="R47" s="102" t="s">
        <v>5081</v>
      </c>
      <c r="S47" s="127" t="s">
        <v>5126</v>
      </c>
    </row>
    <row r="48" spans="1:19">
      <c r="A48" s="93" t="s">
        <v>5121</v>
      </c>
      <c r="B48" s="38" t="s">
        <v>4280</v>
      </c>
      <c r="C48" s="25"/>
      <c r="D48" s="34"/>
      <c r="E48" s="25"/>
      <c r="F48" s="25"/>
      <c r="G48" s="25"/>
      <c r="H48" s="39" t="str">
        <f>_xlfn.XLOOKUP(CRUCE[[#This Row],[Ubicacion]],Registros[Ubicacion],Registros[Codigo], "")</f>
        <v/>
      </c>
      <c r="I48" s="25" t="str">
        <f>_xlfn.XLOOKUP(CRUCE[[#This Row],[Ubicacion]],Registros[Ubicacion],Registros[Total], "")</f>
        <v/>
      </c>
      <c r="J48" s="79" t="str">
        <f>_xlfn.XLOOKUP(CRUCE[[#This Row],[Ubicacion]],Registros[Ubicacion],Registros[UMA], "")</f>
        <v/>
      </c>
      <c r="K48" s="39" t="str">
        <f>IF(CRUCE[[#This Row],[TOTAL]]="","",CRUCE[[#This Row],[TOTAL]]-CRUCE[[#This Row],[BULTOS]])</f>
        <v/>
      </c>
      <c r="L48" s="38" t="str">
        <f>IF(CRUCE[[#This Row],[TOTAL]]="", "PENDIENTE", IF(CRUCE[[#This Row],[Diferencia]]=0, "CUADRADO", IF(CRUCE[[#This Row],[Diferencia]]&gt;0, "SOBRANTE", "FALTANTE")))</f>
        <v>PENDIENTE</v>
      </c>
      <c r="M48" s="71" t="str">
        <f>IF(CRUCE[[#This Row],[Diferencia]]="","",IF(CRUCE[[#This Row],[Diferencia]]=0,"OK","RECONTEO"))</f>
        <v/>
      </c>
      <c r="N48" s="39" t="str">
        <f>_xlfn.XLOOKUP(CRUCE[[#This Row],[Ubicacion]],Registros[Ubicacion],Registros[Codigo], "")</f>
        <v/>
      </c>
      <c r="O48" s="25"/>
      <c r="P48" s="25"/>
      <c r="Q48" s="39" t="str">
        <f>IF(CRUCE[[#This Row],[TOTAL2]]="", "PENDIENTE", IF(CRUCE[[#This Row],[DIFERENCIA2]]=0, "CUADRADO", IF(CRUCE[[#This Row],[DIFERENCIA2]]&gt;0, "SOBRANTE", "FALTANTE")))</f>
        <v>PENDIENTE</v>
      </c>
      <c r="R48" s="103" t="s">
        <v>5081</v>
      </c>
      <c r="S48" s="127" t="s">
        <v>5127</v>
      </c>
    </row>
    <row r="49" spans="1:19">
      <c r="A49" s="92" t="s">
        <v>5121</v>
      </c>
      <c r="B49" s="39" t="s">
        <v>4282</v>
      </c>
      <c r="C49" s="26"/>
      <c r="D49" s="35"/>
      <c r="E49" s="26"/>
      <c r="F49" s="26"/>
      <c r="G49" s="26"/>
      <c r="H49" s="39" t="str">
        <f>_xlfn.XLOOKUP(CRUCE[[#This Row],[Ubicacion]],Registros[Ubicacion],Registros[Codigo], "")</f>
        <v/>
      </c>
      <c r="I49" s="26" t="str">
        <f>_xlfn.XLOOKUP(CRUCE[[#This Row],[Ubicacion]],Registros[Ubicacion],Registros[Total], "")</f>
        <v/>
      </c>
      <c r="J49" s="26" t="str">
        <f>_xlfn.XLOOKUP(CRUCE[[#This Row],[Ubicacion]],Registros[Ubicacion],Registros[UMA], "")</f>
        <v/>
      </c>
      <c r="K49" s="39" t="str">
        <f>IF(CRUCE[[#This Row],[TOTAL]]="","",CRUCE[[#This Row],[TOTAL]]-CRUCE[[#This Row],[BULTOS]])</f>
        <v/>
      </c>
      <c r="L49" s="39" t="str">
        <f>IF(CRUCE[[#This Row],[TOTAL]]="", "PENDIENTE", IF(CRUCE[[#This Row],[Diferencia]]=0, "CUADRADO", IF(CRUCE[[#This Row],[Diferencia]]&gt;0, "SOBRANTE", "FALTANTE")))</f>
        <v>PENDIENTE</v>
      </c>
      <c r="M49" s="72" t="str">
        <f>IF(CRUCE[[#This Row],[Diferencia]]="","",IF(CRUCE[[#This Row],[Diferencia]]=0,"OK","RECONTEO"))</f>
        <v/>
      </c>
      <c r="N49" s="39" t="str">
        <f>_xlfn.XLOOKUP(CRUCE[[#This Row],[Ubicacion]],Registros[Ubicacion],Registros[Codigo], "")</f>
        <v/>
      </c>
      <c r="O49" s="26"/>
      <c r="P49" s="26"/>
      <c r="Q49" s="39" t="str">
        <f>IF(CRUCE[[#This Row],[TOTAL2]]="", "PENDIENTE", IF(CRUCE[[#This Row],[DIFERENCIA2]]=0, "CUADRADO", IF(CRUCE[[#This Row],[DIFERENCIA2]]&gt;0, "SOBRANTE", "FALTANTE")))</f>
        <v>PENDIENTE</v>
      </c>
      <c r="R49" s="102" t="s">
        <v>5081</v>
      </c>
      <c r="S49" s="127" t="s">
        <v>5128</v>
      </c>
    </row>
    <row r="50" spans="1:19">
      <c r="A50" s="93" t="s">
        <v>5121</v>
      </c>
      <c r="B50" s="38" t="s">
        <v>4284</v>
      </c>
      <c r="C50" s="25"/>
      <c r="D50" s="34"/>
      <c r="E50" s="25"/>
      <c r="F50" s="25"/>
      <c r="G50" s="25"/>
      <c r="H50" s="39" t="str">
        <f>_xlfn.XLOOKUP(CRUCE[[#This Row],[Ubicacion]],Registros[Ubicacion],Registros[Codigo], "")</f>
        <v/>
      </c>
      <c r="I50" s="25" t="str">
        <f>_xlfn.XLOOKUP(CRUCE[[#This Row],[Ubicacion]],Registros[Ubicacion],Registros[Total], "")</f>
        <v/>
      </c>
      <c r="J50" s="79" t="str">
        <f>_xlfn.XLOOKUP(CRUCE[[#This Row],[Ubicacion]],Registros[Ubicacion],Registros[UMA], "")</f>
        <v/>
      </c>
      <c r="K50" s="39" t="str">
        <f>IF(CRUCE[[#This Row],[TOTAL]]="","",CRUCE[[#This Row],[TOTAL]]-CRUCE[[#This Row],[BULTOS]])</f>
        <v/>
      </c>
      <c r="L50" s="38" t="str">
        <f>IF(CRUCE[[#This Row],[TOTAL]]="", "PENDIENTE", IF(CRUCE[[#This Row],[Diferencia]]=0, "CUADRADO", IF(CRUCE[[#This Row],[Diferencia]]&gt;0, "SOBRANTE", "FALTANTE")))</f>
        <v>PENDIENTE</v>
      </c>
      <c r="M50" s="71" t="str">
        <f>IF(CRUCE[[#This Row],[Diferencia]]="","",IF(CRUCE[[#This Row],[Diferencia]]=0,"OK","RECONTEO"))</f>
        <v/>
      </c>
      <c r="N50" s="39" t="str">
        <f>_xlfn.XLOOKUP(CRUCE[[#This Row],[Ubicacion]],Registros[Ubicacion],Registros[Codigo], "")</f>
        <v/>
      </c>
      <c r="O50" s="25"/>
      <c r="P50" s="25"/>
      <c r="Q50" s="39" t="str">
        <f>IF(CRUCE[[#This Row],[TOTAL2]]="", "PENDIENTE", IF(CRUCE[[#This Row],[DIFERENCIA2]]=0, "CUADRADO", IF(CRUCE[[#This Row],[DIFERENCIA2]]&gt;0, "SOBRANTE", "FALTANTE")))</f>
        <v>PENDIENTE</v>
      </c>
      <c r="R50" s="103" t="s">
        <v>5081</v>
      </c>
      <c r="S50" s="127" t="s">
        <v>5129</v>
      </c>
    </row>
    <row r="51" spans="1:19">
      <c r="A51" s="92" t="s">
        <v>5121</v>
      </c>
      <c r="B51" s="39" t="s">
        <v>4286</v>
      </c>
      <c r="C51" s="26"/>
      <c r="D51" s="35"/>
      <c r="E51" s="26"/>
      <c r="F51" s="26"/>
      <c r="G51" s="26"/>
      <c r="H51" s="39" t="str">
        <f>_xlfn.XLOOKUP(CRUCE[[#This Row],[Ubicacion]],Registros[Ubicacion],Registros[Codigo], "")</f>
        <v/>
      </c>
      <c r="I51" s="26" t="str">
        <f>_xlfn.XLOOKUP(CRUCE[[#This Row],[Ubicacion]],Registros[Ubicacion],Registros[Total], "")</f>
        <v/>
      </c>
      <c r="J51" s="26" t="str">
        <f>_xlfn.XLOOKUP(CRUCE[[#This Row],[Ubicacion]],Registros[Ubicacion],Registros[UMA], "")</f>
        <v/>
      </c>
      <c r="K51" s="39" t="str">
        <f>IF(CRUCE[[#This Row],[TOTAL]]="","",CRUCE[[#This Row],[TOTAL]]-CRUCE[[#This Row],[BULTOS]])</f>
        <v/>
      </c>
      <c r="L51" s="39" t="str">
        <f>IF(CRUCE[[#This Row],[TOTAL]]="", "PENDIENTE", IF(CRUCE[[#This Row],[Diferencia]]=0, "CUADRADO", IF(CRUCE[[#This Row],[Diferencia]]&gt;0, "SOBRANTE", "FALTANTE")))</f>
        <v>PENDIENTE</v>
      </c>
      <c r="M51" s="72" t="str">
        <f>IF(CRUCE[[#This Row],[Diferencia]]="","",IF(CRUCE[[#This Row],[Diferencia]]=0,"OK","RECONTEO"))</f>
        <v/>
      </c>
      <c r="N51" s="39" t="str">
        <f>_xlfn.XLOOKUP(CRUCE[[#This Row],[Ubicacion]],Registros[Ubicacion],Registros[Codigo], "")</f>
        <v/>
      </c>
      <c r="O51" s="26"/>
      <c r="P51" s="26"/>
      <c r="Q51" s="39" t="str">
        <f>IF(CRUCE[[#This Row],[TOTAL2]]="", "PENDIENTE", IF(CRUCE[[#This Row],[DIFERENCIA2]]=0, "CUADRADO", IF(CRUCE[[#This Row],[DIFERENCIA2]]&gt;0, "SOBRANTE", "FALTANTE")))</f>
        <v>PENDIENTE</v>
      </c>
      <c r="R51" s="102" t="s">
        <v>5081</v>
      </c>
      <c r="S51" s="127" t="s">
        <v>5130</v>
      </c>
    </row>
    <row r="52" spans="1:19">
      <c r="A52" s="93" t="s">
        <v>5121</v>
      </c>
      <c r="B52" s="38" t="s">
        <v>4288</v>
      </c>
      <c r="C52" s="25"/>
      <c r="D52" s="34"/>
      <c r="E52" s="25"/>
      <c r="F52" s="25"/>
      <c r="G52" s="25"/>
      <c r="H52" s="39" t="str">
        <f>_xlfn.XLOOKUP(CRUCE[[#This Row],[Ubicacion]],Registros[Ubicacion],Registros[Codigo], "")</f>
        <v/>
      </c>
      <c r="I52" s="25" t="str">
        <f>_xlfn.XLOOKUP(CRUCE[[#This Row],[Ubicacion]],Registros[Ubicacion],Registros[Total], "")</f>
        <v/>
      </c>
      <c r="J52" s="79" t="str">
        <f>_xlfn.XLOOKUP(CRUCE[[#This Row],[Ubicacion]],Registros[Ubicacion],Registros[UMA], "")</f>
        <v/>
      </c>
      <c r="K52" s="39" t="str">
        <f>IF(CRUCE[[#This Row],[TOTAL]]="","",CRUCE[[#This Row],[TOTAL]]-CRUCE[[#This Row],[BULTOS]])</f>
        <v/>
      </c>
      <c r="L52" s="38" t="str">
        <f>IF(CRUCE[[#This Row],[TOTAL]]="", "PENDIENTE", IF(CRUCE[[#This Row],[Diferencia]]=0, "CUADRADO", IF(CRUCE[[#This Row],[Diferencia]]&gt;0, "SOBRANTE", "FALTANTE")))</f>
        <v>PENDIENTE</v>
      </c>
      <c r="M52" s="71" t="str">
        <f>IF(CRUCE[[#This Row],[Diferencia]]="","",IF(CRUCE[[#This Row],[Diferencia]]=0,"OK","RECONTEO"))</f>
        <v/>
      </c>
      <c r="N52" s="39" t="str">
        <f>_xlfn.XLOOKUP(CRUCE[[#This Row],[Ubicacion]],Registros[Ubicacion],Registros[Codigo], "")</f>
        <v/>
      </c>
      <c r="O52" s="25"/>
      <c r="P52" s="25"/>
      <c r="Q52" s="39" t="str">
        <f>IF(CRUCE[[#This Row],[TOTAL2]]="", "PENDIENTE", IF(CRUCE[[#This Row],[DIFERENCIA2]]=0, "CUADRADO", IF(CRUCE[[#This Row],[DIFERENCIA2]]&gt;0, "SOBRANTE", "FALTANTE")))</f>
        <v>PENDIENTE</v>
      </c>
      <c r="R52" s="103" t="s">
        <v>5081</v>
      </c>
      <c r="S52" s="127" t="s">
        <v>5131</v>
      </c>
    </row>
    <row r="53" spans="1:19">
      <c r="A53" s="92" t="s">
        <v>5121</v>
      </c>
      <c r="B53" s="39" t="s">
        <v>4290</v>
      </c>
      <c r="C53" s="26"/>
      <c r="D53" s="35"/>
      <c r="E53" s="26"/>
      <c r="F53" s="26"/>
      <c r="G53" s="26"/>
      <c r="H53" s="39" t="str">
        <f>_xlfn.XLOOKUP(CRUCE[[#This Row],[Ubicacion]],Registros[Ubicacion],Registros[Codigo], "")</f>
        <v/>
      </c>
      <c r="I53" s="26" t="str">
        <f>_xlfn.XLOOKUP(CRUCE[[#This Row],[Ubicacion]],Registros[Ubicacion],Registros[Total], "")</f>
        <v/>
      </c>
      <c r="J53" s="26" t="str">
        <f>_xlfn.XLOOKUP(CRUCE[[#This Row],[Ubicacion]],Registros[Ubicacion],Registros[UMA], "")</f>
        <v/>
      </c>
      <c r="K53" s="39" t="str">
        <f>IF(CRUCE[[#This Row],[TOTAL]]="","",CRUCE[[#This Row],[TOTAL]]-CRUCE[[#This Row],[BULTOS]])</f>
        <v/>
      </c>
      <c r="L53" s="39" t="str">
        <f>IF(CRUCE[[#This Row],[TOTAL]]="", "PENDIENTE", IF(CRUCE[[#This Row],[Diferencia]]=0, "CUADRADO", IF(CRUCE[[#This Row],[Diferencia]]&gt;0, "SOBRANTE", "FALTANTE")))</f>
        <v>PENDIENTE</v>
      </c>
      <c r="M53" s="72" t="str">
        <f>IF(CRUCE[[#This Row],[Diferencia]]="","",IF(CRUCE[[#This Row],[Diferencia]]=0,"OK","RECONTEO"))</f>
        <v/>
      </c>
      <c r="N53" s="39" t="str">
        <f>_xlfn.XLOOKUP(CRUCE[[#This Row],[Ubicacion]],Registros[Ubicacion],Registros[Codigo], "")</f>
        <v/>
      </c>
      <c r="O53" s="26"/>
      <c r="P53" s="26"/>
      <c r="Q53" s="39" t="str">
        <f>IF(CRUCE[[#This Row],[TOTAL2]]="", "PENDIENTE", IF(CRUCE[[#This Row],[DIFERENCIA2]]=0, "CUADRADO", IF(CRUCE[[#This Row],[DIFERENCIA2]]&gt;0, "SOBRANTE", "FALTANTE")))</f>
        <v>PENDIENTE</v>
      </c>
      <c r="R53" s="102" t="s">
        <v>5081</v>
      </c>
      <c r="S53" s="127" t="s">
        <v>5132</v>
      </c>
    </row>
    <row r="54" spans="1:19">
      <c r="A54" s="93" t="s">
        <v>5121</v>
      </c>
      <c r="B54" s="38" t="s">
        <v>4292</v>
      </c>
      <c r="C54" s="25"/>
      <c r="D54" s="34"/>
      <c r="E54" s="25"/>
      <c r="F54" s="25"/>
      <c r="G54" s="25"/>
      <c r="H54" s="39" t="str">
        <f>_xlfn.XLOOKUP(CRUCE[[#This Row],[Ubicacion]],Registros[Ubicacion],Registros[Codigo], "")</f>
        <v/>
      </c>
      <c r="I54" s="25" t="str">
        <f>_xlfn.XLOOKUP(CRUCE[[#This Row],[Ubicacion]],Registros[Ubicacion],Registros[Total], "")</f>
        <v/>
      </c>
      <c r="J54" s="79" t="str">
        <f>_xlfn.XLOOKUP(CRUCE[[#This Row],[Ubicacion]],Registros[Ubicacion],Registros[UMA], "")</f>
        <v/>
      </c>
      <c r="K54" s="39" t="str">
        <f>IF(CRUCE[[#This Row],[TOTAL]]="","",CRUCE[[#This Row],[TOTAL]]-CRUCE[[#This Row],[BULTOS]])</f>
        <v/>
      </c>
      <c r="L54" s="38" t="str">
        <f>IF(CRUCE[[#This Row],[TOTAL]]="", "PENDIENTE", IF(CRUCE[[#This Row],[Diferencia]]=0, "CUADRADO", IF(CRUCE[[#This Row],[Diferencia]]&gt;0, "SOBRANTE", "FALTANTE")))</f>
        <v>PENDIENTE</v>
      </c>
      <c r="M54" s="71" t="str">
        <f>IF(CRUCE[[#This Row],[Diferencia]]="","",IF(CRUCE[[#This Row],[Diferencia]]=0,"OK","RECONTEO"))</f>
        <v/>
      </c>
      <c r="N54" s="39" t="str">
        <f>_xlfn.XLOOKUP(CRUCE[[#This Row],[Ubicacion]],Registros[Ubicacion],Registros[Codigo], "")</f>
        <v/>
      </c>
      <c r="O54" s="25"/>
      <c r="P54" s="25"/>
      <c r="Q54" s="39" t="str">
        <f>IF(CRUCE[[#This Row],[TOTAL2]]="", "PENDIENTE", IF(CRUCE[[#This Row],[DIFERENCIA2]]=0, "CUADRADO", IF(CRUCE[[#This Row],[DIFERENCIA2]]&gt;0, "SOBRANTE", "FALTANTE")))</f>
        <v>PENDIENTE</v>
      </c>
      <c r="R54" s="103" t="s">
        <v>5081</v>
      </c>
      <c r="S54" s="127" t="s">
        <v>5133</v>
      </c>
    </row>
    <row r="55" spans="1:19">
      <c r="A55" s="92" t="s">
        <v>5121</v>
      </c>
      <c r="B55" s="39" t="s">
        <v>4294</v>
      </c>
      <c r="C55" s="26"/>
      <c r="D55" s="35"/>
      <c r="E55" s="26"/>
      <c r="F55" s="26"/>
      <c r="G55" s="26"/>
      <c r="H55" s="39" t="str">
        <f>_xlfn.XLOOKUP(CRUCE[[#This Row],[Ubicacion]],Registros[Ubicacion],Registros[Codigo], "")</f>
        <v/>
      </c>
      <c r="I55" s="26" t="str">
        <f>_xlfn.XLOOKUP(CRUCE[[#This Row],[Ubicacion]],Registros[Ubicacion],Registros[Total], "")</f>
        <v/>
      </c>
      <c r="J55" s="26" t="str">
        <f>_xlfn.XLOOKUP(CRUCE[[#This Row],[Ubicacion]],Registros[Ubicacion],Registros[UMA], "")</f>
        <v/>
      </c>
      <c r="K55" s="39" t="str">
        <f>IF(CRUCE[[#This Row],[TOTAL]]="","",CRUCE[[#This Row],[TOTAL]]-CRUCE[[#This Row],[BULTOS]])</f>
        <v/>
      </c>
      <c r="L55" s="39" t="str">
        <f>IF(CRUCE[[#This Row],[TOTAL]]="", "PENDIENTE", IF(CRUCE[[#This Row],[Diferencia]]=0, "CUADRADO", IF(CRUCE[[#This Row],[Diferencia]]&gt;0, "SOBRANTE", "FALTANTE")))</f>
        <v>PENDIENTE</v>
      </c>
      <c r="M55" s="72" t="str">
        <f>IF(CRUCE[[#This Row],[Diferencia]]="","",IF(CRUCE[[#This Row],[Diferencia]]=0,"OK","RECONTEO"))</f>
        <v/>
      </c>
      <c r="N55" s="39" t="str">
        <f>_xlfn.XLOOKUP(CRUCE[[#This Row],[Ubicacion]],Registros[Ubicacion],Registros[Codigo], "")</f>
        <v/>
      </c>
      <c r="O55" s="26"/>
      <c r="P55" s="26"/>
      <c r="Q55" s="39" t="str">
        <f>IF(CRUCE[[#This Row],[TOTAL2]]="", "PENDIENTE", IF(CRUCE[[#This Row],[DIFERENCIA2]]=0, "CUADRADO", IF(CRUCE[[#This Row],[DIFERENCIA2]]&gt;0, "SOBRANTE", "FALTANTE")))</f>
        <v>PENDIENTE</v>
      </c>
      <c r="R55" s="102" t="s">
        <v>5081</v>
      </c>
      <c r="S55" s="127" t="s">
        <v>5134</v>
      </c>
    </row>
    <row r="56" spans="1:19">
      <c r="A56" s="93" t="s">
        <v>5121</v>
      </c>
      <c r="B56" s="38" t="s">
        <v>4296</v>
      </c>
      <c r="C56" s="25"/>
      <c r="D56" s="34"/>
      <c r="E56" s="25"/>
      <c r="F56" s="25"/>
      <c r="G56" s="25"/>
      <c r="H56" s="39" t="str">
        <f>_xlfn.XLOOKUP(CRUCE[[#This Row],[Ubicacion]],Registros[Ubicacion],Registros[Codigo], "")</f>
        <v/>
      </c>
      <c r="I56" s="25" t="str">
        <f>_xlfn.XLOOKUP(CRUCE[[#This Row],[Ubicacion]],Registros[Ubicacion],Registros[Total], "")</f>
        <v/>
      </c>
      <c r="J56" s="79" t="str">
        <f>_xlfn.XLOOKUP(CRUCE[[#This Row],[Ubicacion]],Registros[Ubicacion],Registros[UMA], "")</f>
        <v/>
      </c>
      <c r="K56" s="39" t="str">
        <f>IF(CRUCE[[#This Row],[TOTAL]]="","",CRUCE[[#This Row],[TOTAL]]-CRUCE[[#This Row],[BULTOS]])</f>
        <v/>
      </c>
      <c r="L56" s="38" t="str">
        <f>IF(CRUCE[[#This Row],[TOTAL]]="", "PENDIENTE", IF(CRUCE[[#This Row],[Diferencia]]=0, "CUADRADO", IF(CRUCE[[#This Row],[Diferencia]]&gt;0, "SOBRANTE", "FALTANTE")))</f>
        <v>PENDIENTE</v>
      </c>
      <c r="M56" s="71" t="str">
        <f>IF(CRUCE[[#This Row],[Diferencia]]="","",IF(CRUCE[[#This Row],[Diferencia]]=0,"OK","RECONTEO"))</f>
        <v/>
      </c>
      <c r="N56" s="39" t="str">
        <f>_xlfn.XLOOKUP(CRUCE[[#This Row],[Ubicacion]],Registros[Ubicacion],Registros[Codigo], "")</f>
        <v/>
      </c>
      <c r="O56" s="25"/>
      <c r="P56" s="25"/>
      <c r="Q56" s="39" t="str">
        <f>IF(CRUCE[[#This Row],[TOTAL2]]="", "PENDIENTE", IF(CRUCE[[#This Row],[DIFERENCIA2]]=0, "CUADRADO", IF(CRUCE[[#This Row],[DIFERENCIA2]]&gt;0, "SOBRANTE", "FALTANTE")))</f>
        <v>PENDIENTE</v>
      </c>
      <c r="R56" s="103" t="s">
        <v>5081</v>
      </c>
      <c r="S56" s="129" t="s">
        <v>5135</v>
      </c>
    </row>
    <row r="57" spans="1:19">
      <c r="A57" s="92" t="s">
        <v>5121</v>
      </c>
      <c r="B57" s="39" t="s">
        <v>4298</v>
      </c>
      <c r="C57" s="26"/>
      <c r="D57" s="35"/>
      <c r="E57" s="26"/>
      <c r="F57" s="26"/>
      <c r="G57" s="26"/>
      <c r="H57" s="39" t="str">
        <f>_xlfn.XLOOKUP(CRUCE[[#This Row],[Ubicacion]],Registros[Ubicacion],Registros[Codigo], "")</f>
        <v/>
      </c>
      <c r="I57" s="26" t="str">
        <f>_xlfn.XLOOKUP(CRUCE[[#This Row],[Ubicacion]],Registros[Ubicacion],Registros[Total], "")</f>
        <v/>
      </c>
      <c r="J57" s="26" t="str">
        <f>_xlfn.XLOOKUP(CRUCE[[#This Row],[Ubicacion]],Registros[Ubicacion],Registros[UMA], "")</f>
        <v/>
      </c>
      <c r="K57" s="39" t="str">
        <f>IF(CRUCE[[#This Row],[TOTAL]]="","",CRUCE[[#This Row],[TOTAL]]-CRUCE[[#This Row],[BULTOS]])</f>
        <v/>
      </c>
      <c r="L57" s="39" t="str">
        <f>IF(CRUCE[[#This Row],[TOTAL]]="", "PENDIENTE", IF(CRUCE[[#This Row],[Diferencia]]=0, "CUADRADO", IF(CRUCE[[#This Row],[Diferencia]]&gt;0, "SOBRANTE", "FALTANTE")))</f>
        <v>PENDIENTE</v>
      </c>
      <c r="M57" s="72" t="str">
        <f>IF(CRUCE[[#This Row],[Diferencia]]="","",IF(CRUCE[[#This Row],[Diferencia]]=0,"OK","RECONTEO"))</f>
        <v/>
      </c>
      <c r="N57" s="39" t="str">
        <f>_xlfn.XLOOKUP(CRUCE[[#This Row],[Ubicacion]],Registros[Ubicacion],Registros[Codigo], "")</f>
        <v/>
      </c>
      <c r="O57" s="26"/>
      <c r="P57" s="26"/>
      <c r="Q57" s="39" t="str">
        <f>IF(CRUCE[[#This Row],[TOTAL2]]="", "PENDIENTE", IF(CRUCE[[#This Row],[DIFERENCIA2]]=0, "CUADRADO", IF(CRUCE[[#This Row],[DIFERENCIA2]]&gt;0, "SOBRANTE", "FALTANTE")))</f>
        <v>PENDIENTE</v>
      </c>
      <c r="R57" s="102" t="s">
        <v>5081</v>
      </c>
      <c r="S57" s="127" t="s">
        <v>5136</v>
      </c>
    </row>
    <row r="58" spans="1:19">
      <c r="A58" s="93" t="s">
        <v>5121</v>
      </c>
      <c r="B58" s="38" t="s">
        <v>4300</v>
      </c>
      <c r="C58" s="25"/>
      <c r="D58" s="34"/>
      <c r="E58" s="25"/>
      <c r="F58" s="25"/>
      <c r="G58" s="25"/>
      <c r="H58" s="39" t="str">
        <f>_xlfn.XLOOKUP(CRUCE[[#This Row],[Ubicacion]],Registros[Ubicacion],Registros[Codigo], "")</f>
        <v/>
      </c>
      <c r="I58" s="25" t="str">
        <f>_xlfn.XLOOKUP(CRUCE[[#This Row],[Ubicacion]],Registros[Ubicacion],Registros[Total], "")</f>
        <v/>
      </c>
      <c r="J58" s="79" t="str">
        <f>_xlfn.XLOOKUP(CRUCE[[#This Row],[Ubicacion]],Registros[Ubicacion],Registros[UMA], "")</f>
        <v/>
      </c>
      <c r="K58" s="39" t="str">
        <f>IF(CRUCE[[#This Row],[TOTAL]]="","",CRUCE[[#This Row],[TOTAL]]-CRUCE[[#This Row],[BULTOS]])</f>
        <v/>
      </c>
      <c r="L58" s="38" t="str">
        <f>IF(CRUCE[[#This Row],[TOTAL]]="", "PENDIENTE", IF(CRUCE[[#This Row],[Diferencia]]=0, "CUADRADO", IF(CRUCE[[#This Row],[Diferencia]]&gt;0, "SOBRANTE", "FALTANTE")))</f>
        <v>PENDIENTE</v>
      </c>
      <c r="M58" s="71" t="str">
        <f>IF(CRUCE[[#This Row],[Diferencia]]="","",IF(CRUCE[[#This Row],[Diferencia]]=0,"OK","RECONTEO"))</f>
        <v/>
      </c>
      <c r="N58" s="39" t="str">
        <f>_xlfn.XLOOKUP(CRUCE[[#This Row],[Ubicacion]],Registros[Ubicacion],Registros[Codigo], "")</f>
        <v/>
      </c>
      <c r="O58" s="25"/>
      <c r="P58" s="25"/>
      <c r="Q58" s="39" t="str">
        <f>IF(CRUCE[[#This Row],[TOTAL2]]="", "PENDIENTE", IF(CRUCE[[#This Row],[DIFERENCIA2]]=0, "CUADRADO", IF(CRUCE[[#This Row],[DIFERENCIA2]]&gt;0, "SOBRANTE", "FALTANTE")))</f>
        <v>PENDIENTE</v>
      </c>
      <c r="R58" s="103" t="s">
        <v>5081</v>
      </c>
      <c r="S58" s="127" t="s">
        <v>5137</v>
      </c>
    </row>
    <row r="59" spans="1:19">
      <c r="A59" s="92" t="s">
        <v>5121</v>
      </c>
      <c r="B59" s="39" t="s">
        <v>4302</v>
      </c>
      <c r="C59" s="26"/>
      <c r="D59" s="35"/>
      <c r="E59" s="26"/>
      <c r="F59" s="26"/>
      <c r="G59" s="26"/>
      <c r="H59" s="39" t="str">
        <f>_xlfn.XLOOKUP(CRUCE[[#This Row],[Ubicacion]],Registros[Ubicacion],Registros[Codigo], "")</f>
        <v/>
      </c>
      <c r="I59" s="26" t="str">
        <f>_xlfn.XLOOKUP(CRUCE[[#This Row],[Ubicacion]],Registros[Ubicacion],Registros[Total], "")</f>
        <v/>
      </c>
      <c r="J59" s="26" t="str">
        <f>_xlfn.XLOOKUP(CRUCE[[#This Row],[Ubicacion]],Registros[Ubicacion],Registros[UMA], "")</f>
        <v/>
      </c>
      <c r="K59" s="39" t="str">
        <f>IF(CRUCE[[#This Row],[TOTAL]]="","",CRUCE[[#This Row],[TOTAL]]-CRUCE[[#This Row],[BULTOS]])</f>
        <v/>
      </c>
      <c r="L59" s="39" t="str">
        <f>IF(CRUCE[[#This Row],[TOTAL]]="", "PENDIENTE", IF(CRUCE[[#This Row],[Diferencia]]=0, "CUADRADO", IF(CRUCE[[#This Row],[Diferencia]]&gt;0, "SOBRANTE", "FALTANTE")))</f>
        <v>PENDIENTE</v>
      </c>
      <c r="M59" s="72" t="str">
        <f>IF(CRUCE[[#This Row],[Diferencia]]="","",IF(CRUCE[[#This Row],[Diferencia]]=0,"OK","RECONTEO"))</f>
        <v/>
      </c>
      <c r="N59" s="39" t="str">
        <f>_xlfn.XLOOKUP(CRUCE[[#This Row],[Ubicacion]],Registros[Ubicacion],Registros[Codigo], "")</f>
        <v/>
      </c>
      <c r="O59" s="26"/>
      <c r="P59" s="26"/>
      <c r="Q59" s="39" t="str">
        <f>IF(CRUCE[[#This Row],[TOTAL2]]="", "PENDIENTE", IF(CRUCE[[#This Row],[DIFERENCIA2]]=0, "CUADRADO", IF(CRUCE[[#This Row],[DIFERENCIA2]]&gt;0, "SOBRANTE", "FALTANTE")))</f>
        <v>PENDIENTE</v>
      </c>
      <c r="R59" s="102" t="s">
        <v>5081</v>
      </c>
      <c r="S59" s="127" t="s">
        <v>5138</v>
      </c>
    </row>
    <row r="60" spans="1:19">
      <c r="A60" s="93" t="s">
        <v>5121</v>
      </c>
      <c r="B60" s="38" t="s">
        <v>4304</v>
      </c>
      <c r="C60" s="25"/>
      <c r="D60" s="34"/>
      <c r="E60" s="25"/>
      <c r="F60" s="25"/>
      <c r="G60" s="25"/>
      <c r="H60" s="39" t="str">
        <f>_xlfn.XLOOKUP(CRUCE[[#This Row],[Ubicacion]],Registros[Ubicacion],Registros[Codigo], "")</f>
        <v/>
      </c>
      <c r="I60" s="25" t="str">
        <f>_xlfn.XLOOKUP(CRUCE[[#This Row],[Ubicacion]],Registros[Ubicacion],Registros[Total], "")</f>
        <v/>
      </c>
      <c r="J60" s="79" t="str">
        <f>_xlfn.XLOOKUP(CRUCE[[#This Row],[Ubicacion]],Registros[Ubicacion],Registros[UMA], "")</f>
        <v/>
      </c>
      <c r="K60" s="39" t="str">
        <f>IF(CRUCE[[#This Row],[TOTAL]]="","",CRUCE[[#This Row],[TOTAL]]-CRUCE[[#This Row],[BULTOS]])</f>
        <v/>
      </c>
      <c r="L60" s="38" t="str">
        <f>IF(CRUCE[[#This Row],[TOTAL]]="", "PENDIENTE", IF(CRUCE[[#This Row],[Diferencia]]=0, "CUADRADO", IF(CRUCE[[#This Row],[Diferencia]]&gt;0, "SOBRANTE", "FALTANTE")))</f>
        <v>PENDIENTE</v>
      </c>
      <c r="M60" s="71" t="str">
        <f>IF(CRUCE[[#This Row],[Diferencia]]="","",IF(CRUCE[[#This Row],[Diferencia]]=0,"OK","RECONTEO"))</f>
        <v/>
      </c>
      <c r="N60" s="39" t="str">
        <f>_xlfn.XLOOKUP(CRUCE[[#This Row],[Ubicacion]],Registros[Ubicacion],Registros[Codigo], "")</f>
        <v/>
      </c>
      <c r="O60" s="25"/>
      <c r="P60" s="25"/>
      <c r="Q60" s="39" t="str">
        <f>IF(CRUCE[[#This Row],[TOTAL2]]="", "PENDIENTE", IF(CRUCE[[#This Row],[DIFERENCIA2]]=0, "CUADRADO", IF(CRUCE[[#This Row],[DIFERENCIA2]]&gt;0, "SOBRANTE", "FALTANTE")))</f>
        <v>PENDIENTE</v>
      </c>
      <c r="R60" s="103" t="s">
        <v>5081</v>
      </c>
      <c r="S60" s="127" t="s">
        <v>5139</v>
      </c>
    </row>
    <row r="61" spans="1:19">
      <c r="A61" s="92" t="s">
        <v>5121</v>
      </c>
      <c r="B61" s="39" t="s">
        <v>4306</v>
      </c>
      <c r="C61" s="26"/>
      <c r="D61" s="35"/>
      <c r="E61" s="26"/>
      <c r="F61" s="26"/>
      <c r="G61" s="26"/>
      <c r="H61" s="39" t="str">
        <f>_xlfn.XLOOKUP(CRUCE[[#This Row],[Ubicacion]],Registros[Ubicacion],Registros[Codigo], "")</f>
        <v/>
      </c>
      <c r="I61" s="26" t="str">
        <f>_xlfn.XLOOKUP(CRUCE[[#This Row],[Ubicacion]],Registros[Ubicacion],Registros[Total], "")</f>
        <v/>
      </c>
      <c r="J61" s="26" t="str">
        <f>_xlfn.XLOOKUP(CRUCE[[#This Row],[Ubicacion]],Registros[Ubicacion],Registros[UMA], "")</f>
        <v/>
      </c>
      <c r="K61" s="39" t="str">
        <f>IF(CRUCE[[#This Row],[TOTAL]]="","",CRUCE[[#This Row],[TOTAL]]-CRUCE[[#This Row],[BULTOS]])</f>
        <v/>
      </c>
      <c r="L61" s="39" t="str">
        <f>IF(CRUCE[[#This Row],[TOTAL]]="", "PENDIENTE", IF(CRUCE[[#This Row],[Diferencia]]=0, "CUADRADO", IF(CRUCE[[#This Row],[Diferencia]]&gt;0, "SOBRANTE", "FALTANTE")))</f>
        <v>PENDIENTE</v>
      </c>
      <c r="M61" s="72" t="str">
        <f>IF(CRUCE[[#This Row],[Diferencia]]="","",IF(CRUCE[[#This Row],[Diferencia]]=0,"OK","RECONTEO"))</f>
        <v/>
      </c>
      <c r="N61" s="39" t="str">
        <f>_xlfn.XLOOKUP(CRUCE[[#This Row],[Ubicacion]],Registros[Ubicacion],Registros[Codigo], "")</f>
        <v/>
      </c>
      <c r="O61" s="26"/>
      <c r="P61" s="26"/>
      <c r="Q61" s="39" t="str">
        <f>IF(CRUCE[[#This Row],[TOTAL2]]="", "PENDIENTE", IF(CRUCE[[#This Row],[DIFERENCIA2]]=0, "CUADRADO", IF(CRUCE[[#This Row],[DIFERENCIA2]]&gt;0, "SOBRANTE", "FALTANTE")))</f>
        <v>PENDIENTE</v>
      </c>
      <c r="R61" s="102" t="s">
        <v>5081</v>
      </c>
      <c r="S61" s="127" t="s">
        <v>5140</v>
      </c>
    </row>
    <row r="62" spans="1:19">
      <c r="A62" s="93" t="s">
        <v>5121</v>
      </c>
      <c r="B62" s="38" t="s">
        <v>4308</v>
      </c>
      <c r="C62" s="25"/>
      <c r="D62" s="34"/>
      <c r="E62" s="25"/>
      <c r="F62" s="25"/>
      <c r="G62" s="25"/>
      <c r="H62" s="39" t="str">
        <f>_xlfn.XLOOKUP(CRUCE[[#This Row],[Ubicacion]],Registros[Ubicacion],Registros[Codigo], "")</f>
        <v/>
      </c>
      <c r="I62" s="25" t="str">
        <f>_xlfn.XLOOKUP(CRUCE[[#This Row],[Ubicacion]],Registros[Ubicacion],Registros[Total], "")</f>
        <v/>
      </c>
      <c r="J62" s="79" t="str">
        <f>_xlfn.XLOOKUP(CRUCE[[#This Row],[Ubicacion]],Registros[Ubicacion],Registros[UMA], "")</f>
        <v/>
      </c>
      <c r="K62" s="39" t="str">
        <f>IF(CRUCE[[#This Row],[TOTAL]]="","",CRUCE[[#This Row],[TOTAL]]-CRUCE[[#This Row],[BULTOS]])</f>
        <v/>
      </c>
      <c r="L62" s="38" t="str">
        <f>IF(CRUCE[[#This Row],[TOTAL]]="", "PENDIENTE", IF(CRUCE[[#This Row],[Diferencia]]=0, "CUADRADO", IF(CRUCE[[#This Row],[Diferencia]]&gt;0, "SOBRANTE", "FALTANTE")))</f>
        <v>PENDIENTE</v>
      </c>
      <c r="M62" s="71" t="str">
        <f>IF(CRUCE[[#This Row],[Diferencia]]="","",IF(CRUCE[[#This Row],[Diferencia]]=0,"OK","RECONTEO"))</f>
        <v/>
      </c>
      <c r="N62" s="39" t="str">
        <f>_xlfn.XLOOKUP(CRUCE[[#This Row],[Ubicacion]],Registros[Ubicacion],Registros[Codigo], "")</f>
        <v/>
      </c>
      <c r="O62" s="25"/>
      <c r="P62" s="25"/>
      <c r="Q62" s="39" t="str">
        <f>IF(CRUCE[[#This Row],[TOTAL2]]="", "PENDIENTE", IF(CRUCE[[#This Row],[DIFERENCIA2]]=0, "CUADRADO", IF(CRUCE[[#This Row],[DIFERENCIA2]]&gt;0, "SOBRANTE", "FALTANTE")))</f>
        <v>PENDIENTE</v>
      </c>
      <c r="R62" s="103" t="s">
        <v>5081</v>
      </c>
      <c r="S62" s="129" t="s">
        <v>5141</v>
      </c>
    </row>
    <row r="63" spans="1:19">
      <c r="A63" s="92" t="s">
        <v>5121</v>
      </c>
      <c r="B63" s="39" t="s">
        <v>4310</v>
      </c>
      <c r="C63" s="26"/>
      <c r="D63" s="35"/>
      <c r="E63" s="26"/>
      <c r="F63" s="26"/>
      <c r="G63" s="26"/>
      <c r="H63" s="39" t="str">
        <f>_xlfn.XLOOKUP(CRUCE[[#This Row],[Ubicacion]],Registros[Ubicacion],Registros[Codigo], "")</f>
        <v/>
      </c>
      <c r="I63" s="26" t="str">
        <f>_xlfn.XLOOKUP(CRUCE[[#This Row],[Ubicacion]],Registros[Ubicacion],Registros[Total], "")</f>
        <v/>
      </c>
      <c r="J63" s="26" t="str">
        <f>_xlfn.XLOOKUP(CRUCE[[#This Row],[Ubicacion]],Registros[Ubicacion],Registros[UMA], "")</f>
        <v/>
      </c>
      <c r="K63" s="39" t="str">
        <f>IF(CRUCE[[#This Row],[TOTAL]]="","",CRUCE[[#This Row],[TOTAL]]-CRUCE[[#This Row],[BULTOS]])</f>
        <v/>
      </c>
      <c r="L63" s="39" t="str">
        <f>IF(CRUCE[[#This Row],[TOTAL]]="", "PENDIENTE", IF(CRUCE[[#This Row],[Diferencia]]=0, "CUADRADO", IF(CRUCE[[#This Row],[Diferencia]]&gt;0, "SOBRANTE", "FALTANTE")))</f>
        <v>PENDIENTE</v>
      </c>
      <c r="M63" s="72" t="str">
        <f>IF(CRUCE[[#This Row],[Diferencia]]="","",IF(CRUCE[[#This Row],[Diferencia]]=0,"OK","RECONTEO"))</f>
        <v/>
      </c>
      <c r="N63" s="39" t="str">
        <f>_xlfn.XLOOKUP(CRUCE[[#This Row],[Ubicacion]],Registros[Ubicacion],Registros[Codigo], "")</f>
        <v/>
      </c>
      <c r="O63" s="26"/>
      <c r="P63" s="26"/>
      <c r="Q63" s="39" t="str">
        <f>IF(CRUCE[[#This Row],[TOTAL2]]="", "PENDIENTE", IF(CRUCE[[#This Row],[DIFERENCIA2]]=0, "CUADRADO", IF(CRUCE[[#This Row],[DIFERENCIA2]]&gt;0, "SOBRANTE", "FALTANTE")))</f>
        <v>PENDIENTE</v>
      </c>
      <c r="R63" s="102" t="s">
        <v>5081</v>
      </c>
      <c r="S63" s="127" t="s">
        <v>5142</v>
      </c>
    </row>
    <row r="64" spans="1:19">
      <c r="A64" s="93" t="s">
        <v>5121</v>
      </c>
      <c r="B64" s="38" t="s">
        <v>4312</v>
      </c>
      <c r="C64" s="25"/>
      <c r="D64" s="34"/>
      <c r="E64" s="25"/>
      <c r="F64" s="25"/>
      <c r="G64" s="25"/>
      <c r="H64" s="39" t="str">
        <f>_xlfn.XLOOKUP(CRUCE[[#This Row],[Ubicacion]],Registros[Ubicacion],Registros[Codigo], "")</f>
        <v/>
      </c>
      <c r="I64" s="25" t="str">
        <f>_xlfn.XLOOKUP(CRUCE[[#This Row],[Ubicacion]],Registros[Ubicacion],Registros[Total], "")</f>
        <v/>
      </c>
      <c r="J64" s="79" t="str">
        <f>_xlfn.XLOOKUP(CRUCE[[#This Row],[Ubicacion]],Registros[Ubicacion],Registros[UMA], "")</f>
        <v/>
      </c>
      <c r="K64" s="39" t="str">
        <f>IF(CRUCE[[#This Row],[TOTAL]]="","",CRUCE[[#This Row],[TOTAL]]-CRUCE[[#This Row],[BULTOS]])</f>
        <v/>
      </c>
      <c r="L64" s="38" t="str">
        <f>IF(CRUCE[[#This Row],[TOTAL]]="", "PENDIENTE", IF(CRUCE[[#This Row],[Diferencia]]=0, "CUADRADO", IF(CRUCE[[#This Row],[Diferencia]]&gt;0, "SOBRANTE", "FALTANTE")))</f>
        <v>PENDIENTE</v>
      </c>
      <c r="M64" s="71" t="str">
        <f>IF(CRUCE[[#This Row],[Diferencia]]="","",IF(CRUCE[[#This Row],[Diferencia]]=0,"OK","RECONTEO"))</f>
        <v/>
      </c>
      <c r="N64" s="39" t="str">
        <f>_xlfn.XLOOKUP(CRUCE[[#This Row],[Ubicacion]],Registros[Ubicacion],Registros[Codigo], "")</f>
        <v/>
      </c>
      <c r="O64" s="25"/>
      <c r="P64" s="25"/>
      <c r="Q64" s="39" t="str">
        <f>IF(CRUCE[[#This Row],[TOTAL2]]="", "PENDIENTE", IF(CRUCE[[#This Row],[DIFERENCIA2]]=0, "CUADRADO", IF(CRUCE[[#This Row],[DIFERENCIA2]]&gt;0, "SOBRANTE", "FALTANTE")))</f>
        <v>PENDIENTE</v>
      </c>
      <c r="R64" s="103" t="s">
        <v>5081</v>
      </c>
      <c r="S64" s="127" t="s">
        <v>5143</v>
      </c>
    </row>
    <row r="65" spans="1:19">
      <c r="A65" s="92" t="s">
        <v>5121</v>
      </c>
      <c r="B65" s="39" t="s">
        <v>4314</v>
      </c>
      <c r="C65" s="26"/>
      <c r="D65" s="35"/>
      <c r="E65" s="26"/>
      <c r="F65" s="26"/>
      <c r="G65" s="26"/>
      <c r="H65" s="39" t="str">
        <f>_xlfn.XLOOKUP(CRUCE[[#This Row],[Ubicacion]],Registros[Ubicacion],Registros[Codigo], "")</f>
        <v/>
      </c>
      <c r="I65" s="26" t="str">
        <f>_xlfn.XLOOKUP(CRUCE[[#This Row],[Ubicacion]],Registros[Ubicacion],Registros[Total], "")</f>
        <v/>
      </c>
      <c r="J65" s="26" t="str">
        <f>_xlfn.XLOOKUP(CRUCE[[#This Row],[Ubicacion]],Registros[Ubicacion],Registros[UMA], "")</f>
        <v/>
      </c>
      <c r="K65" s="39" t="str">
        <f>IF(CRUCE[[#This Row],[TOTAL]]="","",CRUCE[[#This Row],[TOTAL]]-CRUCE[[#This Row],[BULTOS]])</f>
        <v/>
      </c>
      <c r="L65" s="39" t="str">
        <f>IF(CRUCE[[#This Row],[TOTAL]]="", "PENDIENTE", IF(CRUCE[[#This Row],[Diferencia]]=0, "CUADRADO", IF(CRUCE[[#This Row],[Diferencia]]&gt;0, "SOBRANTE", "FALTANTE")))</f>
        <v>PENDIENTE</v>
      </c>
      <c r="M65" s="72" t="str">
        <f>IF(CRUCE[[#This Row],[Diferencia]]="","",IF(CRUCE[[#This Row],[Diferencia]]=0,"OK","RECONTEO"))</f>
        <v/>
      </c>
      <c r="N65" s="39" t="str">
        <f>_xlfn.XLOOKUP(CRUCE[[#This Row],[Ubicacion]],Registros[Ubicacion],Registros[Codigo], "")</f>
        <v/>
      </c>
      <c r="O65" s="26"/>
      <c r="P65" s="26"/>
      <c r="Q65" s="39" t="str">
        <f>IF(CRUCE[[#This Row],[TOTAL2]]="", "PENDIENTE", IF(CRUCE[[#This Row],[DIFERENCIA2]]=0, "CUADRADO", IF(CRUCE[[#This Row],[DIFERENCIA2]]&gt;0, "SOBRANTE", "FALTANTE")))</f>
        <v>PENDIENTE</v>
      </c>
      <c r="R65" s="102" t="s">
        <v>5081</v>
      </c>
      <c r="S65" s="127" t="s">
        <v>5144</v>
      </c>
    </row>
    <row r="66" spans="1:19">
      <c r="A66" s="93" t="s">
        <v>5121</v>
      </c>
      <c r="B66" s="38" t="s">
        <v>4316</v>
      </c>
      <c r="C66" s="25"/>
      <c r="D66" s="34"/>
      <c r="E66" s="25"/>
      <c r="F66" s="25"/>
      <c r="G66" s="25"/>
      <c r="H66" s="39" t="str">
        <f>_xlfn.XLOOKUP(CRUCE[[#This Row],[Ubicacion]],Registros[Ubicacion],Registros[Codigo], "")</f>
        <v/>
      </c>
      <c r="I66" s="25" t="str">
        <f>_xlfn.XLOOKUP(CRUCE[[#This Row],[Ubicacion]],Registros[Ubicacion],Registros[Total], "")</f>
        <v/>
      </c>
      <c r="J66" s="79" t="str">
        <f>_xlfn.XLOOKUP(CRUCE[[#This Row],[Ubicacion]],Registros[Ubicacion],Registros[UMA], "")</f>
        <v/>
      </c>
      <c r="K66" s="39" t="str">
        <f>IF(CRUCE[[#This Row],[TOTAL]]="","",CRUCE[[#This Row],[TOTAL]]-CRUCE[[#This Row],[BULTOS]])</f>
        <v/>
      </c>
      <c r="L66" s="38" t="str">
        <f>IF(CRUCE[[#This Row],[TOTAL]]="", "PENDIENTE", IF(CRUCE[[#This Row],[Diferencia]]=0, "CUADRADO", IF(CRUCE[[#This Row],[Diferencia]]&gt;0, "SOBRANTE", "FALTANTE")))</f>
        <v>PENDIENTE</v>
      </c>
      <c r="M66" s="71" t="str">
        <f>IF(CRUCE[[#This Row],[Diferencia]]="","",IF(CRUCE[[#This Row],[Diferencia]]=0,"OK","RECONTEO"))</f>
        <v/>
      </c>
      <c r="N66" s="39" t="str">
        <f>_xlfn.XLOOKUP(CRUCE[[#This Row],[Ubicacion]],Registros[Ubicacion],Registros[Codigo], "")</f>
        <v/>
      </c>
      <c r="O66" s="25"/>
      <c r="P66" s="25"/>
      <c r="Q66" s="39" t="str">
        <f>IF(CRUCE[[#This Row],[TOTAL2]]="", "PENDIENTE", IF(CRUCE[[#This Row],[DIFERENCIA2]]=0, "CUADRADO", IF(CRUCE[[#This Row],[DIFERENCIA2]]&gt;0, "SOBRANTE", "FALTANTE")))</f>
        <v>PENDIENTE</v>
      </c>
      <c r="R66" s="103" t="s">
        <v>5081</v>
      </c>
      <c r="S66" s="127" t="s">
        <v>5145</v>
      </c>
    </row>
    <row r="67" spans="1:19">
      <c r="A67" s="92" t="s">
        <v>5121</v>
      </c>
      <c r="B67" s="39" t="s">
        <v>4318</v>
      </c>
      <c r="C67" s="26"/>
      <c r="D67" s="35"/>
      <c r="E67" s="26"/>
      <c r="F67" s="26"/>
      <c r="G67" s="26"/>
      <c r="H67" s="39" t="str">
        <f>_xlfn.XLOOKUP(CRUCE[[#This Row],[Ubicacion]],Registros[Ubicacion],Registros[Codigo], "")</f>
        <v/>
      </c>
      <c r="I67" s="26" t="str">
        <f>_xlfn.XLOOKUP(CRUCE[[#This Row],[Ubicacion]],Registros[Ubicacion],Registros[Total], "")</f>
        <v/>
      </c>
      <c r="J67" s="26" t="str">
        <f>_xlfn.XLOOKUP(CRUCE[[#This Row],[Ubicacion]],Registros[Ubicacion],Registros[UMA], "")</f>
        <v/>
      </c>
      <c r="K67" s="39" t="str">
        <f>IF(CRUCE[[#This Row],[TOTAL]]="","",CRUCE[[#This Row],[TOTAL]]-CRUCE[[#This Row],[BULTOS]])</f>
        <v/>
      </c>
      <c r="L67" s="39" t="str">
        <f>IF(CRUCE[[#This Row],[TOTAL]]="", "PENDIENTE", IF(CRUCE[[#This Row],[Diferencia]]=0, "CUADRADO", IF(CRUCE[[#This Row],[Diferencia]]&gt;0, "SOBRANTE", "FALTANTE")))</f>
        <v>PENDIENTE</v>
      </c>
      <c r="M67" s="72" t="str">
        <f>IF(CRUCE[[#This Row],[Diferencia]]="","",IF(CRUCE[[#This Row],[Diferencia]]=0,"OK","RECONTEO"))</f>
        <v/>
      </c>
      <c r="N67" s="39" t="str">
        <f>_xlfn.XLOOKUP(CRUCE[[#This Row],[Ubicacion]],Registros[Ubicacion],Registros[Codigo], "")</f>
        <v/>
      </c>
      <c r="O67" s="26"/>
      <c r="P67" s="26"/>
      <c r="Q67" s="39" t="str">
        <f>IF(CRUCE[[#This Row],[TOTAL2]]="", "PENDIENTE", IF(CRUCE[[#This Row],[DIFERENCIA2]]=0, "CUADRADO", IF(CRUCE[[#This Row],[DIFERENCIA2]]&gt;0, "SOBRANTE", "FALTANTE")))</f>
        <v>PENDIENTE</v>
      </c>
      <c r="R67" s="102" t="s">
        <v>5081</v>
      </c>
      <c r="S67" s="127" t="s">
        <v>5146</v>
      </c>
    </row>
    <row r="68" spans="1:19">
      <c r="A68" s="93" t="s">
        <v>5121</v>
      </c>
      <c r="B68" s="38" t="s">
        <v>4320</v>
      </c>
      <c r="C68" s="25"/>
      <c r="D68" s="34"/>
      <c r="E68" s="25"/>
      <c r="F68" s="25"/>
      <c r="G68" s="25"/>
      <c r="H68" s="39" t="str">
        <f>_xlfn.XLOOKUP(CRUCE[[#This Row],[Ubicacion]],Registros[Ubicacion],Registros[Codigo], "")</f>
        <v/>
      </c>
      <c r="I68" s="25" t="str">
        <f>_xlfn.XLOOKUP(CRUCE[[#This Row],[Ubicacion]],Registros[Ubicacion],Registros[Total], "")</f>
        <v/>
      </c>
      <c r="J68" s="79" t="str">
        <f>_xlfn.XLOOKUP(CRUCE[[#This Row],[Ubicacion]],Registros[Ubicacion],Registros[UMA], "")</f>
        <v/>
      </c>
      <c r="K68" s="39" t="str">
        <f>IF(CRUCE[[#This Row],[TOTAL]]="","",CRUCE[[#This Row],[TOTAL]]-CRUCE[[#This Row],[BULTOS]])</f>
        <v/>
      </c>
      <c r="L68" s="38" t="str">
        <f>IF(CRUCE[[#This Row],[TOTAL]]="", "PENDIENTE", IF(CRUCE[[#This Row],[Diferencia]]=0, "CUADRADO", IF(CRUCE[[#This Row],[Diferencia]]&gt;0, "SOBRANTE", "FALTANTE")))</f>
        <v>PENDIENTE</v>
      </c>
      <c r="M68" s="71" t="str">
        <f>IF(CRUCE[[#This Row],[Diferencia]]="","",IF(CRUCE[[#This Row],[Diferencia]]=0,"OK","RECONTEO"))</f>
        <v/>
      </c>
      <c r="N68" s="39" t="str">
        <f>_xlfn.XLOOKUP(CRUCE[[#This Row],[Ubicacion]],Registros[Ubicacion],Registros[Codigo], "")</f>
        <v/>
      </c>
      <c r="O68" s="25"/>
      <c r="P68" s="25"/>
      <c r="Q68" s="39" t="str">
        <f>IF(CRUCE[[#This Row],[TOTAL2]]="", "PENDIENTE", IF(CRUCE[[#This Row],[DIFERENCIA2]]=0, "CUADRADO", IF(CRUCE[[#This Row],[DIFERENCIA2]]&gt;0, "SOBRANTE", "FALTANTE")))</f>
        <v>PENDIENTE</v>
      </c>
      <c r="R68" s="103" t="s">
        <v>5081</v>
      </c>
      <c r="S68" s="127" t="s">
        <v>5147</v>
      </c>
    </row>
    <row r="69" spans="1:19">
      <c r="A69" s="92" t="s">
        <v>5121</v>
      </c>
      <c r="B69" s="39" t="s">
        <v>4322</v>
      </c>
      <c r="C69" s="26"/>
      <c r="D69" s="35"/>
      <c r="E69" s="26"/>
      <c r="F69" s="26"/>
      <c r="G69" s="26"/>
      <c r="H69" s="39" t="str">
        <f>_xlfn.XLOOKUP(CRUCE[[#This Row],[Ubicacion]],Registros[Ubicacion],Registros[Codigo], "")</f>
        <v/>
      </c>
      <c r="I69" s="26" t="str">
        <f>_xlfn.XLOOKUP(CRUCE[[#This Row],[Ubicacion]],Registros[Ubicacion],Registros[Total], "")</f>
        <v/>
      </c>
      <c r="J69" s="26" t="str">
        <f>_xlfn.XLOOKUP(CRUCE[[#This Row],[Ubicacion]],Registros[Ubicacion],Registros[UMA], "")</f>
        <v/>
      </c>
      <c r="K69" s="39" t="str">
        <f>IF(CRUCE[[#This Row],[TOTAL]]="","",CRUCE[[#This Row],[TOTAL]]-CRUCE[[#This Row],[BULTOS]])</f>
        <v/>
      </c>
      <c r="L69" s="39" t="str">
        <f>IF(CRUCE[[#This Row],[TOTAL]]="", "PENDIENTE", IF(CRUCE[[#This Row],[Diferencia]]=0, "CUADRADO", IF(CRUCE[[#This Row],[Diferencia]]&gt;0, "SOBRANTE", "FALTANTE")))</f>
        <v>PENDIENTE</v>
      </c>
      <c r="M69" s="72" t="str">
        <f>IF(CRUCE[[#This Row],[Diferencia]]="","",IF(CRUCE[[#This Row],[Diferencia]]=0,"OK","RECONTEO"))</f>
        <v/>
      </c>
      <c r="N69" s="39" t="str">
        <f>_xlfn.XLOOKUP(CRUCE[[#This Row],[Ubicacion]],Registros[Ubicacion],Registros[Codigo], "")</f>
        <v/>
      </c>
      <c r="O69" s="26"/>
      <c r="P69" s="26"/>
      <c r="Q69" s="39" t="str">
        <f>IF(CRUCE[[#This Row],[TOTAL2]]="", "PENDIENTE", IF(CRUCE[[#This Row],[DIFERENCIA2]]=0, "CUADRADO", IF(CRUCE[[#This Row],[DIFERENCIA2]]&gt;0, "SOBRANTE", "FALTANTE")))</f>
        <v>PENDIENTE</v>
      </c>
      <c r="R69" s="102" t="s">
        <v>5081</v>
      </c>
      <c r="S69" s="127" t="s">
        <v>5148</v>
      </c>
    </row>
    <row r="70" spans="1:19">
      <c r="A70" s="93" t="s">
        <v>5121</v>
      </c>
      <c r="B70" s="38" t="s">
        <v>4324</v>
      </c>
      <c r="C70" s="25"/>
      <c r="D70" s="34"/>
      <c r="E70" s="25"/>
      <c r="F70" s="25"/>
      <c r="G70" s="25"/>
      <c r="H70" s="39" t="str">
        <f>_xlfn.XLOOKUP(CRUCE[[#This Row],[Ubicacion]],Registros[Ubicacion],Registros[Codigo], "")</f>
        <v/>
      </c>
      <c r="I70" s="25" t="str">
        <f>_xlfn.XLOOKUP(CRUCE[[#This Row],[Ubicacion]],Registros[Ubicacion],Registros[Total], "")</f>
        <v/>
      </c>
      <c r="J70" s="79" t="str">
        <f>_xlfn.XLOOKUP(CRUCE[[#This Row],[Ubicacion]],Registros[Ubicacion],Registros[UMA], "")</f>
        <v/>
      </c>
      <c r="K70" s="39" t="str">
        <f>IF(CRUCE[[#This Row],[TOTAL]]="","",CRUCE[[#This Row],[TOTAL]]-CRUCE[[#This Row],[BULTOS]])</f>
        <v/>
      </c>
      <c r="L70" s="38" t="str">
        <f>IF(CRUCE[[#This Row],[TOTAL]]="", "PENDIENTE", IF(CRUCE[[#This Row],[Diferencia]]=0, "CUADRADO", IF(CRUCE[[#This Row],[Diferencia]]&gt;0, "SOBRANTE", "FALTANTE")))</f>
        <v>PENDIENTE</v>
      </c>
      <c r="M70" s="71" t="str">
        <f>IF(CRUCE[[#This Row],[Diferencia]]="","",IF(CRUCE[[#This Row],[Diferencia]]=0,"OK","RECONTEO"))</f>
        <v/>
      </c>
      <c r="N70" s="39" t="str">
        <f>_xlfn.XLOOKUP(CRUCE[[#This Row],[Ubicacion]],Registros[Ubicacion],Registros[Codigo], "")</f>
        <v/>
      </c>
      <c r="O70" s="25"/>
      <c r="P70" s="25"/>
      <c r="Q70" s="39" t="str">
        <f>IF(CRUCE[[#This Row],[TOTAL2]]="", "PENDIENTE", IF(CRUCE[[#This Row],[DIFERENCIA2]]=0, "CUADRADO", IF(CRUCE[[#This Row],[DIFERENCIA2]]&gt;0, "SOBRANTE", "FALTANTE")))</f>
        <v>PENDIENTE</v>
      </c>
      <c r="R70" s="103" t="s">
        <v>5081</v>
      </c>
      <c r="S70" s="127" t="s">
        <v>5149</v>
      </c>
    </row>
    <row r="71" spans="1:19">
      <c r="A71" s="92" t="s">
        <v>5121</v>
      </c>
      <c r="B71" s="39" t="s">
        <v>4326</v>
      </c>
      <c r="C71" s="26"/>
      <c r="D71" s="35"/>
      <c r="E71" s="26"/>
      <c r="F71" s="26"/>
      <c r="G71" s="26"/>
      <c r="H71" s="39" t="str">
        <f>_xlfn.XLOOKUP(CRUCE[[#This Row],[Ubicacion]],Registros[Ubicacion],Registros[Codigo], "")</f>
        <v/>
      </c>
      <c r="I71" s="26" t="str">
        <f>_xlfn.XLOOKUP(CRUCE[[#This Row],[Ubicacion]],Registros[Ubicacion],Registros[Total], "")</f>
        <v/>
      </c>
      <c r="J71" s="26" t="str">
        <f>_xlfn.XLOOKUP(CRUCE[[#This Row],[Ubicacion]],Registros[Ubicacion],Registros[UMA], "")</f>
        <v/>
      </c>
      <c r="K71" s="39" t="str">
        <f>IF(CRUCE[[#This Row],[TOTAL]]="","",CRUCE[[#This Row],[TOTAL]]-CRUCE[[#This Row],[BULTOS]])</f>
        <v/>
      </c>
      <c r="L71" s="39" t="str">
        <f>IF(CRUCE[[#This Row],[TOTAL]]="", "PENDIENTE", IF(CRUCE[[#This Row],[Diferencia]]=0, "CUADRADO", IF(CRUCE[[#This Row],[Diferencia]]&gt;0, "SOBRANTE", "FALTANTE")))</f>
        <v>PENDIENTE</v>
      </c>
      <c r="M71" s="72" t="str">
        <f>IF(CRUCE[[#This Row],[Diferencia]]="","",IF(CRUCE[[#This Row],[Diferencia]]=0,"OK","RECONTEO"))</f>
        <v/>
      </c>
      <c r="N71" s="39" t="str">
        <f>_xlfn.XLOOKUP(CRUCE[[#This Row],[Ubicacion]],Registros[Ubicacion],Registros[Codigo], "")</f>
        <v/>
      </c>
      <c r="O71" s="26"/>
      <c r="P71" s="26"/>
      <c r="Q71" s="39" t="str">
        <f>IF(CRUCE[[#This Row],[TOTAL2]]="", "PENDIENTE", IF(CRUCE[[#This Row],[DIFERENCIA2]]=0, "CUADRADO", IF(CRUCE[[#This Row],[DIFERENCIA2]]&gt;0, "SOBRANTE", "FALTANTE")))</f>
        <v>PENDIENTE</v>
      </c>
      <c r="R71" s="102" t="s">
        <v>5081</v>
      </c>
      <c r="S71" s="127" t="s">
        <v>5150</v>
      </c>
    </row>
    <row r="72" spans="1:19">
      <c r="A72" s="93" t="s">
        <v>5121</v>
      </c>
      <c r="B72" s="38" t="s">
        <v>4328</v>
      </c>
      <c r="C72" s="25"/>
      <c r="D72" s="34"/>
      <c r="E72" s="25"/>
      <c r="F72" s="25"/>
      <c r="G72" s="25"/>
      <c r="H72" s="39" t="str">
        <f>_xlfn.XLOOKUP(CRUCE[[#This Row],[Ubicacion]],Registros[Ubicacion],Registros[Codigo], "")</f>
        <v/>
      </c>
      <c r="I72" s="25" t="str">
        <f>_xlfn.XLOOKUP(CRUCE[[#This Row],[Ubicacion]],Registros[Ubicacion],Registros[Total], "")</f>
        <v/>
      </c>
      <c r="J72" s="79" t="str">
        <f>_xlfn.XLOOKUP(CRUCE[[#This Row],[Ubicacion]],Registros[Ubicacion],Registros[UMA], "")</f>
        <v/>
      </c>
      <c r="K72" s="39" t="str">
        <f>IF(CRUCE[[#This Row],[TOTAL]]="","",CRUCE[[#This Row],[TOTAL]]-CRUCE[[#This Row],[BULTOS]])</f>
        <v/>
      </c>
      <c r="L72" s="38" t="str">
        <f>IF(CRUCE[[#This Row],[TOTAL]]="", "PENDIENTE", IF(CRUCE[[#This Row],[Diferencia]]=0, "CUADRADO", IF(CRUCE[[#This Row],[Diferencia]]&gt;0, "SOBRANTE", "FALTANTE")))</f>
        <v>PENDIENTE</v>
      </c>
      <c r="M72" s="71" t="str">
        <f>IF(CRUCE[[#This Row],[Diferencia]]="","",IF(CRUCE[[#This Row],[Diferencia]]=0,"OK","RECONTEO"))</f>
        <v/>
      </c>
      <c r="N72" s="39" t="str">
        <f>_xlfn.XLOOKUP(CRUCE[[#This Row],[Ubicacion]],Registros[Ubicacion],Registros[Codigo], "")</f>
        <v/>
      </c>
      <c r="O72" s="25"/>
      <c r="P72" s="25"/>
      <c r="Q72" s="39" t="str">
        <f>IF(CRUCE[[#This Row],[TOTAL2]]="", "PENDIENTE", IF(CRUCE[[#This Row],[DIFERENCIA2]]=0, "CUADRADO", IF(CRUCE[[#This Row],[DIFERENCIA2]]&gt;0, "SOBRANTE", "FALTANTE")))</f>
        <v>PENDIENTE</v>
      </c>
      <c r="R72" s="103" t="s">
        <v>5081</v>
      </c>
      <c r="S72" s="127" t="s">
        <v>5151</v>
      </c>
    </row>
    <row r="73" spans="1:19">
      <c r="A73" s="92" t="s">
        <v>5121</v>
      </c>
      <c r="B73" s="39" t="s">
        <v>4330</v>
      </c>
      <c r="C73" s="26"/>
      <c r="D73" s="35"/>
      <c r="E73" s="26"/>
      <c r="F73" s="26"/>
      <c r="G73" s="26"/>
      <c r="H73" s="39" t="str">
        <f>_xlfn.XLOOKUP(CRUCE[[#This Row],[Ubicacion]],Registros[Ubicacion],Registros[Codigo], "")</f>
        <v/>
      </c>
      <c r="I73" s="26" t="str">
        <f>_xlfn.XLOOKUP(CRUCE[[#This Row],[Ubicacion]],Registros[Ubicacion],Registros[Total], "")</f>
        <v/>
      </c>
      <c r="J73" s="26" t="str">
        <f>_xlfn.XLOOKUP(CRUCE[[#This Row],[Ubicacion]],Registros[Ubicacion],Registros[UMA], "")</f>
        <v/>
      </c>
      <c r="K73" s="39" t="str">
        <f>IF(CRUCE[[#This Row],[TOTAL]]="","",CRUCE[[#This Row],[TOTAL]]-CRUCE[[#This Row],[BULTOS]])</f>
        <v/>
      </c>
      <c r="L73" s="39" t="str">
        <f>IF(CRUCE[[#This Row],[TOTAL]]="", "PENDIENTE", IF(CRUCE[[#This Row],[Diferencia]]=0, "CUADRADO", IF(CRUCE[[#This Row],[Diferencia]]&gt;0, "SOBRANTE", "FALTANTE")))</f>
        <v>PENDIENTE</v>
      </c>
      <c r="M73" s="72" t="str">
        <f>IF(CRUCE[[#This Row],[Diferencia]]="","",IF(CRUCE[[#This Row],[Diferencia]]=0,"OK","RECONTEO"))</f>
        <v/>
      </c>
      <c r="N73" s="39" t="str">
        <f>_xlfn.XLOOKUP(CRUCE[[#This Row],[Ubicacion]],Registros[Ubicacion],Registros[Codigo], "")</f>
        <v/>
      </c>
      <c r="O73" s="26"/>
      <c r="P73" s="26"/>
      <c r="Q73" s="39" t="str">
        <f>IF(CRUCE[[#This Row],[TOTAL2]]="", "PENDIENTE", IF(CRUCE[[#This Row],[DIFERENCIA2]]=0, "CUADRADO", IF(CRUCE[[#This Row],[DIFERENCIA2]]&gt;0, "SOBRANTE", "FALTANTE")))</f>
        <v>PENDIENTE</v>
      </c>
      <c r="R73" s="102" t="s">
        <v>5081</v>
      </c>
      <c r="S73" s="129" t="s">
        <v>5152</v>
      </c>
    </row>
    <row r="74" spans="1:19">
      <c r="A74" s="93" t="s">
        <v>5121</v>
      </c>
      <c r="B74" s="38" t="s">
        <v>4332</v>
      </c>
      <c r="C74" s="25"/>
      <c r="D74" s="34"/>
      <c r="E74" s="25"/>
      <c r="F74" s="25"/>
      <c r="G74" s="25"/>
      <c r="H74" s="39" t="str">
        <f>_xlfn.XLOOKUP(CRUCE[[#This Row],[Ubicacion]],Registros[Ubicacion],Registros[Codigo], "")</f>
        <v/>
      </c>
      <c r="I74" s="25" t="str">
        <f>_xlfn.XLOOKUP(CRUCE[[#This Row],[Ubicacion]],Registros[Ubicacion],Registros[Total], "")</f>
        <v/>
      </c>
      <c r="J74" s="79" t="str">
        <f>_xlfn.XLOOKUP(CRUCE[[#This Row],[Ubicacion]],Registros[Ubicacion],Registros[UMA], "")</f>
        <v/>
      </c>
      <c r="K74" s="39" t="str">
        <f>IF(CRUCE[[#This Row],[TOTAL]]="","",CRUCE[[#This Row],[TOTAL]]-CRUCE[[#This Row],[BULTOS]])</f>
        <v/>
      </c>
      <c r="L74" s="38" t="str">
        <f>IF(CRUCE[[#This Row],[TOTAL]]="", "PENDIENTE", IF(CRUCE[[#This Row],[Diferencia]]=0, "CUADRADO", IF(CRUCE[[#This Row],[Diferencia]]&gt;0, "SOBRANTE", "FALTANTE")))</f>
        <v>PENDIENTE</v>
      </c>
      <c r="M74" s="71" t="str">
        <f>IF(CRUCE[[#This Row],[Diferencia]]="","",IF(CRUCE[[#This Row],[Diferencia]]=0,"OK","RECONTEO"))</f>
        <v/>
      </c>
      <c r="N74" s="39" t="str">
        <f>_xlfn.XLOOKUP(CRUCE[[#This Row],[Ubicacion]],Registros[Ubicacion],Registros[Codigo], "")</f>
        <v/>
      </c>
      <c r="O74" s="25"/>
      <c r="P74" s="25"/>
      <c r="Q74" s="39" t="str">
        <f>IF(CRUCE[[#This Row],[TOTAL2]]="", "PENDIENTE", IF(CRUCE[[#This Row],[DIFERENCIA2]]=0, "CUADRADO", IF(CRUCE[[#This Row],[DIFERENCIA2]]&gt;0, "SOBRANTE", "FALTANTE")))</f>
        <v>PENDIENTE</v>
      </c>
      <c r="R74" s="103" t="s">
        <v>5081</v>
      </c>
      <c r="S74" s="127" t="s">
        <v>5153</v>
      </c>
    </row>
    <row r="75" spans="1:19">
      <c r="A75" s="92" t="s">
        <v>5121</v>
      </c>
      <c r="B75" s="39" t="s">
        <v>4334</v>
      </c>
      <c r="C75" s="26"/>
      <c r="D75" s="35"/>
      <c r="E75" s="26"/>
      <c r="F75" s="26"/>
      <c r="G75" s="26"/>
      <c r="H75" s="39" t="str">
        <f>_xlfn.XLOOKUP(CRUCE[[#This Row],[Ubicacion]],Registros[Ubicacion],Registros[Codigo], "")</f>
        <v/>
      </c>
      <c r="I75" s="26" t="str">
        <f>_xlfn.XLOOKUP(CRUCE[[#This Row],[Ubicacion]],Registros[Ubicacion],Registros[Total], "")</f>
        <v/>
      </c>
      <c r="J75" s="26" t="str">
        <f>_xlfn.XLOOKUP(CRUCE[[#This Row],[Ubicacion]],Registros[Ubicacion],Registros[UMA], "")</f>
        <v/>
      </c>
      <c r="K75" s="39" t="str">
        <f>IF(CRUCE[[#This Row],[TOTAL]]="","",CRUCE[[#This Row],[TOTAL]]-CRUCE[[#This Row],[BULTOS]])</f>
        <v/>
      </c>
      <c r="L75" s="39" t="str">
        <f>IF(CRUCE[[#This Row],[TOTAL]]="", "PENDIENTE", IF(CRUCE[[#This Row],[Diferencia]]=0, "CUADRADO", IF(CRUCE[[#This Row],[Diferencia]]&gt;0, "SOBRANTE", "FALTANTE")))</f>
        <v>PENDIENTE</v>
      </c>
      <c r="M75" s="72" t="str">
        <f>IF(CRUCE[[#This Row],[Diferencia]]="","",IF(CRUCE[[#This Row],[Diferencia]]=0,"OK","RECONTEO"))</f>
        <v/>
      </c>
      <c r="N75" s="39" t="str">
        <f>_xlfn.XLOOKUP(CRUCE[[#This Row],[Ubicacion]],Registros[Ubicacion],Registros[Codigo], "")</f>
        <v/>
      </c>
      <c r="O75" s="26"/>
      <c r="P75" s="26"/>
      <c r="Q75" s="39" t="str">
        <f>IF(CRUCE[[#This Row],[TOTAL2]]="", "PENDIENTE", IF(CRUCE[[#This Row],[DIFERENCIA2]]=0, "CUADRADO", IF(CRUCE[[#This Row],[DIFERENCIA2]]&gt;0, "SOBRANTE", "FALTANTE")))</f>
        <v>PENDIENTE</v>
      </c>
      <c r="R75" s="102" t="s">
        <v>5081</v>
      </c>
      <c r="S75" s="127" t="s">
        <v>5154</v>
      </c>
    </row>
    <row r="76" spans="1:19">
      <c r="A76" s="93" t="s">
        <v>5121</v>
      </c>
      <c r="B76" s="38" t="s">
        <v>4336</v>
      </c>
      <c r="C76" s="25"/>
      <c r="D76" s="34"/>
      <c r="E76" s="25"/>
      <c r="F76" s="25"/>
      <c r="G76" s="25"/>
      <c r="H76" s="39" t="str">
        <f>_xlfn.XLOOKUP(CRUCE[[#This Row],[Ubicacion]],Registros[Ubicacion],Registros[Codigo], "")</f>
        <v/>
      </c>
      <c r="I76" s="25" t="str">
        <f>_xlfn.XLOOKUP(CRUCE[[#This Row],[Ubicacion]],Registros[Ubicacion],Registros[Total], "")</f>
        <v/>
      </c>
      <c r="J76" s="79" t="str">
        <f>_xlfn.XLOOKUP(CRUCE[[#This Row],[Ubicacion]],Registros[Ubicacion],Registros[UMA], "")</f>
        <v/>
      </c>
      <c r="K76" s="39" t="str">
        <f>IF(CRUCE[[#This Row],[TOTAL]]="","",CRUCE[[#This Row],[TOTAL]]-CRUCE[[#This Row],[BULTOS]])</f>
        <v/>
      </c>
      <c r="L76" s="38" t="str">
        <f>IF(CRUCE[[#This Row],[TOTAL]]="", "PENDIENTE", IF(CRUCE[[#This Row],[Diferencia]]=0, "CUADRADO", IF(CRUCE[[#This Row],[Diferencia]]&gt;0, "SOBRANTE", "FALTANTE")))</f>
        <v>PENDIENTE</v>
      </c>
      <c r="M76" s="71" t="str">
        <f>IF(CRUCE[[#This Row],[Diferencia]]="","",IF(CRUCE[[#This Row],[Diferencia]]=0,"OK","RECONTEO"))</f>
        <v/>
      </c>
      <c r="N76" s="39" t="str">
        <f>_xlfn.XLOOKUP(CRUCE[[#This Row],[Ubicacion]],Registros[Ubicacion],Registros[Codigo], "")</f>
        <v/>
      </c>
      <c r="O76" s="25"/>
      <c r="P76" s="25"/>
      <c r="Q76" s="39" t="str">
        <f>IF(CRUCE[[#This Row],[TOTAL2]]="", "PENDIENTE", IF(CRUCE[[#This Row],[DIFERENCIA2]]=0, "CUADRADO", IF(CRUCE[[#This Row],[DIFERENCIA2]]&gt;0, "SOBRANTE", "FALTANTE")))</f>
        <v>PENDIENTE</v>
      </c>
      <c r="R76" s="103" t="s">
        <v>5081</v>
      </c>
      <c r="S76" s="127" t="s">
        <v>5155</v>
      </c>
    </row>
    <row r="77" spans="1:19">
      <c r="A77" s="92" t="s">
        <v>5121</v>
      </c>
      <c r="B77" s="39" t="s">
        <v>4338</v>
      </c>
      <c r="C77" s="26"/>
      <c r="D77" s="35"/>
      <c r="E77" s="26"/>
      <c r="F77" s="26"/>
      <c r="G77" s="26"/>
      <c r="H77" s="39" t="str">
        <f>_xlfn.XLOOKUP(CRUCE[[#This Row],[Ubicacion]],Registros[Ubicacion],Registros[Codigo], "")</f>
        <v/>
      </c>
      <c r="I77" s="26" t="str">
        <f>_xlfn.XLOOKUP(CRUCE[[#This Row],[Ubicacion]],Registros[Ubicacion],Registros[Total], "")</f>
        <v/>
      </c>
      <c r="J77" s="26" t="str">
        <f>_xlfn.XLOOKUP(CRUCE[[#This Row],[Ubicacion]],Registros[Ubicacion],Registros[UMA], "")</f>
        <v/>
      </c>
      <c r="K77" s="39" t="str">
        <f>IF(CRUCE[[#This Row],[TOTAL]]="","",CRUCE[[#This Row],[TOTAL]]-CRUCE[[#This Row],[BULTOS]])</f>
        <v/>
      </c>
      <c r="L77" s="39" t="str">
        <f>IF(CRUCE[[#This Row],[TOTAL]]="", "PENDIENTE", IF(CRUCE[[#This Row],[Diferencia]]=0, "CUADRADO", IF(CRUCE[[#This Row],[Diferencia]]&gt;0, "SOBRANTE", "FALTANTE")))</f>
        <v>PENDIENTE</v>
      </c>
      <c r="M77" s="72" t="str">
        <f>IF(CRUCE[[#This Row],[Diferencia]]="","",IF(CRUCE[[#This Row],[Diferencia]]=0,"OK","RECONTEO"))</f>
        <v/>
      </c>
      <c r="N77" s="39" t="str">
        <f>_xlfn.XLOOKUP(CRUCE[[#This Row],[Ubicacion]],Registros[Ubicacion],Registros[Codigo], "")</f>
        <v/>
      </c>
      <c r="O77" s="26"/>
      <c r="P77" s="26"/>
      <c r="Q77" s="39" t="str">
        <f>IF(CRUCE[[#This Row],[TOTAL2]]="", "PENDIENTE", IF(CRUCE[[#This Row],[DIFERENCIA2]]=0, "CUADRADO", IF(CRUCE[[#This Row],[DIFERENCIA2]]&gt;0, "SOBRANTE", "FALTANTE")))</f>
        <v>PENDIENTE</v>
      </c>
      <c r="R77" s="102" t="s">
        <v>5081</v>
      </c>
      <c r="S77" s="127" t="s">
        <v>5156</v>
      </c>
    </row>
    <row r="78" spans="1:19">
      <c r="A78" s="93" t="s">
        <v>5121</v>
      </c>
      <c r="B78" s="38" t="s">
        <v>4340</v>
      </c>
      <c r="C78" s="25"/>
      <c r="D78" s="34"/>
      <c r="E78" s="25"/>
      <c r="F78" s="25"/>
      <c r="G78" s="25"/>
      <c r="H78" s="39" t="str">
        <f>_xlfn.XLOOKUP(CRUCE[[#This Row],[Ubicacion]],Registros[Ubicacion],Registros[Codigo], "")</f>
        <v/>
      </c>
      <c r="I78" s="25" t="str">
        <f>_xlfn.XLOOKUP(CRUCE[[#This Row],[Ubicacion]],Registros[Ubicacion],Registros[Total], "")</f>
        <v/>
      </c>
      <c r="J78" s="79" t="str">
        <f>_xlfn.XLOOKUP(CRUCE[[#This Row],[Ubicacion]],Registros[Ubicacion],Registros[UMA], "")</f>
        <v/>
      </c>
      <c r="K78" s="39" t="str">
        <f>IF(CRUCE[[#This Row],[TOTAL]]="","",CRUCE[[#This Row],[TOTAL]]-CRUCE[[#This Row],[BULTOS]])</f>
        <v/>
      </c>
      <c r="L78" s="38" t="str">
        <f>IF(CRUCE[[#This Row],[TOTAL]]="", "PENDIENTE", IF(CRUCE[[#This Row],[Diferencia]]=0, "CUADRADO", IF(CRUCE[[#This Row],[Diferencia]]&gt;0, "SOBRANTE", "FALTANTE")))</f>
        <v>PENDIENTE</v>
      </c>
      <c r="M78" s="71" t="str">
        <f>IF(CRUCE[[#This Row],[Diferencia]]="","",IF(CRUCE[[#This Row],[Diferencia]]=0,"OK","RECONTEO"))</f>
        <v/>
      </c>
      <c r="N78" s="39" t="str">
        <f>_xlfn.XLOOKUP(CRUCE[[#This Row],[Ubicacion]],Registros[Ubicacion],Registros[Codigo], "")</f>
        <v/>
      </c>
      <c r="O78" s="25"/>
      <c r="P78" s="25"/>
      <c r="Q78" s="39" t="str">
        <f>IF(CRUCE[[#This Row],[TOTAL2]]="", "PENDIENTE", IF(CRUCE[[#This Row],[DIFERENCIA2]]=0, "CUADRADO", IF(CRUCE[[#This Row],[DIFERENCIA2]]&gt;0, "SOBRANTE", "FALTANTE")))</f>
        <v>PENDIENTE</v>
      </c>
      <c r="R78" s="103" t="s">
        <v>5081</v>
      </c>
      <c r="S78" s="127" t="s">
        <v>5157</v>
      </c>
    </row>
    <row r="79" spans="1:19">
      <c r="A79" s="92" t="s">
        <v>5121</v>
      </c>
      <c r="B79" s="39" t="s">
        <v>4342</v>
      </c>
      <c r="C79" s="26"/>
      <c r="D79" s="35"/>
      <c r="E79" s="26"/>
      <c r="F79" s="26"/>
      <c r="G79" s="26"/>
      <c r="H79" s="39" t="str">
        <f>_xlfn.XLOOKUP(CRUCE[[#This Row],[Ubicacion]],Registros[Ubicacion],Registros[Codigo], "")</f>
        <v/>
      </c>
      <c r="I79" s="26" t="str">
        <f>_xlfn.XLOOKUP(CRUCE[[#This Row],[Ubicacion]],Registros[Ubicacion],Registros[Total], "")</f>
        <v/>
      </c>
      <c r="J79" s="26" t="str">
        <f>_xlfn.XLOOKUP(CRUCE[[#This Row],[Ubicacion]],Registros[Ubicacion],Registros[UMA], "")</f>
        <v/>
      </c>
      <c r="K79" s="39" t="str">
        <f>IF(CRUCE[[#This Row],[TOTAL]]="","",CRUCE[[#This Row],[TOTAL]]-CRUCE[[#This Row],[BULTOS]])</f>
        <v/>
      </c>
      <c r="L79" s="39" t="str">
        <f>IF(CRUCE[[#This Row],[TOTAL]]="", "PENDIENTE", IF(CRUCE[[#This Row],[Diferencia]]=0, "CUADRADO", IF(CRUCE[[#This Row],[Diferencia]]&gt;0, "SOBRANTE", "FALTANTE")))</f>
        <v>PENDIENTE</v>
      </c>
      <c r="M79" s="72" t="str">
        <f>IF(CRUCE[[#This Row],[Diferencia]]="","",IF(CRUCE[[#This Row],[Diferencia]]=0,"OK","RECONTEO"))</f>
        <v/>
      </c>
      <c r="N79" s="39" t="str">
        <f>_xlfn.XLOOKUP(CRUCE[[#This Row],[Ubicacion]],Registros[Ubicacion],Registros[Codigo], "")</f>
        <v/>
      </c>
      <c r="O79" s="26"/>
      <c r="P79" s="26"/>
      <c r="Q79" s="39" t="str">
        <f>IF(CRUCE[[#This Row],[TOTAL2]]="", "PENDIENTE", IF(CRUCE[[#This Row],[DIFERENCIA2]]=0, "CUADRADO", IF(CRUCE[[#This Row],[DIFERENCIA2]]&gt;0, "SOBRANTE", "FALTANTE")))</f>
        <v>PENDIENTE</v>
      </c>
      <c r="R79" s="102" t="s">
        <v>5081</v>
      </c>
      <c r="S79" s="127" t="s">
        <v>5158</v>
      </c>
    </row>
    <row r="80" spans="1:19">
      <c r="A80" s="93" t="s">
        <v>5121</v>
      </c>
      <c r="B80" s="38" t="s">
        <v>4344</v>
      </c>
      <c r="C80" s="25"/>
      <c r="D80" s="34"/>
      <c r="E80" s="25"/>
      <c r="F80" s="25"/>
      <c r="G80" s="25"/>
      <c r="H80" s="39" t="str">
        <f>_xlfn.XLOOKUP(CRUCE[[#This Row],[Ubicacion]],Registros[Ubicacion],Registros[Codigo], "")</f>
        <v/>
      </c>
      <c r="I80" s="25" t="str">
        <f>_xlfn.XLOOKUP(CRUCE[[#This Row],[Ubicacion]],Registros[Ubicacion],Registros[Total], "")</f>
        <v/>
      </c>
      <c r="J80" s="79" t="str">
        <f>_xlfn.XLOOKUP(CRUCE[[#This Row],[Ubicacion]],Registros[Ubicacion],Registros[UMA], "")</f>
        <v/>
      </c>
      <c r="K80" s="39" t="str">
        <f>IF(CRUCE[[#This Row],[TOTAL]]="","",CRUCE[[#This Row],[TOTAL]]-CRUCE[[#This Row],[BULTOS]])</f>
        <v/>
      </c>
      <c r="L80" s="38" t="str">
        <f>IF(CRUCE[[#This Row],[TOTAL]]="", "PENDIENTE", IF(CRUCE[[#This Row],[Diferencia]]=0, "CUADRADO", IF(CRUCE[[#This Row],[Diferencia]]&gt;0, "SOBRANTE", "FALTANTE")))</f>
        <v>PENDIENTE</v>
      </c>
      <c r="M80" s="71" t="str">
        <f>IF(CRUCE[[#This Row],[Diferencia]]="","",IF(CRUCE[[#This Row],[Diferencia]]=0,"OK","RECONTEO"))</f>
        <v/>
      </c>
      <c r="N80" s="39" t="str">
        <f>_xlfn.XLOOKUP(CRUCE[[#This Row],[Ubicacion]],Registros[Ubicacion],Registros[Codigo], "")</f>
        <v/>
      </c>
      <c r="O80" s="25"/>
      <c r="P80" s="25"/>
      <c r="Q80" s="39" t="str">
        <f>IF(CRUCE[[#This Row],[TOTAL2]]="", "PENDIENTE", IF(CRUCE[[#This Row],[DIFERENCIA2]]=0, "CUADRADO", IF(CRUCE[[#This Row],[DIFERENCIA2]]&gt;0, "SOBRANTE", "FALTANTE")))</f>
        <v>PENDIENTE</v>
      </c>
      <c r="R80" s="103" t="s">
        <v>5081</v>
      </c>
      <c r="S80" s="127" t="s">
        <v>5159</v>
      </c>
    </row>
    <row r="81" spans="1:19">
      <c r="A81" s="92" t="s">
        <v>5121</v>
      </c>
      <c r="B81" s="39" t="s">
        <v>4346</v>
      </c>
      <c r="C81" s="26"/>
      <c r="D81" s="35"/>
      <c r="E81" s="26"/>
      <c r="F81" s="26"/>
      <c r="G81" s="26"/>
      <c r="H81" s="39" t="str">
        <f>_xlfn.XLOOKUP(CRUCE[[#This Row],[Ubicacion]],Registros[Ubicacion],Registros[Codigo], "")</f>
        <v/>
      </c>
      <c r="I81" s="26" t="str">
        <f>_xlfn.XLOOKUP(CRUCE[[#This Row],[Ubicacion]],Registros[Ubicacion],Registros[Total], "")</f>
        <v/>
      </c>
      <c r="J81" s="26" t="str">
        <f>_xlfn.XLOOKUP(CRUCE[[#This Row],[Ubicacion]],Registros[Ubicacion],Registros[UMA], "")</f>
        <v/>
      </c>
      <c r="K81" s="39" t="str">
        <f>IF(CRUCE[[#This Row],[TOTAL]]="","",CRUCE[[#This Row],[TOTAL]]-CRUCE[[#This Row],[BULTOS]])</f>
        <v/>
      </c>
      <c r="L81" s="39" t="str">
        <f>IF(CRUCE[[#This Row],[TOTAL]]="", "PENDIENTE", IF(CRUCE[[#This Row],[Diferencia]]=0, "CUADRADO", IF(CRUCE[[#This Row],[Diferencia]]&gt;0, "SOBRANTE", "FALTANTE")))</f>
        <v>PENDIENTE</v>
      </c>
      <c r="M81" s="72" t="str">
        <f>IF(CRUCE[[#This Row],[Diferencia]]="","",IF(CRUCE[[#This Row],[Diferencia]]=0,"OK","RECONTEO"))</f>
        <v/>
      </c>
      <c r="N81" s="39" t="str">
        <f>_xlfn.XLOOKUP(CRUCE[[#This Row],[Ubicacion]],Registros[Ubicacion],Registros[Codigo], "")</f>
        <v/>
      </c>
      <c r="O81" s="26"/>
      <c r="P81" s="26"/>
      <c r="Q81" s="39" t="str">
        <f>IF(CRUCE[[#This Row],[TOTAL2]]="", "PENDIENTE", IF(CRUCE[[#This Row],[DIFERENCIA2]]=0, "CUADRADO", IF(CRUCE[[#This Row],[DIFERENCIA2]]&gt;0, "SOBRANTE", "FALTANTE")))</f>
        <v>PENDIENTE</v>
      </c>
      <c r="R81" s="102" t="s">
        <v>5081</v>
      </c>
      <c r="S81" s="127" t="s">
        <v>5160</v>
      </c>
    </row>
    <row r="82" spans="1:19">
      <c r="A82" s="93" t="s">
        <v>5121</v>
      </c>
      <c r="B82" s="38" t="s">
        <v>4348</v>
      </c>
      <c r="C82" s="25"/>
      <c r="D82" s="34"/>
      <c r="E82" s="25"/>
      <c r="F82" s="25"/>
      <c r="G82" s="25"/>
      <c r="H82" s="39" t="str">
        <f>_xlfn.XLOOKUP(CRUCE[[#This Row],[Ubicacion]],Registros[Ubicacion],Registros[Codigo], "")</f>
        <v/>
      </c>
      <c r="I82" s="25" t="str">
        <f>_xlfn.XLOOKUP(CRUCE[[#This Row],[Ubicacion]],Registros[Ubicacion],Registros[Total], "")</f>
        <v/>
      </c>
      <c r="J82" s="79" t="str">
        <f>_xlfn.XLOOKUP(CRUCE[[#This Row],[Ubicacion]],Registros[Ubicacion],Registros[UMA], "")</f>
        <v/>
      </c>
      <c r="K82" s="39" t="str">
        <f>IF(CRUCE[[#This Row],[TOTAL]]="","",CRUCE[[#This Row],[TOTAL]]-CRUCE[[#This Row],[BULTOS]])</f>
        <v/>
      </c>
      <c r="L82" s="38" t="str">
        <f>IF(CRUCE[[#This Row],[TOTAL]]="", "PENDIENTE", IF(CRUCE[[#This Row],[Diferencia]]=0, "CUADRADO", IF(CRUCE[[#This Row],[Diferencia]]&gt;0, "SOBRANTE", "FALTANTE")))</f>
        <v>PENDIENTE</v>
      </c>
      <c r="M82" s="71" t="str">
        <f>IF(CRUCE[[#This Row],[Diferencia]]="","",IF(CRUCE[[#This Row],[Diferencia]]=0,"OK","RECONTEO"))</f>
        <v/>
      </c>
      <c r="N82" s="39" t="str">
        <f>_xlfn.XLOOKUP(CRUCE[[#This Row],[Ubicacion]],Registros[Ubicacion],Registros[Codigo], "")</f>
        <v/>
      </c>
      <c r="O82" s="25"/>
      <c r="P82" s="25"/>
      <c r="Q82" s="39" t="str">
        <f>IF(CRUCE[[#This Row],[TOTAL2]]="", "PENDIENTE", IF(CRUCE[[#This Row],[DIFERENCIA2]]=0, "CUADRADO", IF(CRUCE[[#This Row],[DIFERENCIA2]]&gt;0, "SOBRANTE", "FALTANTE")))</f>
        <v>PENDIENTE</v>
      </c>
      <c r="R82" s="103" t="s">
        <v>5081</v>
      </c>
      <c r="S82" s="127" t="s">
        <v>5161</v>
      </c>
    </row>
    <row r="83" spans="1:19">
      <c r="A83" s="92" t="s">
        <v>5121</v>
      </c>
      <c r="B83" s="39" t="s">
        <v>4350</v>
      </c>
      <c r="C83" s="26"/>
      <c r="D83" s="35"/>
      <c r="E83" s="26"/>
      <c r="F83" s="26"/>
      <c r="G83" s="26"/>
      <c r="H83" s="39" t="str">
        <f>_xlfn.XLOOKUP(CRUCE[[#This Row],[Ubicacion]],Registros[Ubicacion],Registros[Codigo], "")</f>
        <v/>
      </c>
      <c r="I83" s="26" t="str">
        <f>_xlfn.XLOOKUP(CRUCE[[#This Row],[Ubicacion]],Registros[Ubicacion],Registros[Total], "")</f>
        <v/>
      </c>
      <c r="J83" s="26" t="str">
        <f>_xlfn.XLOOKUP(CRUCE[[#This Row],[Ubicacion]],Registros[Ubicacion],Registros[UMA], "")</f>
        <v/>
      </c>
      <c r="K83" s="39" t="str">
        <f>IF(CRUCE[[#This Row],[TOTAL]]="","",CRUCE[[#This Row],[TOTAL]]-CRUCE[[#This Row],[BULTOS]])</f>
        <v/>
      </c>
      <c r="L83" s="39" t="str">
        <f>IF(CRUCE[[#This Row],[TOTAL]]="", "PENDIENTE", IF(CRUCE[[#This Row],[Diferencia]]=0, "CUADRADO", IF(CRUCE[[#This Row],[Diferencia]]&gt;0, "SOBRANTE", "FALTANTE")))</f>
        <v>PENDIENTE</v>
      </c>
      <c r="M83" s="72" t="str">
        <f>IF(CRUCE[[#This Row],[Diferencia]]="","",IF(CRUCE[[#This Row],[Diferencia]]=0,"OK","RECONTEO"))</f>
        <v/>
      </c>
      <c r="N83" s="39" t="str">
        <f>_xlfn.XLOOKUP(CRUCE[[#This Row],[Ubicacion]],Registros[Ubicacion],Registros[Codigo], "")</f>
        <v/>
      </c>
      <c r="O83" s="26"/>
      <c r="P83" s="26"/>
      <c r="Q83" s="39" t="str">
        <f>IF(CRUCE[[#This Row],[TOTAL2]]="", "PENDIENTE", IF(CRUCE[[#This Row],[DIFERENCIA2]]=0, "CUADRADO", IF(CRUCE[[#This Row],[DIFERENCIA2]]&gt;0, "SOBRANTE", "FALTANTE")))</f>
        <v>PENDIENTE</v>
      </c>
      <c r="R83" s="102" t="s">
        <v>5081</v>
      </c>
      <c r="S83" s="127" t="s">
        <v>5162</v>
      </c>
    </row>
    <row r="84" spans="1:19">
      <c r="A84" s="93" t="s">
        <v>5121</v>
      </c>
      <c r="B84" s="38" t="s">
        <v>4352</v>
      </c>
      <c r="C84" s="25"/>
      <c r="D84" s="34"/>
      <c r="E84" s="25"/>
      <c r="F84" s="25"/>
      <c r="G84" s="25"/>
      <c r="H84" s="39" t="str">
        <f>_xlfn.XLOOKUP(CRUCE[[#This Row],[Ubicacion]],Registros[Ubicacion],Registros[Codigo], "")</f>
        <v/>
      </c>
      <c r="I84" s="25" t="str">
        <f>_xlfn.XLOOKUP(CRUCE[[#This Row],[Ubicacion]],Registros[Ubicacion],Registros[Total], "")</f>
        <v/>
      </c>
      <c r="J84" s="79" t="str">
        <f>_xlfn.XLOOKUP(CRUCE[[#This Row],[Ubicacion]],Registros[Ubicacion],Registros[UMA], "")</f>
        <v/>
      </c>
      <c r="K84" s="39" t="str">
        <f>IF(CRUCE[[#This Row],[TOTAL]]="","",CRUCE[[#This Row],[TOTAL]]-CRUCE[[#This Row],[BULTOS]])</f>
        <v/>
      </c>
      <c r="L84" s="38" t="str">
        <f>IF(CRUCE[[#This Row],[TOTAL]]="", "PENDIENTE", IF(CRUCE[[#This Row],[Diferencia]]=0, "CUADRADO", IF(CRUCE[[#This Row],[Diferencia]]&gt;0, "SOBRANTE", "FALTANTE")))</f>
        <v>PENDIENTE</v>
      </c>
      <c r="M84" s="71" t="str">
        <f>IF(CRUCE[[#This Row],[Diferencia]]="","",IF(CRUCE[[#This Row],[Diferencia]]=0,"OK","RECONTEO"))</f>
        <v/>
      </c>
      <c r="N84" s="39" t="str">
        <f>_xlfn.XLOOKUP(CRUCE[[#This Row],[Ubicacion]],Registros[Ubicacion],Registros[Codigo], "")</f>
        <v/>
      </c>
      <c r="O84" s="25"/>
      <c r="P84" s="25"/>
      <c r="Q84" s="39" t="str">
        <f>IF(CRUCE[[#This Row],[TOTAL2]]="", "PENDIENTE", IF(CRUCE[[#This Row],[DIFERENCIA2]]=0, "CUADRADO", IF(CRUCE[[#This Row],[DIFERENCIA2]]&gt;0, "SOBRANTE", "FALTANTE")))</f>
        <v>PENDIENTE</v>
      </c>
      <c r="R84" s="103" t="s">
        <v>5081</v>
      </c>
      <c r="S84" s="127" t="s">
        <v>5163</v>
      </c>
    </row>
    <row r="85" spans="1:19">
      <c r="A85" s="92" t="s">
        <v>5121</v>
      </c>
      <c r="B85" s="39" t="s">
        <v>4354</v>
      </c>
      <c r="C85" s="26"/>
      <c r="D85" s="35"/>
      <c r="E85" s="26"/>
      <c r="F85" s="26"/>
      <c r="G85" s="26"/>
      <c r="H85" s="39" t="str">
        <f>_xlfn.XLOOKUP(CRUCE[[#This Row],[Ubicacion]],Registros[Ubicacion],Registros[Codigo], "")</f>
        <v/>
      </c>
      <c r="I85" s="26" t="str">
        <f>_xlfn.XLOOKUP(CRUCE[[#This Row],[Ubicacion]],Registros[Ubicacion],Registros[Total], "")</f>
        <v/>
      </c>
      <c r="J85" s="26" t="str">
        <f>_xlfn.XLOOKUP(CRUCE[[#This Row],[Ubicacion]],Registros[Ubicacion],Registros[UMA], "")</f>
        <v/>
      </c>
      <c r="K85" s="39" t="str">
        <f>IF(CRUCE[[#This Row],[TOTAL]]="","",CRUCE[[#This Row],[TOTAL]]-CRUCE[[#This Row],[BULTOS]])</f>
        <v/>
      </c>
      <c r="L85" s="39" t="str">
        <f>IF(CRUCE[[#This Row],[TOTAL]]="", "PENDIENTE", IF(CRUCE[[#This Row],[Diferencia]]=0, "CUADRADO", IF(CRUCE[[#This Row],[Diferencia]]&gt;0, "SOBRANTE", "FALTANTE")))</f>
        <v>PENDIENTE</v>
      </c>
      <c r="M85" s="72" t="str">
        <f>IF(CRUCE[[#This Row],[Diferencia]]="","",IF(CRUCE[[#This Row],[Diferencia]]=0,"OK","RECONTEO"))</f>
        <v/>
      </c>
      <c r="N85" s="39" t="str">
        <f>_xlfn.XLOOKUP(CRUCE[[#This Row],[Ubicacion]],Registros[Ubicacion],Registros[Codigo], "")</f>
        <v/>
      </c>
      <c r="O85" s="26"/>
      <c r="P85" s="26"/>
      <c r="Q85" s="39" t="str">
        <f>IF(CRUCE[[#This Row],[TOTAL2]]="", "PENDIENTE", IF(CRUCE[[#This Row],[DIFERENCIA2]]=0, "CUADRADO", IF(CRUCE[[#This Row],[DIFERENCIA2]]&gt;0, "SOBRANTE", "FALTANTE")))</f>
        <v>PENDIENTE</v>
      </c>
      <c r="R85" s="102" t="s">
        <v>5081</v>
      </c>
      <c r="S85" s="127" t="s">
        <v>5164</v>
      </c>
    </row>
    <row r="86" spans="1:19">
      <c r="A86" s="93" t="s">
        <v>5121</v>
      </c>
      <c r="B86" s="38" t="s">
        <v>4356</v>
      </c>
      <c r="C86" s="25"/>
      <c r="D86" s="34"/>
      <c r="E86" s="25"/>
      <c r="F86" s="25"/>
      <c r="G86" s="25"/>
      <c r="H86" s="39" t="str">
        <f>_xlfn.XLOOKUP(CRUCE[[#This Row],[Ubicacion]],Registros[Ubicacion],Registros[Codigo], "")</f>
        <v/>
      </c>
      <c r="I86" s="25" t="str">
        <f>_xlfn.XLOOKUP(CRUCE[[#This Row],[Ubicacion]],Registros[Ubicacion],Registros[Total], "")</f>
        <v/>
      </c>
      <c r="J86" s="79" t="str">
        <f>_xlfn.XLOOKUP(CRUCE[[#This Row],[Ubicacion]],Registros[Ubicacion],Registros[UMA], "")</f>
        <v/>
      </c>
      <c r="K86" s="39" t="str">
        <f>IF(CRUCE[[#This Row],[TOTAL]]="","",CRUCE[[#This Row],[TOTAL]]-CRUCE[[#This Row],[BULTOS]])</f>
        <v/>
      </c>
      <c r="L86" s="38" t="str">
        <f>IF(CRUCE[[#This Row],[TOTAL]]="", "PENDIENTE", IF(CRUCE[[#This Row],[Diferencia]]=0, "CUADRADO", IF(CRUCE[[#This Row],[Diferencia]]&gt;0, "SOBRANTE", "FALTANTE")))</f>
        <v>PENDIENTE</v>
      </c>
      <c r="M86" s="71" t="str">
        <f>IF(CRUCE[[#This Row],[Diferencia]]="","",IF(CRUCE[[#This Row],[Diferencia]]=0,"OK","RECONTEO"))</f>
        <v/>
      </c>
      <c r="N86" s="39" t="str">
        <f>_xlfn.XLOOKUP(CRUCE[[#This Row],[Ubicacion]],Registros[Ubicacion],Registros[Codigo], "")</f>
        <v/>
      </c>
      <c r="O86" s="25"/>
      <c r="P86" s="25"/>
      <c r="Q86" s="39" t="str">
        <f>IF(CRUCE[[#This Row],[TOTAL2]]="", "PENDIENTE", IF(CRUCE[[#This Row],[DIFERENCIA2]]=0, "CUADRADO", IF(CRUCE[[#This Row],[DIFERENCIA2]]&gt;0, "SOBRANTE", "FALTANTE")))</f>
        <v>PENDIENTE</v>
      </c>
      <c r="R86" s="103" t="s">
        <v>5081</v>
      </c>
      <c r="S86" s="127" t="s">
        <v>5165</v>
      </c>
    </row>
    <row r="87" spans="1:19">
      <c r="A87" s="92" t="s">
        <v>5121</v>
      </c>
      <c r="B87" s="39" t="s">
        <v>4358</v>
      </c>
      <c r="C87" s="26"/>
      <c r="D87" s="35"/>
      <c r="E87" s="26"/>
      <c r="F87" s="26"/>
      <c r="G87" s="26"/>
      <c r="H87" s="39" t="str">
        <f>_xlfn.XLOOKUP(CRUCE[[#This Row],[Ubicacion]],Registros[Ubicacion],Registros[Codigo], "")</f>
        <v/>
      </c>
      <c r="I87" s="26" t="str">
        <f>_xlfn.XLOOKUP(CRUCE[[#This Row],[Ubicacion]],Registros[Ubicacion],Registros[Total], "")</f>
        <v/>
      </c>
      <c r="J87" s="26" t="str">
        <f>_xlfn.XLOOKUP(CRUCE[[#This Row],[Ubicacion]],Registros[Ubicacion],Registros[UMA], "")</f>
        <v/>
      </c>
      <c r="K87" s="39" t="str">
        <f>IF(CRUCE[[#This Row],[TOTAL]]="","",CRUCE[[#This Row],[TOTAL]]-CRUCE[[#This Row],[BULTOS]])</f>
        <v/>
      </c>
      <c r="L87" s="39" t="str">
        <f>IF(CRUCE[[#This Row],[TOTAL]]="", "PENDIENTE", IF(CRUCE[[#This Row],[Diferencia]]=0, "CUADRADO", IF(CRUCE[[#This Row],[Diferencia]]&gt;0, "SOBRANTE", "FALTANTE")))</f>
        <v>PENDIENTE</v>
      </c>
      <c r="M87" s="72" t="str">
        <f>IF(CRUCE[[#This Row],[Diferencia]]="","",IF(CRUCE[[#This Row],[Diferencia]]=0,"OK","RECONTEO"))</f>
        <v/>
      </c>
      <c r="N87" s="39" t="str">
        <f>_xlfn.XLOOKUP(CRUCE[[#This Row],[Ubicacion]],Registros[Ubicacion],Registros[Codigo], "")</f>
        <v/>
      </c>
      <c r="O87" s="26"/>
      <c r="P87" s="26"/>
      <c r="Q87" s="39" t="str">
        <f>IF(CRUCE[[#This Row],[TOTAL2]]="", "PENDIENTE", IF(CRUCE[[#This Row],[DIFERENCIA2]]=0, "CUADRADO", IF(CRUCE[[#This Row],[DIFERENCIA2]]&gt;0, "SOBRANTE", "FALTANTE")))</f>
        <v>PENDIENTE</v>
      </c>
      <c r="R87" s="102" t="s">
        <v>5081</v>
      </c>
      <c r="S87" s="127" t="s">
        <v>5166</v>
      </c>
    </row>
    <row r="88" spans="1:19">
      <c r="A88" s="93" t="s">
        <v>5121</v>
      </c>
      <c r="B88" s="38" t="s">
        <v>4360</v>
      </c>
      <c r="C88" s="25"/>
      <c r="D88" s="34"/>
      <c r="E88" s="25"/>
      <c r="F88" s="25"/>
      <c r="G88" s="25"/>
      <c r="H88" s="39" t="str">
        <f>_xlfn.XLOOKUP(CRUCE[[#This Row],[Ubicacion]],Registros[Ubicacion],Registros[Codigo], "")</f>
        <v/>
      </c>
      <c r="I88" s="25" t="str">
        <f>_xlfn.XLOOKUP(CRUCE[[#This Row],[Ubicacion]],Registros[Ubicacion],Registros[Total], "")</f>
        <v/>
      </c>
      <c r="J88" s="79" t="str">
        <f>_xlfn.XLOOKUP(CRUCE[[#This Row],[Ubicacion]],Registros[Ubicacion],Registros[UMA], "")</f>
        <v/>
      </c>
      <c r="K88" s="39" t="str">
        <f>IF(CRUCE[[#This Row],[TOTAL]]="","",CRUCE[[#This Row],[TOTAL]]-CRUCE[[#This Row],[BULTOS]])</f>
        <v/>
      </c>
      <c r="L88" s="38" t="str">
        <f>IF(CRUCE[[#This Row],[TOTAL]]="", "PENDIENTE", IF(CRUCE[[#This Row],[Diferencia]]=0, "CUADRADO", IF(CRUCE[[#This Row],[Diferencia]]&gt;0, "SOBRANTE", "FALTANTE")))</f>
        <v>PENDIENTE</v>
      </c>
      <c r="M88" s="71" t="str">
        <f>IF(CRUCE[[#This Row],[Diferencia]]="","",IF(CRUCE[[#This Row],[Diferencia]]=0,"OK","RECONTEO"))</f>
        <v/>
      </c>
      <c r="N88" s="39" t="str">
        <f>_xlfn.XLOOKUP(CRUCE[[#This Row],[Ubicacion]],Registros[Ubicacion],Registros[Codigo], "")</f>
        <v/>
      </c>
      <c r="O88" s="25"/>
      <c r="P88" s="25"/>
      <c r="Q88" s="39" t="str">
        <f>IF(CRUCE[[#This Row],[TOTAL2]]="", "PENDIENTE", IF(CRUCE[[#This Row],[DIFERENCIA2]]=0, "CUADRADO", IF(CRUCE[[#This Row],[DIFERENCIA2]]&gt;0, "SOBRANTE", "FALTANTE")))</f>
        <v>PENDIENTE</v>
      </c>
      <c r="R88" s="103" t="s">
        <v>5081</v>
      </c>
      <c r="S88" s="127" t="s">
        <v>5167</v>
      </c>
    </row>
    <row r="89" spans="1:19">
      <c r="A89" s="92" t="s">
        <v>5121</v>
      </c>
      <c r="B89" s="39" t="s">
        <v>4362</v>
      </c>
      <c r="C89" s="26"/>
      <c r="D89" s="35"/>
      <c r="E89" s="26"/>
      <c r="F89" s="26"/>
      <c r="G89" s="26"/>
      <c r="H89" s="39" t="str">
        <f>_xlfn.XLOOKUP(CRUCE[[#This Row],[Ubicacion]],Registros[Ubicacion],Registros[Codigo], "")</f>
        <v/>
      </c>
      <c r="I89" s="26" t="str">
        <f>_xlfn.XLOOKUP(CRUCE[[#This Row],[Ubicacion]],Registros[Ubicacion],Registros[Total], "")</f>
        <v/>
      </c>
      <c r="J89" s="26" t="str">
        <f>_xlfn.XLOOKUP(CRUCE[[#This Row],[Ubicacion]],Registros[Ubicacion],Registros[UMA], "")</f>
        <v/>
      </c>
      <c r="K89" s="39" t="str">
        <f>IF(CRUCE[[#This Row],[TOTAL]]="","",CRUCE[[#This Row],[TOTAL]]-CRUCE[[#This Row],[BULTOS]])</f>
        <v/>
      </c>
      <c r="L89" s="39" t="str">
        <f>IF(CRUCE[[#This Row],[TOTAL]]="", "PENDIENTE", IF(CRUCE[[#This Row],[Diferencia]]=0, "CUADRADO", IF(CRUCE[[#This Row],[Diferencia]]&gt;0, "SOBRANTE", "FALTANTE")))</f>
        <v>PENDIENTE</v>
      </c>
      <c r="M89" s="72" t="str">
        <f>IF(CRUCE[[#This Row],[Diferencia]]="","",IF(CRUCE[[#This Row],[Diferencia]]=0,"OK","RECONTEO"))</f>
        <v/>
      </c>
      <c r="N89" s="39" t="str">
        <f>_xlfn.XLOOKUP(CRUCE[[#This Row],[Ubicacion]],Registros[Ubicacion],Registros[Codigo], "")</f>
        <v/>
      </c>
      <c r="O89" s="26"/>
      <c r="P89" s="26"/>
      <c r="Q89" s="39" t="str">
        <f>IF(CRUCE[[#This Row],[TOTAL2]]="", "PENDIENTE", IF(CRUCE[[#This Row],[DIFERENCIA2]]=0, "CUADRADO", IF(CRUCE[[#This Row],[DIFERENCIA2]]&gt;0, "SOBRANTE", "FALTANTE")))</f>
        <v>PENDIENTE</v>
      </c>
      <c r="R89" s="102" t="s">
        <v>5081</v>
      </c>
      <c r="S89" s="127" t="s">
        <v>5168</v>
      </c>
    </row>
    <row r="90" spans="1:19">
      <c r="A90" s="93" t="s">
        <v>5121</v>
      </c>
      <c r="B90" s="38" t="s">
        <v>4364</v>
      </c>
      <c r="C90" s="25"/>
      <c r="D90" s="34"/>
      <c r="E90" s="25"/>
      <c r="F90" s="25"/>
      <c r="G90" s="25"/>
      <c r="H90" s="39" t="str">
        <f>_xlfn.XLOOKUP(CRUCE[[#This Row],[Ubicacion]],Registros[Ubicacion],Registros[Codigo], "")</f>
        <v/>
      </c>
      <c r="I90" s="25" t="str">
        <f>_xlfn.XLOOKUP(CRUCE[[#This Row],[Ubicacion]],Registros[Ubicacion],Registros[Total], "")</f>
        <v/>
      </c>
      <c r="J90" s="79" t="str">
        <f>_xlfn.XLOOKUP(CRUCE[[#This Row],[Ubicacion]],Registros[Ubicacion],Registros[UMA], "")</f>
        <v/>
      </c>
      <c r="K90" s="39" t="str">
        <f>IF(CRUCE[[#This Row],[TOTAL]]="","",CRUCE[[#This Row],[TOTAL]]-CRUCE[[#This Row],[BULTOS]])</f>
        <v/>
      </c>
      <c r="L90" s="38" t="str">
        <f>IF(CRUCE[[#This Row],[TOTAL]]="", "PENDIENTE", IF(CRUCE[[#This Row],[Diferencia]]=0, "CUADRADO", IF(CRUCE[[#This Row],[Diferencia]]&gt;0, "SOBRANTE", "FALTANTE")))</f>
        <v>PENDIENTE</v>
      </c>
      <c r="M90" s="71" t="str">
        <f>IF(CRUCE[[#This Row],[Diferencia]]="","",IF(CRUCE[[#This Row],[Diferencia]]=0,"OK","RECONTEO"))</f>
        <v/>
      </c>
      <c r="N90" s="39" t="str">
        <f>_xlfn.XLOOKUP(CRUCE[[#This Row],[Ubicacion]],Registros[Ubicacion],Registros[Codigo], "")</f>
        <v/>
      </c>
      <c r="O90" s="25"/>
      <c r="P90" s="25"/>
      <c r="Q90" s="39" t="str">
        <f>IF(CRUCE[[#This Row],[TOTAL2]]="", "PENDIENTE", IF(CRUCE[[#This Row],[DIFERENCIA2]]=0, "CUADRADO", IF(CRUCE[[#This Row],[DIFERENCIA2]]&gt;0, "SOBRANTE", "FALTANTE")))</f>
        <v>PENDIENTE</v>
      </c>
      <c r="R90" s="103" t="s">
        <v>5081</v>
      </c>
      <c r="S90" s="127" t="s">
        <v>5169</v>
      </c>
    </row>
    <row r="91" spans="1:19">
      <c r="A91" s="92" t="s">
        <v>5170</v>
      </c>
      <c r="B91" s="39" t="s">
        <v>4366</v>
      </c>
      <c r="C91" s="26"/>
      <c r="D91" s="35"/>
      <c r="E91" s="26"/>
      <c r="F91" s="26"/>
      <c r="G91" s="26"/>
      <c r="H91" s="39" t="str">
        <f>_xlfn.XLOOKUP(CRUCE[[#This Row],[Ubicacion]],Registros[Ubicacion],Registros[Codigo], "")</f>
        <v/>
      </c>
      <c r="I91" s="26" t="str">
        <f>_xlfn.XLOOKUP(CRUCE[[#This Row],[Ubicacion]],Registros[Ubicacion],Registros[Total], "")</f>
        <v/>
      </c>
      <c r="J91" s="26" t="str">
        <f>_xlfn.XLOOKUP(CRUCE[[#This Row],[Ubicacion]],Registros[Ubicacion],Registros[UMA], "")</f>
        <v/>
      </c>
      <c r="K91" s="39" t="str">
        <f>IF(CRUCE[[#This Row],[TOTAL]]="","",CRUCE[[#This Row],[TOTAL]]-CRUCE[[#This Row],[BULTOS]])</f>
        <v/>
      </c>
      <c r="L91" s="39" t="str">
        <f>IF(CRUCE[[#This Row],[TOTAL]]="", "PENDIENTE", IF(CRUCE[[#This Row],[Diferencia]]=0, "CUADRADO", IF(CRUCE[[#This Row],[Diferencia]]&gt;0, "SOBRANTE", "FALTANTE")))</f>
        <v>PENDIENTE</v>
      </c>
      <c r="M91" s="72" t="str">
        <f>IF(CRUCE[[#This Row],[Diferencia]]="","",IF(CRUCE[[#This Row],[Diferencia]]=0,"OK","RECONTEO"))</f>
        <v/>
      </c>
      <c r="N91" s="39" t="str">
        <f>_xlfn.XLOOKUP(CRUCE[[#This Row],[Ubicacion]],Registros[Ubicacion],Registros[Codigo], "")</f>
        <v/>
      </c>
      <c r="O91" s="26"/>
      <c r="P91" s="26"/>
      <c r="Q91" s="39" t="str">
        <f>IF(CRUCE[[#This Row],[TOTAL2]]="", "PENDIENTE", IF(CRUCE[[#This Row],[DIFERENCIA2]]=0, "CUADRADO", IF(CRUCE[[#This Row],[DIFERENCIA2]]&gt;0, "SOBRANTE", "FALTANTE")))</f>
        <v>PENDIENTE</v>
      </c>
      <c r="R91" s="102" t="s">
        <v>5081</v>
      </c>
      <c r="S91" s="127" t="s">
        <v>5171</v>
      </c>
    </row>
    <row r="92" spans="1:19">
      <c r="A92" s="93" t="s">
        <v>5170</v>
      </c>
      <c r="B92" s="38" t="s">
        <v>4368</v>
      </c>
      <c r="C92" s="25"/>
      <c r="D92" s="34"/>
      <c r="E92" s="25"/>
      <c r="F92" s="25"/>
      <c r="G92" s="25"/>
      <c r="H92" s="39" t="str">
        <f>_xlfn.XLOOKUP(CRUCE[[#This Row],[Ubicacion]],Registros[Ubicacion],Registros[Codigo], "")</f>
        <v/>
      </c>
      <c r="I92" s="25" t="str">
        <f>_xlfn.XLOOKUP(CRUCE[[#This Row],[Ubicacion]],Registros[Ubicacion],Registros[Total], "")</f>
        <v/>
      </c>
      <c r="J92" s="79" t="str">
        <f>_xlfn.XLOOKUP(CRUCE[[#This Row],[Ubicacion]],Registros[Ubicacion],Registros[UMA], "")</f>
        <v/>
      </c>
      <c r="K92" s="39" t="str">
        <f>IF(CRUCE[[#This Row],[TOTAL]]="","",CRUCE[[#This Row],[TOTAL]]-CRUCE[[#This Row],[BULTOS]])</f>
        <v/>
      </c>
      <c r="L92" s="38" t="str">
        <f>IF(CRUCE[[#This Row],[TOTAL]]="", "PENDIENTE", IF(CRUCE[[#This Row],[Diferencia]]=0, "CUADRADO", IF(CRUCE[[#This Row],[Diferencia]]&gt;0, "SOBRANTE", "FALTANTE")))</f>
        <v>PENDIENTE</v>
      </c>
      <c r="M92" s="71" t="str">
        <f>IF(CRUCE[[#This Row],[Diferencia]]="","",IF(CRUCE[[#This Row],[Diferencia]]=0,"OK","RECONTEO"))</f>
        <v/>
      </c>
      <c r="N92" s="39" t="str">
        <f>_xlfn.XLOOKUP(CRUCE[[#This Row],[Ubicacion]],Registros[Ubicacion],Registros[Codigo], "")</f>
        <v/>
      </c>
      <c r="O92" s="25"/>
      <c r="P92" s="25"/>
      <c r="Q92" s="39" t="str">
        <f>IF(CRUCE[[#This Row],[TOTAL2]]="", "PENDIENTE", IF(CRUCE[[#This Row],[DIFERENCIA2]]=0, "CUADRADO", IF(CRUCE[[#This Row],[DIFERENCIA2]]&gt;0, "SOBRANTE", "FALTANTE")))</f>
        <v>PENDIENTE</v>
      </c>
      <c r="R92" s="103" t="s">
        <v>5081</v>
      </c>
      <c r="S92" s="129" t="s">
        <v>5172</v>
      </c>
    </row>
    <row r="93" spans="1:19">
      <c r="A93" s="92" t="s">
        <v>5170</v>
      </c>
      <c r="B93" s="39" t="s">
        <v>4370</v>
      </c>
      <c r="C93" s="26"/>
      <c r="D93" s="35"/>
      <c r="E93" s="26"/>
      <c r="F93" s="26"/>
      <c r="G93" s="26"/>
      <c r="H93" s="39" t="str">
        <f>_xlfn.XLOOKUP(CRUCE[[#This Row],[Ubicacion]],Registros[Ubicacion],Registros[Codigo], "")</f>
        <v/>
      </c>
      <c r="I93" s="26" t="str">
        <f>_xlfn.XLOOKUP(CRUCE[[#This Row],[Ubicacion]],Registros[Ubicacion],Registros[Total], "")</f>
        <v/>
      </c>
      <c r="J93" s="26" t="str">
        <f>_xlfn.XLOOKUP(CRUCE[[#This Row],[Ubicacion]],Registros[Ubicacion],Registros[UMA], "")</f>
        <v/>
      </c>
      <c r="K93" s="39" t="str">
        <f>IF(CRUCE[[#This Row],[TOTAL]]="","",CRUCE[[#This Row],[TOTAL]]-CRUCE[[#This Row],[BULTOS]])</f>
        <v/>
      </c>
      <c r="L93" s="39" t="str">
        <f>IF(CRUCE[[#This Row],[TOTAL]]="", "PENDIENTE", IF(CRUCE[[#This Row],[Diferencia]]=0, "CUADRADO", IF(CRUCE[[#This Row],[Diferencia]]&gt;0, "SOBRANTE", "FALTANTE")))</f>
        <v>PENDIENTE</v>
      </c>
      <c r="M93" s="72" t="str">
        <f>IF(CRUCE[[#This Row],[Diferencia]]="","",IF(CRUCE[[#This Row],[Diferencia]]=0,"OK","RECONTEO"))</f>
        <v/>
      </c>
      <c r="N93" s="39" t="str">
        <f>_xlfn.XLOOKUP(CRUCE[[#This Row],[Ubicacion]],Registros[Ubicacion],Registros[Codigo], "")</f>
        <v/>
      </c>
      <c r="O93" s="26"/>
      <c r="P93" s="26"/>
      <c r="Q93" s="39" t="str">
        <f>IF(CRUCE[[#This Row],[TOTAL2]]="", "PENDIENTE", IF(CRUCE[[#This Row],[DIFERENCIA2]]=0, "CUADRADO", IF(CRUCE[[#This Row],[DIFERENCIA2]]&gt;0, "SOBRANTE", "FALTANTE")))</f>
        <v>PENDIENTE</v>
      </c>
      <c r="R93" s="102" t="s">
        <v>5081</v>
      </c>
      <c r="S93" s="127" t="s">
        <v>5173</v>
      </c>
    </row>
    <row r="94" spans="1:19">
      <c r="A94" s="93" t="s">
        <v>5170</v>
      </c>
      <c r="B94" s="38" t="s">
        <v>4372</v>
      </c>
      <c r="C94" s="25"/>
      <c r="D94" s="34"/>
      <c r="E94" s="25"/>
      <c r="F94" s="25"/>
      <c r="G94" s="25"/>
      <c r="H94" s="39" t="str">
        <f>_xlfn.XLOOKUP(CRUCE[[#This Row],[Ubicacion]],Registros[Ubicacion],Registros[Codigo], "")</f>
        <v/>
      </c>
      <c r="I94" s="25" t="str">
        <f>_xlfn.XLOOKUP(CRUCE[[#This Row],[Ubicacion]],Registros[Ubicacion],Registros[Total], "")</f>
        <v/>
      </c>
      <c r="J94" s="79" t="str">
        <f>_xlfn.XLOOKUP(CRUCE[[#This Row],[Ubicacion]],Registros[Ubicacion],Registros[UMA], "")</f>
        <v/>
      </c>
      <c r="K94" s="39" t="str">
        <f>IF(CRUCE[[#This Row],[TOTAL]]="","",CRUCE[[#This Row],[TOTAL]]-CRUCE[[#This Row],[BULTOS]])</f>
        <v/>
      </c>
      <c r="L94" s="38" t="str">
        <f>IF(CRUCE[[#This Row],[TOTAL]]="", "PENDIENTE", IF(CRUCE[[#This Row],[Diferencia]]=0, "CUADRADO", IF(CRUCE[[#This Row],[Diferencia]]&gt;0, "SOBRANTE", "FALTANTE")))</f>
        <v>PENDIENTE</v>
      </c>
      <c r="M94" s="71" t="str">
        <f>IF(CRUCE[[#This Row],[Diferencia]]="","",IF(CRUCE[[#This Row],[Diferencia]]=0,"OK","RECONTEO"))</f>
        <v/>
      </c>
      <c r="N94" s="39" t="str">
        <f>_xlfn.XLOOKUP(CRUCE[[#This Row],[Ubicacion]],Registros[Ubicacion],Registros[Codigo], "")</f>
        <v/>
      </c>
      <c r="O94" s="25"/>
      <c r="P94" s="25"/>
      <c r="Q94" s="39" t="str">
        <f>IF(CRUCE[[#This Row],[TOTAL2]]="", "PENDIENTE", IF(CRUCE[[#This Row],[DIFERENCIA2]]=0, "CUADRADO", IF(CRUCE[[#This Row],[DIFERENCIA2]]&gt;0, "SOBRANTE", "FALTANTE")))</f>
        <v>PENDIENTE</v>
      </c>
      <c r="R94" s="103" t="s">
        <v>5081</v>
      </c>
      <c r="S94" s="127" t="s">
        <v>5174</v>
      </c>
    </row>
    <row r="95" spans="1:19">
      <c r="A95" s="92" t="s">
        <v>5170</v>
      </c>
      <c r="B95" s="39" t="s">
        <v>4374</v>
      </c>
      <c r="C95" s="26"/>
      <c r="D95" s="35"/>
      <c r="E95" s="26"/>
      <c r="F95" s="26"/>
      <c r="G95" s="26"/>
      <c r="H95" s="39" t="str">
        <f>_xlfn.XLOOKUP(CRUCE[[#This Row],[Ubicacion]],Registros[Ubicacion],Registros[Codigo], "")</f>
        <v/>
      </c>
      <c r="I95" s="26" t="str">
        <f>_xlfn.XLOOKUP(CRUCE[[#This Row],[Ubicacion]],Registros[Ubicacion],Registros[Total], "")</f>
        <v/>
      </c>
      <c r="J95" s="26" t="str">
        <f>_xlfn.XLOOKUP(CRUCE[[#This Row],[Ubicacion]],Registros[Ubicacion],Registros[UMA], "")</f>
        <v/>
      </c>
      <c r="K95" s="39" t="str">
        <f>IF(CRUCE[[#This Row],[TOTAL]]="","",CRUCE[[#This Row],[TOTAL]]-CRUCE[[#This Row],[BULTOS]])</f>
        <v/>
      </c>
      <c r="L95" s="39" t="str">
        <f>IF(CRUCE[[#This Row],[TOTAL]]="", "PENDIENTE", IF(CRUCE[[#This Row],[Diferencia]]=0, "CUADRADO", IF(CRUCE[[#This Row],[Diferencia]]&gt;0, "SOBRANTE", "FALTANTE")))</f>
        <v>PENDIENTE</v>
      </c>
      <c r="M95" s="72" t="str">
        <f>IF(CRUCE[[#This Row],[Diferencia]]="","",IF(CRUCE[[#This Row],[Diferencia]]=0,"OK","RECONTEO"))</f>
        <v/>
      </c>
      <c r="N95" s="39" t="str">
        <f>_xlfn.XLOOKUP(CRUCE[[#This Row],[Ubicacion]],Registros[Ubicacion],Registros[Codigo], "")</f>
        <v/>
      </c>
      <c r="O95" s="26"/>
      <c r="P95" s="26"/>
      <c r="Q95" s="39" t="str">
        <f>IF(CRUCE[[#This Row],[TOTAL2]]="", "PENDIENTE", IF(CRUCE[[#This Row],[DIFERENCIA2]]=0, "CUADRADO", IF(CRUCE[[#This Row],[DIFERENCIA2]]&gt;0, "SOBRANTE", "FALTANTE")))</f>
        <v>PENDIENTE</v>
      </c>
      <c r="R95" s="102" t="s">
        <v>5081</v>
      </c>
      <c r="S95" s="127" t="s">
        <v>5175</v>
      </c>
    </row>
    <row r="96" spans="1:19">
      <c r="A96" s="93" t="s">
        <v>5170</v>
      </c>
      <c r="B96" s="38" t="s">
        <v>4376</v>
      </c>
      <c r="C96" s="25"/>
      <c r="D96" s="34"/>
      <c r="E96" s="25"/>
      <c r="F96" s="25"/>
      <c r="G96" s="25"/>
      <c r="H96" s="39" t="str">
        <f>_xlfn.XLOOKUP(CRUCE[[#This Row],[Ubicacion]],Registros[Ubicacion],Registros[Codigo], "")</f>
        <v/>
      </c>
      <c r="I96" s="25" t="str">
        <f>_xlfn.XLOOKUP(CRUCE[[#This Row],[Ubicacion]],Registros[Ubicacion],Registros[Total], "")</f>
        <v/>
      </c>
      <c r="J96" s="79" t="str">
        <f>_xlfn.XLOOKUP(CRUCE[[#This Row],[Ubicacion]],Registros[Ubicacion],Registros[UMA], "")</f>
        <v/>
      </c>
      <c r="K96" s="39" t="str">
        <f>IF(CRUCE[[#This Row],[TOTAL]]="","",CRUCE[[#This Row],[TOTAL]]-CRUCE[[#This Row],[BULTOS]])</f>
        <v/>
      </c>
      <c r="L96" s="38" t="str">
        <f>IF(CRUCE[[#This Row],[TOTAL]]="", "PENDIENTE", IF(CRUCE[[#This Row],[Diferencia]]=0, "CUADRADO", IF(CRUCE[[#This Row],[Diferencia]]&gt;0, "SOBRANTE", "FALTANTE")))</f>
        <v>PENDIENTE</v>
      </c>
      <c r="M96" s="71" t="str">
        <f>IF(CRUCE[[#This Row],[Diferencia]]="","",IF(CRUCE[[#This Row],[Diferencia]]=0,"OK","RECONTEO"))</f>
        <v/>
      </c>
      <c r="N96" s="39" t="str">
        <f>_xlfn.XLOOKUP(CRUCE[[#This Row],[Ubicacion]],Registros[Ubicacion],Registros[Codigo], "")</f>
        <v/>
      </c>
      <c r="O96" s="25"/>
      <c r="P96" s="25"/>
      <c r="Q96" s="39" t="str">
        <f>IF(CRUCE[[#This Row],[TOTAL2]]="", "PENDIENTE", IF(CRUCE[[#This Row],[DIFERENCIA2]]=0, "CUADRADO", IF(CRUCE[[#This Row],[DIFERENCIA2]]&gt;0, "SOBRANTE", "FALTANTE")))</f>
        <v>PENDIENTE</v>
      </c>
      <c r="R96" s="103" t="s">
        <v>5081</v>
      </c>
      <c r="S96" s="127" t="s">
        <v>5176</v>
      </c>
    </row>
    <row r="97" spans="1:19">
      <c r="A97" s="92" t="s">
        <v>5170</v>
      </c>
      <c r="B97" s="39" t="s">
        <v>4378</v>
      </c>
      <c r="C97" s="26"/>
      <c r="D97" s="35"/>
      <c r="E97" s="26"/>
      <c r="F97" s="26"/>
      <c r="G97" s="26"/>
      <c r="H97" s="39" t="str">
        <f>_xlfn.XLOOKUP(CRUCE[[#This Row],[Ubicacion]],Registros[Ubicacion],Registros[Codigo], "")</f>
        <v/>
      </c>
      <c r="I97" s="26" t="str">
        <f>_xlfn.XLOOKUP(CRUCE[[#This Row],[Ubicacion]],Registros[Ubicacion],Registros[Total], "")</f>
        <v/>
      </c>
      <c r="J97" s="26" t="str">
        <f>_xlfn.XLOOKUP(CRUCE[[#This Row],[Ubicacion]],Registros[Ubicacion],Registros[UMA], "")</f>
        <v/>
      </c>
      <c r="K97" s="39" t="str">
        <f>IF(CRUCE[[#This Row],[TOTAL]]="","",CRUCE[[#This Row],[TOTAL]]-CRUCE[[#This Row],[BULTOS]])</f>
        <v/>
      </c>
      <c r="L97" s="39" t="str">
        <f>IF(CRUCE[[#This Row],[TOTAL]]="", "PENDIENTE", IF(CRUCE[[#This Row],[Diferencia]]=0, "CUADRADO", IF(CRUCE[[#This Row],[Diferencia]]&gt;0, "SOBRANTE", "FALTANTE")))</f>
        <v>PENDIENTE</v>
      </c>
      <c r="M97" s="72" t="str">
        <f>IF(CRUCE[[#This Row],[Diferencia]]="","",IF(CRUCE[[#This Row],[Diferencia]]=0,"OK","RECONTEO"))</f>
        <v/>
      </c>
      <c r="N97" s="39" t="str">
        <f>_xlfn.XLOOKUP(CRUCE[[#This Row],[Ubicacion]],Registros[Ubicacion],Registros[Codigo], "")</f>
        <v/>
      </c>
      <c r="O97" s="26"/>
      <c r="P97" s="26"/>
      <c r="Q97" s="39" t="str">
        <f>IF(CRUCE[[#This Row],[TOTAL2]]="", "PENDIENTE", IF(CRUCE[[#This Row],[DIFERENCIA2]]=0, "CUADRADO", IF(CRUCE[[#This Row],[DIFERENCIA2]]&gt;0, "SOBRANTE", "FALTANTE")))</f>
        <v>PENDIENTE</v>
      </c>
      <c r="R97" s="102" t="s">
        <v>5081</v>
      </c>
      <c r="S97" s="127" t="s">
        <v>5177</v>
      </c>
    </row>
    <row r="98" spans="1:19">
      <c r="A98" s="93" t="s">
        <v>5170</v>
      </c>
      <c r="B98" s="38" t="s">
        <v>4380</v>
      </c>
      <c r="C98" s="25"/>
      <c r="D98" s="34"/>
      <c r="E98" s="25"/>
      <c r="F98" s="25"/>
      <c r="G98" s="25"/>
      <c r="H98" s="39" t="str">
        <f>_xlfn.XLOOKUP(CRUCE[[#This Row],[Ubicacion]],Registros[Ubicacion],Registros[Codigo], "")</f>
        <v/>
      </c>
      <c r="I98" s="25" t="str">
        <f>_xlfn.XLOOKUP(CRUCE[[#This Row],[Ubicacion]],Registros[Ubicacion],Registros[Total], "")</f>
        <v/>
      </c>
      <c r="J98" s="79" t="str">
        <f>_xlfn.XLOOKUP(CRUCE[[#This Row],[Ubicacion]],Registros[Ubicacion],Registros[UMA], "")</f>
        <v/>
      </c>
      <c r="K98" s="39" t="str">
        <f>IF(CRUCE[[#This Row],[TOTAL]]="","",CRUCE[[#This Row],[TOTAL]]-CRUCE[[#This Row],[BULTOS]])</f>
        <v/>
      </c>
      <c r="L98" s="38" t="str">
        <f>IF(CRUCE[[#This Row],[TOTAL]]="", "PENDIENTE", IF(CRUCE[[#This Row],[Diferencia]]=0, "CUADRADO", IF(CRUCE[[#This Row],[Diferencia]]&gt;0, "SOBRANTE", "FALTANTE")))</f>
        <v>PENDIENTE</v>
      </c>
      <c r="M98" s="71" t="str">
        <f>IF(CRUCE[[#This Row],[Diferencia]]="","",IF(CRUCE[[#This Row],[Diferencia]]=0,"OK","RECONTEO"))</f>
        <v/>
      </c>
      <c r="N98" s="39" t="str">
        <f>_xlfn.XLOOKUP(CRUCE[[#This Row],[Ubicacion]],Registros[Ubicacion],Registros[Codigo], "")</f>
        <v/>
      </c>
      <c r="O98" s="25"/>
      <c r="P98" s="25"/>
      <c r="Q98" s="39" t="str">
        <f>IF(CRUCE[[#This Row],[TOTAL2]]="", "PENDIENTE", IF(CRUCE[[#This Row],[DIFERENCIA2]]=0, "CUADRADO", IF(CRUCE[[#This Row],[DIFERENCIA2]]&gt;0, "SOBRANTE", "FALTANTE")))</f>
        <v>PENDIENTE</v>
      </c>
      <c r="R98" s="103" t="s">
        <v>5081</v>
      </c>
      <c r="S98" s="127" t="s">
        <v>5178</v>
      </c>
    </row>
    <row r="99" spans="1:19">
      <c r="A99" s="92" t="s">
        <v>5170</v>
      </c>
      <c r="B99" s="39" t="s">
        <v>4382</v>
      </c>
      <c r="C99" s="26"/>
      <c r="D99" s="35"/>
      <c r="E99" s="26"/>
      <c r="F99" s="26"/>
      <c r="G99" s="26"/>
      <c r="H99" s="39" t="str">
        <f>_xlfn.XLOOKUP(CRUCE[[#This Row],[Ubicacion]],Registros[Ubicacion],Registros[Codigo], "")</f>
        <v/>
      </c>
      <c r="I99" s="26" t="str">
        <f>_xlfn.XLOOKUP(CRUCE[[#This Row],[Ubicacion]],Registros[Ubicacion],Registros[Total], "")</f>
        <v/>
      </c>
      <c r="J99" s="26" t="str">
        <f>_xlfn.XLOOKUP(CRUCE[[#This Row],[Ubicacion]],Registros[Ubicacion],Registros[UMA], "")</f>
        <v/>
      </c>
      <c r="K99" s="39" t="str">
        <f>IF(CRUCE[[#This Row],[TOTAL]]="","",CRUCE[[#This Row],[TOTAL]]-CRUCE[[#This Row],[BULTOS]])</f>
        <v/>
      </c>
      <c r="L99" s="39" t="str">
        <f>IF(CRUCE[[#This Row],[TOTAL]]="", "PENDIENTE", IF(CRUCE[[#This Row],[Diferencia]]=0, "CUADRADO", IF(CRUCE[[#This Row],[Diferencia]]&gt;0, "SOBRANTE", "FALTANTE")))</f>
        <v>PENDIENTE</v>
      </c>
      <c r="M99" s="72" t="str">
        <f>IF(CRUCE[[#This Row],[Diferencia]]="","",IF(CRUCE[[#This Row],[Diferencia]]=0,"OK","RECONTEO"))</f>
        <v/>
      </c>
      <c r="N99" s="39" t="str">
        <f>_xlfn.XLOOKUP(CRUCE[[#This Row],[Ubicacion]],Registros[Ubicacion],Registros[Codigo], "")</f>
        <v/>
      </c>
      <c r="O99" s="26"/>
      <c r="P99" s="26"/>
      <c r="Q99" s="39" t="str">
        <f>IF(CRUCE[[#This Row],[TOTAL2]]="", "PENDIENTE", IF(CRUCE[[#This Row],[DIFERENCIA2]]=0, "CUADRADO", IF(CRUCE[[#This Row],[DIFERENCIA2]]&gt;0, "SOBRANTE", "FALTANTE")))</f>
        <v>PENDIENTE</v>
      </c>
      <c r="R99" s="102" t="s">
        <v>5081</v>
      </c>
      <c r="S99" s="127" t="s">
        <v>5179</v>
      </c>
    </row>
    <row r="100" spans="1:19">
      <c r="A100" s="93" t="s">
        <v>5170</v>
      </c>
      <c r="B100" s="38" t="s">
        <v>4384</v>
      </c>
      <c r="C100" s="25"/>
      <c r="D100" s="34"/>
      <c r="E100" s="25"/>
      <c r="F100" s="25"/>
      <c r="G100" s="25"/>
      <c r="H100" s="39" t="str">
        <f>_xlfn.XLOOKUP(CRUCE[[#This Row],[Ubicacion]],Registros[Ubicacion],Registros[Codigo], "")</f>
        <v/>
      </c>
      <c r="I100" s="25" t="str">
        <f>_xlfn.XLOOKUP(CRUCE[[#This Row],[Ubicacion]],Registros[Ubicacion],Registros[Total], "")</f>
        <v/>
      </c>
      <c r="J100" s="79" t="str">
        <f>_xlfn.XLOOKUP(CRUCE[[#This Row],[Ubicacion]],Registros[Ubicacion],Registros[UMA], "")</f>
        <v/>
      </c>
      <c r="K100" s="39" t="str">
        <f>IF(CRUCE[[#This Row],[TOTAL]]="","",CRUCE[[#This Row],[TOTAL]]-CRUCE[[#This Row],[BULTOS]])</f>
        <v/>
      </c>
      <c r="L100" s="38" t="str">
        <f>IF(CRUCE[[#This Row],[TOTAL]]="", "PENDIENTE", IF(CRUCE[[#This Row],[Diferencia]]=0, "CUADRADO", IF(CRUCE[[#This Row],[Diferencia]]&gt;0, "SOBRANTE", "FALTANTE")))</f>
        <v>PENDIENTE</v>
      </c>
      <c r="M100" s="71" t="str">
        <f>IF(CRUCE[[#This Row],[Diferencia]]="","",IF(CRUCE[[#This Row],[Diferencia]]=0,"OK","RECONTEO"))</f>
        <v/>
      </c>
      <c r="N100" s="39" t="str">
        <f>_xlfn.XLOOKUP(CRUCE[[#This Row],[Ubicacion]],Registros[Ubicacion],Registros[Codigo], "")</f>
        <v/>
      </c>
      <c r="O100" s="25"/>
      <c r="P100" s="25"/>
      <c r="Q100" s="39" t="str">
        <f>IF(CRUCE[[#This Row],[TOTAL2]]="", "PENDIENTE", IF(CRUCE[[#This Row],[DIFERENCIA2]]=0, "CUADRADO", IF(CRUCE[[#This Row],[DIFERENCIA2]]&gt;0, "SOBRANTE", "FALTANTE")))</f>
        <v>PENDIENTE</v>
      </c>
      <c r="R100" s="103" t="s">
        <v>5081</v>
      </c>
      <c r="S100" s="127" t="s">
        <v>5180</v>
      </c>
    </row>
    <row r="101" spans="1:19">
      <c r="A101" s="92" t="s">
        <v>5170</v>
      </c>
      <c r="B101" s="39" t="s">
        <v>4386</v>
      </c>
      <c r="C101" s="26"/>
      <c r="D101" s="35"/>
      <c r="E101" s="26"/>
      <c r="F101" s="26"/>
      <c r="G101" s="26"/>
      <c r="H101" s="39" t="str">
        <f>_xlfn.XLOOKUP(CRUCE[[#This Row],[Ubicacion]],Registros[Ubicacion],Registros[Codigo], "")</f>
        <v/>
      </c>
      <c r="I101" s="26" t="str">
        <f>_xlfn.XLOOKUP(CRUCE[[#This Row],[Ubicacion]],Registros[Ubicacion],Registros[Total], "")</f>
        <v/>
      </c>
      <c r="J101" s="26" t="str">
        <f>_xlfn.XLOOKUP(CRUCE[[#This Row],[Ubicacion]],Registros[Ubicacion],Registros[UMA], "")</f>
        <v/>
      </c>
      <c r="K101" s="39" t="str">
        <f>IF(CRUCE[[#This Row],[TOTAL]]="","",CRUCE[[#This Row],[TOTAL]]-CRUCE[[#This Row],[BULTOS]])</f>
        <v/>
      </c>
      <c r="L101" s="39" t="str">
        <f>IF(CRUCE[[#This Row],[TOTAL]]="", "PENDIENTE", IF(CRUCE[[#This Row],[Diferencia]]=0, "CUADRADO", IF(CRUCE[[#This Row],[Diferencia]]&gt;0, "SOBRANTE", "FALTANTE")))</f>
        <v>PENDIENTE</v>
      </c>
      <c r="M101" s="72" t="str">
        <f>IF(CRUCE[[#This Row],[Diferencia]]="","",IF(CRUCE[[#This Row],[Diferencia]]=0,"OK","RECONTEO"))</f>
        <v/>
      </c>
      <c r="N101" s="39" t="str">
        <f>_xlfn.XLOOKUP(CRUCE[[#This Row],[Ubicacion]],Registros[Ubicacion],Registros[Codigo], "")</f>
        <v/>
      </c>
      <c r="O101" s="26"/>
      <c r="P101" s="26"/>
      <c r="Q101" s="39" t="str">
        <f>IF(CRUCE[[#This Row],[TOTAL2]]="", "PENDIENTE", IF(CRUCE[[#This Row],[DIFERENCIA2]]=0, "CUADRADO", IF(CRUCE[[#This Row],[DIFERENCIA2]]&gt;0, "SOBRANTE", "FALTANTE")))</f>
        <v>PENDIENTE</v>
      </c>
      <c r="R101" s="102" t="s">
        <v>5081</v>
      </c>
      <c r="S101" s="127" t="s">
        <v>5181</v>
      </c>
    </row>
    <row r="102" spans="1:19">
      <c r="A102" s="93" t="s">
        <v>5170</v>
      </c>
      <c r="B102" s="38" t="s">
        <v>4388</v>
      </c>
      <c r="C102" s="25"/>
      <c r="D102" s="34"/>
      <c r="E102" s="25"/>
      <c r="F102" s="25"/>
      <c r="G102" s="25"/>
      <c r="H102" s="39" t="str">
        <f>_xlfn.XLOOKUP(CRUCE[[#This Row],[Ubicacion]],Registros[Ubicacion],Registros[Codigo], "")</f>
        <v/>
      </c>
      <c r="I102" s="25" t="str">
        <f>_xlfn.XLOOKUP(CRUCE[[#This Row],[Ubicacion]],Registros[Ubicacion],Registros[Total], "")</f>
        <v/>
      </c>
      <c r="J102" s="79" t="str">
        <f>_xlfn.XLOOKUP(CRUCE[[#This Row],[Ubicacion]],Registros[Ubicacion],Registros[UMA], "")</f>
        <v/>
      </c>
      <c r="K102" s="39" t="str">
        <f>IF(CRUCE[[#This Row],[TOTAL]]="","",CRUCE[[#This Row],[TOTAL]]-CRUCE[[#This Row],[BULTOS]])</f>
        <v/>
      </c>
      <c r="L102" s="38" t="str">
        <f>IF(CRUCE[[#This Row],[TOTAL]]="", "PENDIENTE", IF(CRUCE[[#This Row],[Diferencia]]=0, "CUADRADO", IF(CRUCE[[#This Row],[Diferencia]]&gt;0, "SOBRANTE", "FALTANTE")))</f>
        <v>PENDIENTE</v>
      </c>
      <c r="M102" s="71" t="str">
        <f>IF(CRUCE[[#This Row],[Diferencia]]="","",IF(CRUCE[[#This Row],[Diferencia]]=0,"OK","RECONTEO"))</f>
        <v/>
      </c>
      <c r="N102" s="39" t="str">
        <f>_xlfn.XLOOKUP(CRUCE[[#This Row],[Ubicacion]],Registros[Ubicacion],Registros[Codigo], "")</f>
        <v/>
      </c>
      <c r="O102" s="25"/>
      <c r="P102" s="25"/>
      <c r="Q102" s="39" t="str">
        <f>IF(CRUCE[[#This Row],[TOTAL2]]="", "PENDIENTE", IF(CRUCE[[#This Row],[DIFERENCIA2]]=0, "CUADRADO", IF(CRUCE[[#This Row],[DIFERENCIA2]]&gt;0, "SOBRANTE", "FALTANTE")))</f>
        <v>PENDIENTE</v>
      </c>
      <c r="R102" s="103" t="s">
        <v>5081</v>
      </c>
      <c r="S102" s="127" t="s">
        <v>5182</v>
      </c>
    </row>
    <row r="103" spans="1:19">
      <c r="A103" s="92" t="s">
        <v>5170</v>
      </c>
      <c r="B103" s="39" t="s">
        <v>4390</v>
      </c>
      <c r="C103" s="26"/>
      <c r="D103" s="35"/>
      <c r="E103" s="26"/>
      <c r="F103" s="26"/>
      <c r="G103" s="26"/>
      <c r="H103" s="39" t="str">
        <f>_xlfn.XLOOKUP(CRUCE[[#This Row],[Ubicacion]],Registros[Ubicacion],Registros[Codigo], "")</f>
        <v/>
      </c>
      <c r="I103" s="26" t="str">
        <f>_xlfn.XLOOKUP(CRUCE[[#This Row],[Ubicacion]],Registros[Ubicacion],Registros[Total], "")</f>
        <v/>
      </c>
      <c r="J103" s="26" t="str">
        <f>_xlfn.XLOOKUP(CRUCE[[#This Row],[Ubicacion]],Registros[Ubicacion],Registros[UMA], "")</f>
        <v/>
      </c>
      <c r="K103" s="39" t="str">
        <f>IF(CRUCE[[#This Row],[TOTAL]]="","",CRUCE[[#This Row],[TOTAL]]-CRUCE[[#This Row],[BULTOS]])</f>
        <v/>
      </c>
      <c r="L103" s="39" t="str">
        <f>IF(CRUCE[[#This Row],[TOTAL]]="", "PENDIENTE", IF(CRUCE[[#This Row],[Diferencia]]=0, "CUADRADO", IF(CRUCE[[#This Row],[Diferencia]]&gt;0, "SOBRANTE", "FALTANTE")))</f>
        <v>PENDIENTE</v>
      </c>
      <c r="M103" s="72" t="str">
        <f>IF(CRUCE[[#This Row],[Diferencia]]="","",IF(CRUCE[[#This Row],[Diferencia]]=0,"OK","RECONTEO"))</f>
        <v/>
      </c>
      <c r="N103" s="39" t="str">
        <f>_xlfn.XLOOKUP(CRUCE[[#This Row],[Ubicacion]],Registros[Ubicacion],Registros[Codigo], "")</f>
        <v/>
      </c>
      <c r="O103" s="26"/>
      <c r="P103" s="26"/>
      <c r="Q103" s="39" t="str">
        <f>IF(CRUCE[[#This Row],[TOTAL2]]="", "PENDIENTE", IF(CRUCE[[#This Row],[DIFERENCIA2]]=0, "CUADRADO", IF(CRUCE[[#This Row],[DIFERENCIA2]]&gt;0, "SOBRANTE", "FALTANTE")))</f>
        <v>PENDIENTE</v>
      </c>
      <c r="R103" s="102" t="s">
        <v>5081</v>
      </c>
      <c r="S103" s="127" t="s">
        <v>5183</v>
      </c>
    </row>
    <row r="104" spans="1:19">
      <c r="A104" s="93" t="s">
        <v>5170</v>
      </c>
      <c r="B104" s="38" t="s">
        <v>4392</v>
      </c>
      <c r="C104" s="25"/>
      <c r="D104" s="34"/>
      <c r="E104" s="25"/>
      <c r="F104" s="25"/>
      <c r="G104" s="25"/>
      <c r="H104" s="39" t="str">
        <f>_xlfn.XLOOKUP(CRUCE[[#This Row],[Ubicacion]],Registros[Ubicacion],Registros[Codigo], "")</f>
        <v/>
      </c>
      <c r="I104" s="25" t="str">
        <f>_xlfn.XLOOKUP(CRUCE[[#This Row],[Ubicacion]],Registros[Ubicacion],Registros[Total], "")</f>
        <v/>
      </c>
      <c r="J104" s="79" t="str">
        <f>_xlfn.XLOOKUP(CRUCE[[#This Row],[Ubicacion]],Registros[Ubicacion],Registros[UMA], "")</f>
        <v/>
      </c>
      <c r="K104" s="39" t="str">
        <f>IF(CRUCE[[#This Row],[TOTAL]]="","",CRUCE[[#This Row],[TOTAL]]-CRUCE[[#This Row],[BULTOS]])</f>
        <v/>
      </c>
      <c r="L104" s="38" t="str">
        <f>IF(CRUCE[[#This Row],[TOTAL]]="", "PENDIENTE", IF(CRUCE[[#This Row],[Diferencia]]=0, "CUADRADO", IF(CRUCE[[#This Row],[Diferencia]]&gt;0, "SOBRANTE", "FALTANTE")))</f>
        <v>PENDIENTE</v>
      </c>
      <c r="M104" s="71" t="str">
        <f>IF(CRUCE[[#This Row],[Diferencia]]="","",IF(CRUCE[[#This Row],[Diferencia]]=0,"OK","RECONTEO"))</f>
        <v/>
      </c>
      <c r="N104" s="39" t="str">
        <f>_xlfn.XLOOKUP(CRUCE[[#This Row],[Ubicacion]],Registros[Ubicacion],Registros[Codigo], "")</f>
        <v/>
      </c>
      <c r="O104" s="25"/>
      <c r="P104" s="25"/>
      <c r="Q104" s="39" t="str">
        <f>IF(CRUCE[[#This Row],[TOTAL2]]="", "PENDIENTE", IF(CRUCE[[#This Row],[DIFERENCIA2]]=0, "CUADRADO", IF(CRUCE[[#This Row],[DIFERENCIA2]]&gt;0, "SOBRANTE", "FALTANTE")))</f>
        <v>PENDIENTE</v>
      </c>
      <c r="R104" s="103" t="s">
        <v>5081</v>
      </c>
      <c r="S104" s="127" t="s">
        <v>5184</v>
      </c>
    </row>
    <row r="105" spans="1:19">
      <c r="A105" s="92" t="s">
        <v>5170</v>
      </c>
      <c r="B105" s="39" t="s">
        <v>4394</v>
      </c>
      <c r="C105" s="26"/>
      <c r="D105" s="35"/>
      <c r="E105" s="26"/>
      <c r="F105" s="26"/>
      <c r="G105" s="26"/>
      <c r="H105" s="39" t="str">
        <f>_xlfn.XLOOKUP(CRUCE[[#This Row],[Ubicacion]],Registros[Ubicacion],Registros[Codigo], "")</f>
        <v/>
      </c>
      <c r="I105" s="26" t="str">
        <f>_xlfn.XLOOKUP(CRUCE[[#This Row],[Ubicacion]],Registros[Ubicacion],Registros[Total], "")</f>
        <v/>
      </c>
      <c r="J105" s="26" t="str">
        <f>_xlfn.XLOOKUP(CRUCE[[#This Row],[Ubicacion]],Registros[Ubicacion],Registros[UMA], "")</f>
        <v/>
      </c>
      <c r="K105" s="39" t="str">
        <f>IF(CRUCE[[#This Row],[TOTAL]]="","",CRUCE[[#This Row],[TOTAL]]-CRUCE[[#This Row],[BULTOS]])</f>
        <v/>
      </c>
      <c r="L105" s="39" t="str">
        <f>IF(CRUCE[[#This Row],[TOTAL]]="", "PENDIENTE", IF(CRUCE[[#This Row],[Diferencia]]=0, "CUADRADO", IF(CRUCE[[#This Row],[Diferencia]]&gt;0, "SOBRANTE", "FALTANTE")))</f>
        <v>PENDIENTE</v>
      </c>
      <c r="M105" s="72" t="str">
        <f>IF(CRUCE[[#This Row],[Diferencia]]="","",IF(CRUCE[[#This Row],[Diferencia]]=0,"OK","RECONTEO"))</f>
        <v/>
      </c>
      <c r="N105" s="39" t="str">
        <f>_xlfn.XLOOKUP(CRUCE[[#This Row],[Ubicacion]],Registros[Ubicacion],Registros[Codigo], "")</f>
        <v/>
      </c>
      <c r="O105" s="26"/>
      <c r="P105" s="26"/>
      <c r="Q105" s="39" t="str">
        <f>IF(CRUCE[[#This Row],[TOTAL2]]="", "PENDIENTE", IF(CRUCE[[#This Row],[DIFERENCIA2]]=0, "CUADRADO", IF(CRUCE[[#This Row],[DIFERENCIA2]]&gt;0, "SOBRANTE", "FALTANTE")))</f>
        <v>PENDIENTE</v>
      </c>
      <c r="R105" s="102" t="s">
        <v>5081</v>
      </c>
      <c r="S105" s="127" t="s">
        <v>5185</v>
      </c>
    </row>
    <row r="106" spans="1:19">
      <c r="A106" s="93" t="s">
        <v>5170</v>
      </c>
      <c r="B106" s="38" t="s">
        <v>4396</v>
      </c>
      <c r="C106" s="25"/>
      <c r="D106" s="34"/>
      <c r="E106" s="25"/>
      <c r="F106" s="25"/>
      <c r="G106" s="25"/>
      <c r="H106" s="39" t="str">
        <f>_xlfn.XLOOKUP(CRUCE[[#This Row],[Ubicacion]],Registros[Ubicacion],Registros[Codigo], "")</f>
        <v/>
      </c>
      <c r="I106" s="25" t="str">
        <f>_xlfn.XLOOKUP(CRUCE[[#This Row],[Ubicacion]],Registros[Ubicacion],Registros[Total], "")</f>
        <v/>
      </c>
      <c r="J106" s="79" t="str">
        <f>_xlfn.XLOOKUP(CRUCE[[#This Row],[Ubicacion]],Registros[Ubicacion],Registros[UMA], "")</f>
        <v/>
      </c>
      <c r="K106" s="39" t="str">
        <f>IF(CRUCE[[#This Row],[TOTAL]]="","",CRUCE[[#This Row],[TOTAL]]-CRUCE[[#This Row],[BULTOS]])</f>
        <v/>
      </c>
      <c r="L106" s="38" t="str">
        <f>IF(CRUCE[[#This Row],[TOTAL]]="", "PENDIENTE", IF(CRUCE[[#This Row],[Diferencia]]=0, "CUADRADO", IF(CRUCE[[#This Row],[Diferencia]]&gt;0, "SOBRANTE", "FALTANTE")))</f>
        <v>PENDIENTE</v>
      </c>
      <c r="M106" s="71" t="str">
        <f>IF(CRUCE[[#This Row],[Diferencia]]="","",IF(CRUCE[[#This Row],[Diferencia]]=0,"OK","RECONTEO"))</f>
        <v/>
      </c>
      <c r="N106" s="39" t="str">
        <f>_xlfn.XLOOKUP(CRUCE[[#This Row],[Ubicacion]],Registros[Ubicacion],Registros[Codigo], "")</f>
        <v/>
      </c>
      <c r="O106" s="25"/>
      <c r="P106" s="25"/>
      <c r="Q106" s="39" t="str">
        <f>IF(CRUCE[[#This Row],[TOTAL2]]="", "PENDIENTE", IF(CRUCE[[#This Row],[DIFERENCIA2]]=0, "CUADRADO", IF(CRUCE[[#This Row],[DIFERENCIA2]]&gt;0, "SOBRANTE", "FALTANTE")))</f>
        <v>PENDIENTE</v>
      </c>
      <c r="R106" s="103" t="s">
        <v>5081</v>
      </c>
      <c r="S106" s="127" t="s">
        <v>5186</v>
      </c>
    </row>
    <row r="107" spans="1:19">
      <c r="A107" s="92" t="s">
        <v>5170</v>
      </c>
      <c r="B107" s="39" t="s">
        <v>4398</v>
      </c>
      <c r="C107" s="26"/>
      <c r="D107" s="35"/>
      <c r="E107" s="26"/>
      <c r="F107" s="26"/>
      <c r="G107" s="26"/>
      <c r="H107" s="39" t="str">
        <f>_xlfn.XLOOKUP(CRUCE[[#This Row],[Ubicacion]],Registros[Ubicacion],Registros[Codigo], "")</f>
        <v/>
      </c>
      <c r="I107" s="26" t="str">
        <f>_xlfn.XLOOKUP(CRUCE[[#This Row],[Ubicacion]],Registros[Ubicacion],Registros[Total], "")</f>
        <v/>
      </c>
      <c r="J107" s="26" t="str">
        <f>_xlfn.XLOOKUP(CRUCE[[#This Row],[Ubicacion]],Registros[Ubicacion],Registros[UMA], "")</f>
        <v/>
      </c>
      <c r="K107" s="39" t="str">
        <f>IF(CRUCE[[#This Row],[TOTAL]]="","",CRUCE[[#This Row],[TOTAL]]-CRUCE[[#This Row],[BULTOS]])</f>
        <v/>
      </c>
      <c r="L107" s="39" t="str">
        <f>IF(CRUCE[[#This Row],[TOTAL]]="", "PENDIENTE", IF(CRUCE[[#This Row],[Diferencia]]=0, "CUADRADO", IF(CRUCE[[#This Row],[Diferencia]]&gt;0, "SOBRANTE", "FALTANTE")))</f>
        <v>PENDIENTE</v>
      </c>
      <c r="M107" s="72" t="str">
        <f>IF(CRUCE[[#This Row],[Diferencia]]="","",IF(CRUCE[[#This Row],[Diferencia]]=0,"OK","RECONTEO"))</f>
        <v/>
      </c>
      <c r="N107" s="39" t="str">
        <f>_xlfn.XLOOKUP(CRUCE[[#This Row],[Ubicacion]],Registros[Ubicacion],Registros[Codigo], "")</f>
        <v/>
      </c>
      <c r="O107" s="26"/>
      <c r="P107" s="26"/>
      <c r="Q107" s="39" t="str">
        <f>IF(CRUCE[[#This Row],[TOTAL2]]="", "PENDIENTE", IF(CRUCE[[#This Row],[DIFERENCIA2]]=0, "CUADRADO", IF(CRUCE[[#This Row],[DIFERENCIA2]]&gt;0, "SOBRANTE", "FALTANTE")))</f>
        <v>PENDIENTE</v>
      </c>
      <c r="R107" s="102" t="s">
        <v>5081</v>
      </c>
      <c r="S107" s="127" t="s">
        <v>5187</v>
      </c>
    </row>
    <row r="108" spans="1:19">
      <c r="A108" s="93" t="s">
        <v>5170</v>
      </c>
      <c r="B108" s="38" t="s">
        <v>4400</v>
      </c>
      <c r="C108" s="25"/>
      <c r="D108" s="34"/>
      <c r="E108" s="25"/>
      <c r="F108" s="25"/>
      <c r="G108" s="25"/>
      <c r="H108" s="39" t="str">
        <f>_xlfn.XLOOKUP(CRUCE[[#This Row],[Ubicacion]],Registros[Ubicacion],Registros[Codigo], "")</f>
        <v/>
      </c>
      <c r="I108" s="25" t="str">
        <f>_xlfn.XLOOKUP(CRUCE[[#This Row],[Ubicacion]],Registros[Ubicacion],Registros[Total], "")</f>
        <v/>
      </c>
      <c r="J108" s="79" t="str">
        <f>_xlfn.XLOOKUP(CRUCE[[#This Row],[Ubicacion]],Registros[Ubicacion],Registros[UMA], "")</f>
        <v/>
      </c>
      <c r="K108" s="39" t="str">
        <f>IF(CRUCE[[#This Row],[TOTAL]]="","",CRUCE[[#This Row],[TOTAL]]-CRUCE[[#This Row],[BULTOS]])</f>
        <v/>
      </c>
      <c r="L108" s="38" t="str">
        <f>IF(CRUCE[[#This Row],[TOTAL]]="", "PENDIENTE", IF(CRUCE[[#This Row],[Diferencia]]=0, "CUADRADO", IF(CRUCE[[#This Row],[Diferencia]]&gt;0, "SOBRANTE", "FALTANTE")))</f>
        <v>PENDIENTE</v>
      </c>
      <c r="M108" s="71" t="str">
        <f>IF(CRUCE[[#This Row],[Diferencia]]="","",IF(CRUCE[[#This Row],[Diferencia]]=0,"OK","RECONTEO"))</f>
        <v/>
      </c>
      <c r="N108" s="39" t="str">
        <f>_xlfn.XLOOKUP(CRUCE[[#This Row],[Ubicacion]],Registros[Ubicacion],Registros[Codigo], "")</f>
        <v/>
      </c>
      <c r="O108" s="25"/>
      <c r="P108" s="25"/>
      <c r="Q108" s="39" t="str">
        <f>IF(CRUCE[[#This Row],[TOTAL2]]="", "PENDIENTE", IF(CRUCE[[#This Row],[DIFERENCIA2]]=0, "CUADRADO", IF(CRUCE[[#This Row],[DIFERENCIA2]]&gt;0, "SOBRANTE", "FALTANTE")))</f>
        <v>PENDIENTE</v>
      </c>
      <c r="R108" s="103" t="s">
        <v>5081</v>
      </c>
      <c r="S108" s="127" t="s">
        <v>5188</v>
      </c>
    </row>
    <row r="109" spans="1:19">
      <c r="A109" s="92" t="s">
        <v>5170</v>
      </c>
      <c r="B109" s="39" t="s">
        <v>4402</v>
      </c>
      <c r="C109" s="26"/>
      <c r="D109" s="35"/>
      <c r="E109" s="26"/>
      <c r="F109" s="26"/>
      <c r="G109" s="26"/>
      <c r="H109" s="39" t="str">
        <f>_xlfn.XLOOKUP(CRUCE[[#This Row],[Ubicacion]],Registros[Ubicacion],Registros[Codigo], "")</f>
        <v/>
      </c>
      <c r="I109" s="26" t="str">
        <f>_xlfn.XLOOKUP(CRUCE[[#This Row],[Ubicacion]],Registros[Ubicacion],Registros[Total], "")</f>
        <v/>
      </c>
      <c r="J109" s="26" t="str">
        <f>_xlfn.XLOOKUP(CRUCE[[#This Row],[Ubicacion]],Registros[Ubicacion],Registros[UMA], "")</f>
        <v/>
      </c>
      <c r="K109" s="39" t="str">
        <f>IF(CRUCE[[#This Row],[TOTAL]]="","",CRUCE[[#This Row],[TOTAL]]-CRUCE[[#This Row],[BULTOS]])</f>
        <v/>
      </c>
      <c r="L109" s="39" t="str">
        <f>IF(CRUCE[[#This Row],[TOTAL]]="", "PENDIENTE", IF(CRUCE[[#This Row],[Diferencia]]=0, "CUADRADO", IF(CRUCE[[#This Row],[Diferencia]]&gt;0, "SOBRANTE", "FALTANTE")))</f>
        <v>PENDIENTE</v>
      </c>
      <c r="M109" s="72" t="str">
        <f>IF(CRUCE[[#This Row],[Diferencia]]="","",IF(CRUCE[[#This Row],[Diferencia]]=0,"OK","RECONTEO"))</f>
        <v/>
      </c>
      <c r="N109" s="39" t="str">
        <f>_xlfn.XLOOKUP(CRUCE[[#This Row],[Ubicacion]],Registros[Ubicacion],Registros[Codigo], "")</f>
        <v/>
      </c>
      <c r="O109" s="26"/>
      <c r="P109" s="26"/>
      <c r="Q109" s="39" t="str">
        <f>IF(CRUCE[[#This Row],[TOTAL2]]="", "PENDIENTE", IF(CRUCE[[#This Row],[DIFERENCIA2]]=0, "CUADRADO", IF(CRUCE[[#This Row],[DIFERENCIA2]]&gt;0, "SOBRANTE", "FALTANTE")))</f>
        <v>PENDIENTE</v>
      </c>
      <c r="R109" s="102" t="s">
        <v>5081</v>
      </c>
      <c r="S109" s="127" t="s">
        <v>5189</v>
      </c>
    </row>
    <row r="110" spans="1:19">
      <c r="A110" s="93" t="s">
        <v>5170</v>
      </c>
      <c r="B110" s="38" t="s">
        <v>4404</v>
      </c>
      <c r="C110" s="25"/>
      <c r="D110" s="34"/>
      <c r="E110" s="25"/>
      <c r="F110" s="25"/>
      <c r="G110" s="25"/>
      <c r="H110" s="39" t="str">
        <f>_xlfn.XLOOKUP(CRUCE[[#This Row],[Ubicacion]],Registros[Ubicacion],Registros[Codigo], "")</f>
        <v/>
      </c>
      <c r="I110" s="25" t="str">
        <f>_xlfn.XLOOKUP(CRUCE[[#This Row],[Ubicacion]],Registros[Ubicacion],Registros[Total], "")</f>
        <v/>
      </c>
      <c r="J110" s="79" t="str">
        <f>_xlfn.XLOOKUP(CRUCE[[#This Row],[Ubicacion]],Registros[Ubicacion],Registros[UMA], "")</f>
        <v/>
      </c>
      <c r="K110" s="39" t="str">
        <f>IF(CRUCE[[#This Row],[TOTAL]]="","",CRUCE[[#This Row],[TOTAL]]-CRUCE[[#This Row],[BULTOS]])</f>
        <v/>
      </c>
      <c r="L110" s="38" t="str">
        <f>IF(CRUCE[[#This Row],[TOTAL]]="", "PENDIENTE", IF(CRUCE[[#This Row],[Diferencia]]=0, "CUADRADO", IF(CRUCE[[#This Row],[Diferencia]]&gt;0, "SOBRANTE", "FALTANTE")))</f>
        <v>PENDIENTE</v>
      </c>
      <c r="M110" s="71" t="str">
        <f>IF(CRUCE[[#This Row],[Diferencia]]="","",IF(CRUCE[[#This Row],[Diferencia]]=0,"OK","RECONTEO"))</f>
        <v/>
      </c>
      <c r="N110" s="39" t="str">
        <f>_xlfn.XLOOKUP(CRUCE[[#This Row],[Ubicacion]],Registros[Ubicacion],Registros[Codigo], "")</f>
        <v/>
      </c>
      <c r="O110" s="25"/>
      <c r="P110" s="25"/>
      <c r="Q110" s="39" t="str">
        <f>IF(CRUCE[[#This Row],[TOTAL2]]="", "PENDIENTE", IF(CRUCE[[#This Row],[DIFERENCIA2]]=0, "CUADRADO", IF(CRUCE[[#This Row],[DIFERENCIA2]]&gt;0, "SOBRANTE", "FALTANTE")))</f>
        <v>PENDIENTE</v>
      </c>
      <c r="R110" s="103" t="s">
        <v>5081</v>
      </c>
      <c r="S110" s="127" t="s">
        <v>5190</v>
      </c>
    </row>
    <row r="111" spans="1:19">
      <c r="A111" s="92" t="s">
        <v>5170</v>
      </c>
      <c r="B111" s="39" t="s">
        <v>4406</v>
      </c>
      <c r="C111" s="26"/>
      <c r="D111" s="35"/>
      <c r="E111" s="26"/>
      <c r="F111" s="26"/>
      <c r="G111" s="26"/>
      <c r="H111" s="39" t="str">
        <f>_xlfn.XLOOKUP(CRUCE[[#This Row],[Ubicacion]],Registros[Ubicacion],Registros[Codigo], "")</f>
        <v/>
      </c>
      <c r="I111" s="26" t="str">
        <f>_xlfn.XLOOKUP(CRUCE[[#This Row],[Ubicacion]],Registros[Ubicacion],Registros[Total], "")</f>
        <v/>
      </c>
      <c r="J111" s="26" t="str">
        <f>_xlfn.XLOOKUP(CRUCE[[#This Row],[Ubicacion]],Registros[Ubicacion],Registros[UMA], "")</f>
        <v/>
      </c>
      <c r="K111" s="39" t="str">
        <f>IF(CRUCE[[#This Row],[TOTAL]]="","",CRUCE[[#This Row],[TOTAL]]-CRUCE[[#This Row],[BULTOS]])</f>
        <v/>
      </c>
      <c r="L111" s="39" t="str">
        <f>IF(CRUCE[[#This Row],[TOTAL]]="", "PENDIENTE", IF(CRUCE[[#This Row],[Diferencia]]=0, "CUADRADO", IF(CRUCE[[#This Row],[Diferencia]]&gt;0, "SOBRANTE", "FALTANTE")))</f>
        <v>PENDIENTE</v>
      </c>
      <c r="M111" s="72" t="str">
        <f>IF(CRUCE[[#This Row],[Diferencia]]="","",IF(CRUCE[[#This Row],[Diferencia]]=0,"OK","RECONTEO"))</f>
        <v/>
      </c>
      <c r="N111" s="39" t="str">
        <f>_xlfn.XLOOKUP(CRUCE[[#This Row],[Ubicacion]],Registros[Ubicacion],Registros[Codigo], "")</f>
        <v/>
      </c>
      <c r="O111" s="26"/>
      <c r="P111" s="26"/>
      <c r="Q111" s="39" t="str">
        <f>IF(CRUCE[[#This Row],[TOTAL2]]="", "PENDIENTE", IF(CRUCE[[#This Row],[DIFERENCIA2]]=0, "CUADRADO", IF(CRUCE[[#This Row],[DIFERENCIA2]]&gt;0, "SOBRANTE", "FALTANTE")))</f>
        <v>PENDIENTE</v>
      </c>
      <c r="R111" s="102" t="s">
        <v>5081</v>
      </c>
      <c r="S111" s="127" t="s">
        <v>5191</v>
      </c>
    </row>
    <row r="112" spans="1:19">
      <c r="A112" s="93" t="s">
        <v>5170</v>
      </c>
      <c r="B112" s="38" t="s">
        <v>4408</v>
      </c>
      <c r="C112" s="25"/>
      <c r="D112" s="34"/>
      <c r="E112" s="25"/>
      <c r="F112" s="25"/>
      <c r="G112" s="25"/>
      <c r="H112" s="39" t="str">
        <f>_xlfn.XLOOKUP(CRUCE[[#This Row],[Ubicacion]],Registros[Ubicacion],Registros[Codigo], "")</f>
        <v/>
      </c>
      <c r="I112" s="25" t="str">
        <f>_xlfn.XLOOKUP(CRUCE[[#This Row],[Ubicacion]],Registros[Ubicacion],Registros[Total], "")</f>
        <v/>
      </c>
      <c r="J112" s="79" t="str">
        <f>_xlfn.XLOOKUP(CRUCE[[#This Row],[Ubicacion]],Registros[Ubicacion],Registros[UMA], "")</f>
        <v/>
      </c>
      <c r="K112" s="39" t="str">
        <f>IF(CRUCE[[#This Row],[TOTAL]]="","",CRUCE[[#This Row],[TOTAL]]-CRUCE[[#This Row],[BULTOS]])</f>
        <v/>
      </c>
      <c r="L112" s="38" t="str">
        <f>IF(CRUCE[[#This Row],[TOTAL]]="", "PENDIENTE", IF(CRUCE[[#This Row],[Diferencia]]=0, "CUADRADO", IF(CRUCE[[#This Row],[Diferencia]]&gt;0, "SOBRANTE", "FALTANTE")))</f>
        <v>PENDIENTE</v>
      </c>
      <c r="M112" s="71" t="str">
        <f>IF(CRUCE[[#This Row],[Diferencia]]="","",IF(CRUCE[[#This Row],[Diferencia]]=0,"OK","RECONTEO"))</f>
        <v/>
      </c>
      <c r="N112" s="39" t="str">
        <f>_xlfn.XLOOKUP(CRUCE[[#This Row],[Ubicacion]],Registros[Ubicacion],Registros[Codigo], "")</f>
        <v/>
      </c>
      <c r="O112" s="25"/>
      <c r="P112" s="25"/>
      <c r="Q112" s="39" t="str">
        <f>IF(CRUCE[[#This Row],[TOTAL2]]="", "PENDIENTE", IF(CRUCE[[#This Row],[DIFERENCIA2]]=0, "CUADRADO", IF(CRUCE[[#This Row],[DIFERENCIA2]]&gt;0, "SOBRANTE", "FALTANTE")))</f>
        <v>PENDIENTE</v>
      </c>
      <c r="R112" s="103" t="s">
        <v>5081</v>
      </c>
      <c r="S112" s="127" t="s">
        <v>5192</v>
      </c>
    </row>
    <row r="113" spans="1:19">
      <c r="A113" s="92" t="s">
        <v>5170</v>
      </c>
      <c r="B113" s="39" t="s">
        <v>4410</v>
      </c>
      <c r="C113" s="26"/>
      <c r="D113" s="35"/>
      <c r="E113" s="26"/>
      <c r="F113" s="26"/>
      <c r="G113" s="26"/>
      <c r="H113" s="39" t="str">
        <f>_xlfn.XLOOKUP(CRUCE[[#This Row],[Ubicacion]],Registros[Ubicacion],Registros[Codigo], "")</f>
        <v/>
      </c>
      <c r="I113" s="26" t="str">
        <f>_xlfn.XLOOKUP(CRUCE[[#This Row],[Ubicacion]],Registros[Ubicacion],Registros[Total], "")</f>
        <v/>
      </c>
      <c r="J113" s="26" t="str">
        <f>_xlfn.XLOOKUP(CRUCE[[#This Row],[Ubicacion]],Registros[Ubicacion],Registros[UMA], "")</f>
        <v/>
      </c>
      <c r="K113" s="39" t="str">
        <f>IF(CRUCE[[#This Row],[TOTAL]]="","",CRUCE[[#This Row],[TOTAL]]-CRUCE[[#This Row],[BULTOS]])</f>
        <v/>
      </c>
      <c r="L113" s="39" t="str">
        <f>IF(CRUCE[[#This Row],[TOTAL]]="", "PENDIENTE", IF(CRUCE[[#This Row],[Diferencia]]=0, "CUADRADO", IF(CRUCE[[#This Row],[Diferencia]]&gt;0, "SOBRANTE", "FALTANTE")))</f>
        <v>PENDIENTE</v>
      </c>
      <c r="M113" s="72" t="str">
        <f>IF(CRUCE[[#This Row],[Diferencia]]="","",IF(CRUCE[[#This Row],[Diferencia]]=0,"OK","RECONTEO"))</f>
        <v/>
      </c>
      <c r="N113" s="39" t="str">
        <f>_xlfn.XLOOKUP(CRUCE[[#This Row],[Ubicacion]],Registros[Ubicacion],Registros[Codigo], "")</f>
        <v/>
      </c>
      <c r="O113" s="26"/>
      <c r="P113" s="26"/>
      <c r="Q113" s="39" t="str">
        <f>IF(CRUCE[[#This Row],[TOTAL2]]="", "PENDIENTE", IF(CRUCE[[#This Row],[DIFERENCIA2]]=0, "CUADRADO", IF(CRUCE[[#This Row],[DIFERENCIA2]]&gt;0, "SOBRANTE", "FALTANTE")))</f>
        <v>PENDIENTE</v>
      </c>
      <c r="R113" s="102" t="s">
        <v>5081</v>
      </c>
      <c r="S113" s="127" t="s">
        <v>5193</v>
      </c>
    </row>
    <row r="114" spans="1:19">
      <c r="A114" s="93" t="s">
        <v>5170</v>
      </c>
      <c r="B114" s="38" t="s">
        <v>4412</v>
      </c>
      <c r="C114" s="25"/>
      <c r="D114" s="34"/>
      <c r="E114" s="25"/>
      <c r="F114" s="25"/>
      <c r="G114" s="25"/>
      <c r="H114" s="39" t="str">
        <f>_xlfn.XLOOKUP(CRUCE[[#This Row],[Ubicacion]],Registros[Ubicacion],Registros[Codigo], "")</f>
        <v/>
      </c>
      <c r="I114" s="25" t="str">
        <f>_xlfn.XLOOKUP(CRUCE[[#This Row],[Ubicacion]],Registros[Ubicacion],Registros[Total], "")</f>
        <v/>
      </c>
      <c r="J114" s="79" t="str">
        <f>_xlfn.XLOOKUP(CRUCE[[#This Row],[Ubicacion]],Registros[Ubicacion],Registros[UMA], "")</f>
        <v/>
      </c>
      <c r="K114" s="39" t="str">
        <f>IF(CRUCE[[#This Row],[TOTAL]]="","",CRUCE[[#This Row],[TOTAL]]-CRUCE[[#This Row],[BULTOS]])</f>
        <v/>
      </c>
      <c r="L114" s="38" t="str">
        <f>IF(CRUCE[[#This Row],[TOTAL]]="", "PENDIENTE", IF(CRUCE[[#This Row],[Diferencia]]=0, "CUADRADO", IF(CRUCE[[#This Row],[Diferencia]]&gt;0, "SOBRANTE", "FALTANTE")))</f>
        <v>PENDIENTE</v>
      </c>
      <c r="M114" s="71" t="str">
        <f>IF(CRUCE[[#This Row],[Diferencia]]="","",IF(CRUCE[[#This Row],[Diferencia]]=0,"OK","RECONTEO"))</f>
        <v/>
      </c>
      <c r="N114" s="39" t="str">
        <f>_xlfn.XLOOKUP(CRUCE[[#This Row],[Ubicacion]],Registros[Ubicacion],Registros[Codigo], "")</f>
        <v/>
      </c>
      <c r="O114" s="25"/>
      <c r="P114" s="25"/>
      <c r="Q114" s="39" t="str">
        <f>IF(CRUCE[[#This Row],[TOTAL2]]="", "PENDIENTE", IF(CRUCE[[#This Row],[DIFERENCIA2]]=0, "CUADRADO", IF(CRUCE[[#This Row],[DIFERENCIA2]]&gt;0, "SOBRANTE", "FALTANTE")))</f>
        <v>PENDIENTE</v>
      </c>
      <c r="R114" s="103" t="s">
        <v>5081</v>
      </c>
      <c r="S114" s="127" t="s">
        <v>5194</v>
      </c>
    </row>
    <row r="115" spans="1:19">
      <c r="A115" s="92" t="s">
        <v>5170</v>
      </c>
      <c r="B115" s="39" t="s">
        <v>4414</v>
      </c>
      <c r="C115" s="26"/>
      <c r="D115" s="35"/>
      <c r="E115" s="26"/>
      <c r="F115" s="26"/>
      <c r="G115" s="26"/>
      <c r="H115" s="39" t="str">
        <f>_xlfn.XLOOKUP(CRUCE[[#This Row],[Ubicacion]],Registros[Ubicacion],Registros[Codigo], "")</f>
        <v/>
      </c>
      <c r="I115" s="26" t="str">
        <f>_xlfn.XLOOKUP(CRUCE[[#This Row],[Ubicacion]],Registros[Ubicacion],Registros[Total], "")</f>
        <v/>
      </c>
      <c r="J115" s="26" t="str">
        <f>_xlfn.XLOOKUP(CRUCE[[#This Row],[Ubicacion]],Registros[Ubicacion],Registros[UMA], "")</f>
        <v/>
      </c>
      <c r="K115" s="39" t="str">
        <f>IF(CRUCE[[#This Row],[TOTAL]]="","",CRUCE[[#This Row],[TOTAL]]-CRUCE[[#This Row],[BULTOS]])</f>
        <v/>
      </c>
      <c r="L115" s="39" t="str">
        <f>IF(CRUCE[[#This Row],[TOTAL]]="", "PENDIENTE", IF(CRUCE[[#This Row],[Diferencia]]=0, "CUADRADO", IF(CRUCE[[#This Row],[Diferencia]]&gt;0, "SOBRANTE", "FALTANTE")))</f>
        <v>PENDIENTE</v>
      </c>
      <c r="M115" s="72" t="str">
        <f>IF(CRUCE[[#This Row],[Diferencia]]="","",IF(CRUCE[[#This Row],[Diferencia]]=0,"OK","RECONTEO"))</f>
        <v/>
      </c>
      <c r="N115" s="39" t="str">
        <f>_xlfn.XLOOKUP(CRUCE[[#This Row],[Ubicacion]],Registros[Ubicacion],Registros[Codigo], "")</f>
        <v/>
      </c>
      <c r="O115" s="26"/>
      <c r="P115" s="26"/>
      <c r="Q115" s="39" t="str">
        <f>IF(CRUCE[[#This Row],[TOTAL2]]="", "PENDIENTE", IF(CRUCE[[#This Row],[DIFERENCIA2]]=0, "CUADRADO", IF(CRUCE[[#This Row],[DIFERENCIA2]]&gt;0, "SOBRANTE", "FALTANTE")))</f>
        <v>PENDIENTE</v>
      </c>
      <c r="R115" s="102" t="s">
        <v>5081</v>
      </c>
      <c r="S115" s="127" t="s">
        <v>5195</v>
      </c>
    </row>
    <row r="116" spans="1:19">
      <c r="A116" s="93" t="s">
        <v>5170</v>
      </c>
      <c r="B116" s="38" t="s">
        <v>4416</v>
      </c>
      <c r="C116" s="25"/>
      <c r="D116" s="34"/>
      <c r="E116" s="25"/>
      <c r="F116" s="25"/>
      <c r="G116" s="25"/>
      <c r="H116" s="39" t="str">
        <f>_xlfn.XLOOKUP(CRUCE[[#This Row],[Ubicacion]],Registros[Ubicacion],Registros[Codigo], "")</f>
        <v/>
      </c>
      <c r="I116" s="25" t="str">
        <f>_xlfn.XLOOKUP(CRUCE[[#This Row],[Ubicacion]],Registros[Ubicacion],Registros[Total], "")</f>
        <v/>
      </c>
      <c r="J116" s="79" t="str">
        <f>_xlfn.XLOOKUP(CRUCE[[#This Row],[Ubicacion]],Registros[Ubicacion],Registros[UMA], "")</f>
        <v/>
      </c>
      <c r="K116" s="39" t="str">
        <f>IF(CRUCE[[#This Row],[TOTAL]]="","",CRUCE[[#This Row],[TOTAL]]-CRUCE[[#This Row],[BULTOS]])</f>
        <v/>
      </c>
      <c r="L116" s="38" t="str">
        <f>IF(CRUCE[[#This Row],[TOTAL]]="", "PENDIENTE", IF(CRUCE[[#This Row],[Diferencia]]=0, "CUADRADO", IF(CRUCE[[#This Row],[Diferencia]]&gt;0, "SOBRANTE", "FALTANTE")))</f>
        <v>PENDIENTE</v>
      </c>
      <c r="M116" s="71" t="str">
        <f>IF(CRUCE[[#This Row],[Diferencia]]="","",IF(CRUCE[[#This Row],[Diferencia]]=0,"OK","RECONTEO"))</f>
        <v/>
      </c>
      <c r="N116" s="39" t="str">
        <f>_xlfn.XLOOKUP(CRUCE[[#This Row],[Ubicacion]],Registros[Ubicacion],Registros[Codigo], "")</f>
        <v/>
      </c>
      <c r="O116" s="25"/>
      <c r="P116" s="25"/>
      <c r="Q116" s="39" t="str">
        <f>IF(CRUCE[[#This Row],[TOTAL2]]="", "PENDIENTE", IF(CRUCE[[#This Row],[DIFERENCIA2]]=0, "CUADRADO", IF(CRUCE[[#This Row],[DIFERENCIA2]]&gt;0, "SOBRANTE", "FALTANTE")))</f>
        <v>PENDIENTE</v>
      </c>
      <c r="R116" s="103" t="s">
        <v>5081</v>
      </c>
      <c r="S116" s="127" t="s">
        <v>5196</v>
      </c>
    </row>
    <row r="117" spans="1:19">
      <c r="A117" s="92" t="s">
        <v>5170</v>
      </c>
      <c r="B117" s="39" t="s">
        <v>4418</v>
      </c>
      <c r="C117" s="26"/>
      <c r="D117" s="35"/>
      <c r="E117" s="26"/>
      <c r="F117" s="26"/>
      <c r="G117" s="26"/>
      <c r="H117" s="39" t="str">
        <f>_xlfn.XLOOKUP(CRUCE[[#This Row],[Ubicacion]],Registros[Ubicacion],Registros[Codigo], "")</f>
        <v/>
      </c>
      <c r="I117" s="26" t="str">
        <f>_xlfn.XLOOKUP(CRUCE[[#This Row],[Ubicacion]],Registros[Ubicacion],Registros[Total], "")</f>
        <v/>
      </c>
      <c r="J117" s="26" t="str">
        <f>_xlfn.XLOOKUP(CRUCE[[#This Row],[Ubicacion]],Registros[Ubicacion],Registros[UMA], "")</f>
        <v/>
      </c>
      <c r="K117" s="39" t="str">
        <f>IF(CRUCE[[#This Row],[TOTAL]]="","",CRUCE[[#This Row],[TOTAL]]-CRUCE[[#This Row],[BULTOS]])</f>
        <v/>
      </c>
      <c r="L117" s="39" t="str">
        <f>IF(CRUCE[[#This Row],[TOTAL]]="", "PENDIENTE", IF(CRUCE[[#This Row],[Diferencia]]=0, "CUADRADO", IF(CRUCE[[#This Row],[Diferencia]]&gt;0, "SOBRANTE", "FALTANTE")))</f>
        <v>PENDIENTE</v>
      </c>
      <c r="M117" s="72" t="str">
        <f>IF(CRUCE[[#This Row],[Diferencia]]="","",IF(CRUCE[[#This Row],[Diferencia]]=0,"OK","RECONTEO"))</f>
        <v/>
      </c>
      <c r="N117" s="39" t="str">
        <f>_xlfn.XLOOKUP(CRUCE[[#This Row],[Ubicacion]],Registros[Ubicacion],Registros[Codigo], "")</f>
        <v/>
      </c>
      <c r="O117" s="26"/>
      <c r="P117" s="26"/>
      <c r="Q117" s="39" t="str">
        <f>IF(CRUCE[[#This Row],[TOTAL2]]="", "PENDIENTE", IF(CRUCE[[#This Row],[DIFERENCIA2]]=0, "CUADRADO", IF(CRUCE[[#This Row],[DIFERENCIA2]]&gt;0, "SOBRANTE", "FALTANTE")))</f>
        <v>PENDIENTE</v>
      </c>
      <c r="R117" s="102" t="s">
        <v>5081</v>
      </c>
      <c r="S117" s="127" t="s">
        <v>5197</v>
      </c>
    </row>
    <row r="118" spans="1:19">
      <c r="A118" s="93" t="s">
        <v>5170</v>
      </c>
      <c r="B118" s="38" t="s">
        <v>4420</v>
      </c>
      <c r="C118" s="25"/>
      <c r="D118" s="34"/>
      <c r="E118" s="25"/>
      <c r="F118" s="25"/>
      <c r="G118" s="25"/>
      <c r="H118" s="39" t="str">
        <f>_xlfn.XLOOKUP(CRUCE[[#This Row],[Ubicacion]],Registros[Ubicacion],Registros[Codigo], "")</f>
        <v/>
      </c>
      <c r="I118" s="25" t="str">
        <f>_xlfn.XLOOKUP(CRUCE[[#This Row],[Ubicacion]],Registros[Ubicacion],Registros[Total], "")</f>
        <v/>
      </c>
      <c r="J118" s="79" t="str">
        <f>_xlfn.XLOOKUP(CRUCE[[#This Row],[Ubicacion]],Registros[Ubicacion],Registros[UMA], "")</f>
        <v/>
      </c>
      <c r="K118" s="39" t="str">
        <f>IF(CRUCE[[#This Row],[TOTAL]]="","",CRUCE[[#This Row],[TOTAL]]-CRUCE[[#This Row],[BULTOS]])</f>
        <v/>
      </c>
      <c r="L118" s="38" t="str">
        <f>IF(CRUCE[[#This Row],[TOTAL]]="", "PENDIENTE", IF(CRUCE[[#This Row],[Diferencia]]=0, "CUADRADO", IF(CRUCE[[#This Row],[Diferencia]]&gt;0, "SOBRANTE", "FALTANTE")))</f>
        <v>PENDIENTE</v>
      </c>
      <c r="M118" s="71" t="str">
        <f>IF(CRUCE[[#This Row],[Diferencia]]="","",IF(CRUCE[[#This Row],[Diferencia]]=0,"OK","RECONTEO"))</f>
        <v/>
      </c>
      <c r="N118" s="39" t="str">
        <f>_xlfn.XLOOKUP(CRUCE[[#This Row],[Ubicacion]],Registros[Ubicacion],Registros[Codigo], "")</f>
        <v/>
      </c>
      <c r="O118" s="25"/>
      <c r="P118" s="25"/>
      <c r="Q118" s="39" t="str">
        <f>IF(CRUCE[[#This Row],[TOTAL2]]="", "PENDIENTE", IF(CRUCE[[#This Row],[DIFERENCIA2]]=0, "CUADRADO", IF(CRUCE[[#This Row],[DIFERENCIA2]]&gt;0, "SOBRANTE", "FALTANTE")))</f>
        <v>PENDIENTE</v>
      </c>
      <c r="R118" s="103" t="s">
        <v>5081</v>
      </c>
      <c r="S118" s="127" t="s">
        <v>5198</v>
      </c>
    </row>
    <row r="119" spans="1:19">
      <c r="A119" s="92" t="s">
        <v>5170</v>
      </c>
      <c r="B119" s="39" t="s">
        <v>4422</v>
      </c>
      <c r="C119" s="26"/>
      <c r="D119" s="35"/>
      <c r="E119" s="26"/>
      <c r="F119" s="26"/>
      <c r="G119" s="26"/>
      <c r="H119" s="39" t="str">
        <f>_xlfn.XLOOKUP(CRUCE[[#This Row],[Ubicacion]],Registros[Ubicacion],Registros[Codigo], "")</f>
        <v/>
      </c>
      <c r="I119" s="26" t="str">
        <f>_xlfn.XLOOKUP(CRUCE[[#This Row],[Ubicacion]],Registros[Ubicacion],Registros[Total], "")</f>
        <v/>
      </c>
      <c r="J119" s="26" t="str">
        <f>_xlfn.XLOOKUP(CRUCE[[#This Row],[Ubicacion]],Registros[Ubicacion],Registros[UMA], "")</f>
        <v/>
      </c>
      <c r="K119" s="39" t="str">
        <f>IF(CRUCE[[#This Row],[TOTAL]]="","",CRUCE[[#This Row],[TOTAL]]-CRUCE[[#This Row],[BULTOS]])</f>
        <v/>
      </c>
      <c r="L119" s="39" t="str">
        <f>IF(CRUCE[[#This Row],[TOTAL]]="", "PENDIENTE", IF(CRUCE[[#This Row],[Diferencia]]=0, "CUADRADO", IF(CRUCE[[#This Row],[Diferencia]]&gt;0, "SOBRANTE", "FALTANTE")))</f>
        <v>PENDIENTE</v>
      </c>
      <c r="M119" s="72" t="str">
        <f>IF(CRUCE[[#This Row],[Diferencia]]="","",IF(CRUCE[[#This Row],[Diferencia]]=0,"OK","RECONTEO"))</f>
        <v/>
      </c>
      <c r="N119" s="39" t="str">
        <f>_xlfn.XLOOKUP(CRUCE[[#This Row],[Ubicacion]],Registros[Ubicacion],Registros[Codigo], "")</f>
        <v/>
      </c>
      <c r="O119" s="26"/>
      <c r="P119" s="26"/>
      <c r="Q119" s="39" t="str">
        <f>IF(CRUCE[[#This Row],[TOTAL2]]="", "PENDIENTE", IF(CRUCE[[#This Row],[DIFERENCIA2]]=0, "CUADRADO", IF(CRUCE[[#This Row],[DIFERENCIA2]]&gt;0, "SOBRANTE", "FALTANTE")))</f>
        <v>PENDIENTE</v>
      </c>
      <c r="R119" s="102" t="s">
        <v>5081</v>
      </c>
      <c r="S119" s="127" t="s">
        <v>5199</v>
      </c>
    </row>
    <row r="120" spans="1:19">
      <c r="A120" s="93" t="s">
        <v>5170</v>
      </c>
      <c r="B120" s="38" t="s">
        <v>4424</v>
      </c>
      <c r="C120" s="25"/>
      <c r="D120" s="34"/>
      <c r="E120" s="25"/>
      <c r="F120" s="25"/>
      <c r="G120" s="25"/>
      <c r="H120" s="39" t="str">
        <f>_xlfn.XLOOKUP(CRUCE[[#This Row],[Ubicacion]],Registros[Ubicacion],Registros[Codigo], "")</f>
        <v/>
      </c>
      <c r="I120" s="25" t="str">
        <f>_xlfn.XLOOKUP(CRUCE[[#This Row],[Ubicacion]],Registros[Ubicacion],Registros[Total], "")</f>
        <v/>
      </c>
      <c r="J120" s="79" t="str">
        <f>_xlfn.XLOOKUP(CRUCE[[#This Row],[Ubicacion]],Registros[Ubicacion],Registros[UMA], "")</f>
        <v/>
      </c>
      <c r="K120" s="39" t="str">
        <f>IF(CRUCE[[#This Row],[TOTAL]]="","",CRUCE[[#This Row],[TOTAL]]-CRUCE[[#This Row],[BULTOS]])</f>
        <v/>
      </c>
      <c r="L120" s="38" t="str">
        <f>IF(CRUCE[[#This Row],[TOTAL]]="", "PENDIENTE", IF(CRUCE[[#This Row],[Diferencia]]=0, "CUADRADO", IF(CRUCE[[#This Row],[Diferencia]]&gt;0, "SOBRANTE", "FALTANTE")))</f>
        <v>PENDIENTE</v>
      </c>
      <c r="M120" s="71" t="str">
        <f>IF(CRUCE[[#This Row],[Diferencia]]="","",IF(CRUCE[[#This Row],[Diferencia]]=0,"OK","RECONTEO"))</f>
        <v/>
      </c>
      <c r="N120" s="39" t="str">
        <f>_xlfn.XLOOKUP(CRUCE[[#This Row],[Ubicacion]],Registros[Ubicacion],Registros[Codigo], "")</f>
        <v/>
      </c>
      <c r="O120" s="25"/>
      <c r="P120" s="25"/>
      <c r="Q120" s="39" t="str">
        <f>IF(CRUCE[[#This Row],[TOTAL2]]="", "PENDIENTE", IF(CRUCE[[#This Row],[DIFERENCIA2]]=0, "CUADRADO", IF(CRUCE[[#This Row],[DIFERENCIA2]]&gt;0, "SOBRANTE", "FALTANTE")))</f>
        <v>PENDIENTE</v>
      </c>
      <c r="R120" s="103" t="s">
        <v>5081</v>
      </c>
      <c r="S120" s="127" t="s">
        <v>5200</v>
      </c>
    </row>
    <row r="121" spans="1:19">
      <c r="A121" s="92" t="s">
        <v>5170</v>
      </c>
      <c r="B121" s="39" t="s">
        <v>4426</v>
      </c>
      <c r="C121" s="26"/>
      <c r="D121" s="35"/>
      <c r="E121" s="26"/>
      <c r="F121" s="26"/>
      <c r="G121" s="26"/>
      <c r="H121" s="39" t="str">
        <f>_xlfn.XLOOKUP(CRUCE[[#This Row],[Ubicacion]],Registros[Ubicacion],Registros[Codigo], "")</f>
        <v/>
      </c>
      <c r="I121" s="26" t="str">
        <f>_xlfn.XLOOKUP(CRUCE[[#This Row],[Ubicacion]],Registros[Ubicacion],Registros[Total], "")</f>
        <v/>
      </c>
      <c r="J121" s="26" t="str">
        <f>_xlfn.XLOOKUP(CRUCE[[#This Row],[Ubicacion]],Registros[Ubicacion],Registros[UMA], "")</f>
        <v/>
      </c>
      <c r="K121" s="39" t="str">
        <f>IF(CRUCE[[#This Row],[TOTAL]]="","",CRUCE[[#This Row],[TOTAL]]-CRUCE[[#This Row],[BULTOS]])</f>
        <v/>
      </c>
      <c r="L121" s="39" t="str">
        <f>IF(CRUCE[[#This Row],[TOTAL]]="", "PENDIENTE", IF(CRUCE[[#This Row],[Diferencia]]=0, "CUADRADO", IF(CRUCE[[#This Row],[Diferencia]]&gt;0, "SOBRANTE", "FALTANTE")))</f>
        <v>PENDIENTE</v>
      </c>
      <c r="M121" s="72" t="str">
        <f>IF(CRUCE[[#This Row],[Diferencia]]="","",IF(CRUCE[[#This Row],[Diferencia]]=0,"OK","RECONTEO"))</f>
        <v/>
      </c>
      <c r="N121" s="39" t="str">
        <f>_xlfn.XLOOKUP(CRUCE[[#This Row],[Ubicacion]],Registros[Ubicacion],Registros[Codigo], "")</f>
        <v/>
      </c>
      <c r="O121" s="26"/>
      <c r="P121" s="26"/>
      <c r="Q121" s="39" t="str">
        <f>IF(CRUCE[[#This Row],[TOTAL2]]="", "PENDIENTE", IF(CRUCE[[#This Row],[DIFERENCIA2]]=0, "CUADRADO", IF(CRUCE[[#This Row],[DIFERENCIA2]]&gt;0, "SOBRANTE", "FALTANTE")))</f>
        <v>PENDIENTE</v>
      </c>
      <c r="R121" s="102" t="s">
        <v>5081</v>
      </c>
      <c r="S121" s="127" t="s">
        <v>5201</v>
      </c>
    </row>
    <row r="122" spans="1:19">
      <c r="A122" s="93" t="s">
        <v>5170</v>
      </c>
      <c r="B122" s="38" t="s">
        <v>4428</v>
      </c>
      <c r="C122" s="25"/>
      <c r="D122" s="34"/>
      <c r="E122" s="25"/>
      <c r="F122" s="25"/>
      <c r="G122" s="25"/>
      <c r="H122" s="39" t="str">
        <f>_xlfn.XLOOKUP(CRUCE[[#This Row],[Ubicacion]],Registros[Ubicacion],Registros[Codigo], "")</f>
        <v/>
      </c>
      <c r="I122" s="25" t="str">
        <f>_xlfn.XLOOKUP(CRUCE[[#This Row],[Ubicacion]],Registros[Ubicacion],Registros[Total], "")</f>
        <v/>
      </c>
      <c r="J122" s="79" t="str">
        <f>_xlfn.XLOOKUP(CRUCE[[#This Row],[Ubicacion]],Registros[Ubicacion],Registros[UMA], "")</f>
        <v/>
      </c>
      <c r="K122" s="39" t="str">
        <f>IF(CRUCE[[#This Row],[TOTAL]]="","",CRUCE[[#This Row],[TOTAL]]-CRUCE[[#This Row],[BULTOS]])</f>
        <v/>
      </c>
      <c r="L122" s="38" t="str">
        <f>IF(CRUCE[[#This Row],[TOTAL]]="", "PENDIENTE", IF(CRUCE[[#This Row],[Diferencia]]=0, "CUADRADO", IF(CRUCE[[#This Row],[Diferencia]]&gt;0, "SOBRANTE", "FALTANTE")))</f>
        <v>PENDIENTE</v>
      </c>
      <c r="M122" s="71" t="str">
        <f>IF(CRUCE[[#This Row],[Diferencia]]="","",IF(CRUCE[[#This Row],[Diferencia]]=0,"OK","RECONTEO"))</f>
        <v/>
      </c>
      <c r="N122" s="39" t="str">
        <f>_xlfn.XLOOKUP(CRUCE[[#This Row],[Ubicacion]],Registros[Ubicacion],Registros[Codigo], "")</f>
        <v/>
      </c>
      <c r="O122" s="25"/>
      <c r="P122" s="25"/>
      <c r="Q122" s="39" t="str">
        <f>IF(CRUCE[[#This Row],[TOTAL2]]="", "PENDIENTE", IF(CRUCE[[#This Row],[DIFERENCIA2]]=0, "CUADRADO", IF(CRUCE[[#This Row],[DIFERENCIA2]]&gt;0, "SOBRANTE", "FALTANTE")))</f>
        <v>PENDIENTE</v>
      </c>
      <c r="R122" s="103" t="s">
        <v>5081</v>
      </c>
      <c r="S122" s="127" t="s">
        <v>5202</v>
      </c>
    </row>
    <row r="123" spans="1:19">
      <c r="A123" s="92" t="s">
        <v>5170</v>
      </c>
      <c r="B123" s="39" t="s">
        <v>4430</v>
      </c>
      <c r="C123" s="26"/>
      <c r="D123" s="35"/>
      <c r="E123" s="26"/>
      <c r="F123" s="26"/>
      <c r="G123" s="26"/>
      <c r="H123" s="39" t="str">
        <f>_xlfn.XLOOKUP(CRUCE[[#This Row],[Ubicacion]],Registros[Ubicacion],Registros[Codigo], "")</f>
        <v/>
      </c>
      <c r="I123" s="26" t="str">
        <f>_xlfn.XLOOKUP(CRUCE[[#This Row],[Ubicacion]],Registros[Ubicacion],Registros[Total], "")</f>
        <v/>
      </c>
      <c r="J123" s="26" t="str">
        <f>_xlfn.XLOOKUP(CRUCE[[#This Row],[Ubicacion]],Registros[Ubicacion],Registros[UMA], "")</f>
        <v/>
      </c>
      <c r="K123" s="39" t="str">
        <f>IF(CRUCE[[#This Row],[TOTAL]]="","",CRUCE[[#This Row],[TOTAL]]-CRUCE[[#This Row],[BULTOS]])</f>
        <v/>
      </c>
      <c r="L123" s="39" t="str">
        <f>IF(CRUCE[[#This Row],[TOTAL]]="", "PENDIENTE", IF(CRUCE[[#This Row],[Diferencia]]=0, "CUADRADO", IF(CRUCE[[#This Row],[Diferencia]]&gt;0, "SOBRANTE", "FALTANTE")))</f>
        <v>PENDIENTE</v>
      </c>
      <c r="M123" s="72" t="str">
        <f>IF(CRUCE[[#This Row],[Diferencia]]="","",IF(CRUCE[[#This Row],[Diferencia]]=0,"OK","RECONTEO"))</f>
        <v/>
      </c>
      <c r="N123" s="39" t="str">
        <f>_xlfn.XLOOKUP(CRUCE[[#This Row],[Ubicacion]],Registros[Ubicacion],Registros[Codigo], "")</f>
        <v/>
      </c>
      <c r="O123" s="26"/>
      <c r="P123" s="26"/>
      <c r="Q123" s="39" t="str">
        <f>IF(CRUCE[[#This Row],[TOTAL2]]="", "PENDIENTE", IF(CRUCE[[#This Row],[DIFERENCIA2]]=0, "CUADRADO", IF(CRUCE[[#This Row],[DIFERENCIA2]]&gt;0, "SOBRANTE", "FALTANTE")))</f>
        <v>PENDIENTE</v>
      </c>
      <c r="R123" s="102" t="s">
        <v>5081</v>
      </c>
      <c r="S123" s="127" t="s">
        <v>5203</v>
      </c>
    </row>
    <row r="124" spans="1:19">
      <c r="A124" s="93" t="s">
        <v>5170</v>
      </c>
      <c r="B124" s="38" t="s">
        <v>4432</v>
      </c>
      <c r="C124" s="25"/>
      <c r="D124" s="34"/>
      <c r="E124" s="25"/>
      <c r="F124" s="25"/>
      <c r="G124" s="25"/>
      <c r="H124" s="39" t="str">
        <f>_xlfn.XLOOKUP(CRUCE[[#This Row],[Ubicacion]],Registros[Ubicacion],Registros[Codigo], "")</f>
        <v/>
      </c>
      <c r="I124" s="25" t="str">
        <f>_xlfn.XLOOKUP(CRUCE[[#This Row],[Ubicacion]],Registros[Ubicacion],Registros[Total], "")</f>
        <v/>
      </c>
      <c r="J124" s="79" t="str">
        <f>_xlfn.XLOOKUP(CRUCE[[#This Row],[Ubicacion]],Registros[Ubicacion],Registros[UMA], "")</f>
        <v/>
      </c>
      <c r="K124" s="39" t="str">
        <f>IF(CRUCE[[#This Row],[TOTAL]]="","",CRUCE[[#This Row],[TOTAL]]-CRUCE[[#This Row],[BULTOS]])</f>
        <v/>
      </c>
      <c r="L124" s="38" t="str">
        <f>IF(CRUCE[[#This Row],[TOTAL]]="", "PENDIENTE", IF(CRUCE[[#This Row],[Diferencia]]=0, "CUADRADO", IF(CRUCE[[#This Row],[Diferencia]]&gt;0, "SOBRANTE", "FALTANTE")))</f>
        <v>PENDIENTE</v>
      </c>
      <c r="M124" s="71" t="str">
        <f>IF(CRUCE[[#This Row],[Diferencia]]="","",IF(CRUCE[[#This Row],[Diferencia]]=0,"OK","RECONTEO"))</f>
        <v/>
      </c>
      <c r="N124" s="39" t="str">
        <f>_xlfn.XLOOKUP(CRUCE[[#This Row],[Ubicacion]],Registros[Ubicacion],Registros[Codigo], "")</f>
        <v/>
      </c>
      <c r="O124" s="25"/>
      <c r="P124" s="25"/>
      <c r="Q124" s="39" t="str">
        <f>IF(CRUCE[[#This Row],[TOTAL2]]="", "PENDIENTE", IF(CRUCE[[#This Row],[DIFERENCIA2]]=0, "CUADRADO", IF(CRUCE[[#This Row],[DIFERENCIA2]]&gt;0, "SOBRANTE", "FALTANTE")))</f>
        <v>PENDIENTE</v>
      </c>
      <c r="R124" s="103" t="s">
        <v>5081</v>
      </c>
      <c r="S124" s="127" t="s">
        <v>5204</v>
      </c>
    </row>
    <row r="125" spans="1:19">
      <c r="A125" s="92" t="s">
        <v>5170</v>
      </c>
      <c r="B125" s="39" t="s">
        <v>4434</v>
      </c>
      <c r="C125" s="26"/>
      <c r="D125" s="35"/>
      <c r="E125" s="26"/>
      <c r="F125" s="26"/>
      <c r="G125" s="26"/>
      <c r="H125" s="39" t="str">
        <f>_xlfn.XLOOKUP(CRUCE[[#This Row],[Ubicacion]],Registros[Ubicacion],Registros[Codigo], "")</f>
        <v/>
      </c>
      <c r="I125" s="26" t="str">
        <f>_xlfn.XLOOKUP(CRUCE[[#This Row],[Ubicacion]],Registros[Ubicacion],Registros[Total], "")</f>
        <v/>
      </c>
      <c r="J125" s="26" t="str">
        <f>_xlfn.XLOOKUP(CRUCE[[#This Row],[Ubicacion]],Registros[Ubicacion],Registros[UMA], "")</f>
        <v/>
      </c>
      <c r="K125" s="39" t="str">
        <f>IF(CRUCE[[#This Row],[TOTAL]]="","",CRUCE[[#This Row],[TOTAL]]-CRUCE[[#This Row],[BULTOS]])</f>
        <v/>
      </c>
      <c r="L125" s="39" t="str">
        <f>IF(CRUCE[[#This Row],[TOTAL]]="", "PENDIENTE", IF(CRUCE[[#This Row],[Diferencia]]=0, "CUADRADO", IF(CRUCE[[#This Row],[Diferencia]]&gt;0, "SOBRANTE", "FALTANTE")))</f>
        <v>PENDIENTE</v>
      </c>
      <c r="M125" s="72" t="str">
        <f>IF(CRUCE[[#This Row],[Diferencia]]="","",IF(CRUCE[[#This Row],[Diferencia]]=0,"OK","RECONTEO"))</f>
        <v/>
      </c>
      <c r="N125" s="39" t="str">
        <f>_xlfn.XLOOKUP(CRUCE[[#This Row],[Ubicacion]],Registros[Ubicacion],Registros[Codigo], "")</f>
        <v/>
      </c>
      <c r="O125" s="26"/>
      <c r="P125" s="26"/>
      <c r="Q125" s="39" t="str">
        <f>IF(CRUCE[[#This Row],[TOTAL2]]="", "PENDIENTE", IF(CRUCE[[#This Row],[DIFERENCIA2]]=0, "CUADRADO", IF(CRUCE[[#This Row],[DIFERENCIA2]]&gt;0, "SOBRANTE", "FALTANTE")))</f>
        <v>PENDIENTE</v>
      </c>
      <c r="R125" s="102" t="s">
        <v>5081</v>
      </c>
      <c r="S125" s="127" t="s">
        <v>5205</v>
      </c>
    </row>
    <row r="126" spans="1:19">
      <c r="A126" s="93" t="s">
        <v>5170</v>
      </c>
      <c r="B126" s="38" t="s">
        <v>4436</v>
      </c>
      <c r="C126" s="25"/>
      <c r="D126" s="34"/>
      <c r="E126" s="25"/>
      <c r="F126" s="25"/>
      <c r="G126" s="25"/>
      <c r="H126" s="39" t="str">
        <f>_xlfn.XLOOKUP(CRUCE[[#This Row],[Ubicacion]],Registros[Ubicacion],Registros[Codigo], "")</f>
        <v/>
      </c>
      <c r="I126" s="25" t="str">
        <f>_xlfn.XLOOKUP(CRUCE[[#This Row],[Ubicacion]],Registros[Ubicacion],Registros[Total], "")</f>
        <v/>
      </c>
      <c r="J126" s="79" t="str">
        <f>_xlfn.XLOOKUP(CRUCE[[#This Row],[Ubicacion]],Registros[Ubicacion],Registros[UMA], "")</f>
        <v/>
      </c>
      <c r="K126" s="39" t="str">
        <f>IF(CRUCE[[#This Row],[TOTAL]]="","",CRUCE[[#This Row],[TOTAL]]-CRUCE[[#This Row],[BULTOS]])</f>
        <v/>
      </c>
      <c r="L126" s="38" t="str">
        <f>IF(CRUCE[[#This Row],[TOTAL]]="", "PENDIENTE", IF(CRUCE[[#This Row],[Diferencia]]=0, "CUADRADO", IF(CRUCE[[#This Row],[Diferencia]]&gt;0, "SOBRANTE", "FALTANTE")))</f>
        <v>PENDIENTE</v>
      </c>
      <c r="M126" s="71" t="str">
        <f>IF(CRUCE[[#This Row],[Diferencia]]="","",IF(CRUCE[[#This Row],[Diferencia]]=0,"OK","RECONTEO"))</f>
        <v/>
      </c>
      <c r="N126" s="39" t="str">
        <f>_xlfn.XLOOKUP(CRUCE[[#This Row],[Ubicacion]],Registros[Ubicacion],Registros[Codigo], "")</f>
        <v/>
      </c>
      <c r="O126" s="25"/>
      <c r="P126" s="25"/>
      <c r="Q126" s="39" t="str">
        <f>IF(CRUCE[[#This Row],[TOTAL2]]="", "PENDIENTE", IF(CRUCE[[#This Row],[DIFERENCIA2]]=0, "CUADRADO", IF(CRUCE[[#This Row],[DIFERENCIA2]]&gt;0, "SOBRANTE", "FALTANTE")))</f>
        <v>PENDIENTE</v>
      </c>
      <c r="R126" s="103" t="s">
        <v>5081</v>
      </c>
      <c r="S126" s="127" t="s">
        <v>5206</v>
      </c>
    </row>
    <row r="127" spans="1:19">
      <c r="A127" s="92" t="s">
        <v>5170</v>
      </c>
      <c r="B127" s="39" t="s">
        <v>4438</v>
      </c>
      <c r="C127" s="26"/>
      <c r="D127" s="35"/>
      <c r="E127" s="26"/>
      <c r="F127" s="26"/>
      <c r="G127" s="26"/>
      <c r="H127" s="39" t="str">
        <f>_xlfn.XLOOKUP(CRUCE[[#This Row],[Ubicacion]],Registros[Ubicacion],Registros[Codigo], "")</f>
        <v/>
      </c>
      <c r="I127" s="26" t="str">
        <f>_xlfn.XLOOKUP(CRUCE[[#This Row],[Ubicacion]],Registros[Ubicacion],Registros[Total], "")</f>
        <v/>
      </c>
      <c r="J127" s="26" t="str">
        <f>_xlfn.XLOOKUP(CRUCE[[#This Row],[Ubicacion]],Registros[Ubicacion],Registros[UMA], "")</f>
        <v/>
      </c>
      <c r="K127" s="39" t="str">
        <f>IF(CRUCE[[#This Row],[TOTAL]]="","",CRUCE[[#This Row],[TOTAL]]-CRUCE[[#This Row],[BULTOS]])</f>
        <v/>
      </c>
      <c r="L127" s="39" t="str">
        <f>IF(CRUCE[[#This Row],[TOTAL]]="", "PENDIENTE", IF(CRUCE[[#This Row],[Diferencia]]=0, "CUADRADO", IF(CRUCE[[#This Row],[Diferencia]]&gt;0, "SOBRANTE", "FALTANTE")))</f>
        <v>PENDIENTE</v>
      </c>
      <c r="M127" s="72" t="str">
        <f>IF(CRUCE[[#This Row],[Diferencia]]="","",IF(CRUCE[[#This Row],[Diferencia]]=0,"OK","RECONTEO"))</f>
        <v/>
      </c>
      <c r="N127" s="39" t="str">
        <f>_xlfn.XLOOKUP(CRUCE[[#This Row],[Ubicacion]],Registros[Ubicacion],Registros[Codigo], "")</f>
        <v/>
      </c>
      <c r="O127" s="26"/>
      <c r="P127" s="26"/>
      <c r="Q127" s="39" t="str">
        <f>IF(CRUCE[[#This Row],[TOTAL2]]="", "PENDIENTE", IF(CRUCE[[#This Row],[DIFERENCIA2]]=0, "CUADRADO", IF(CRUCE[[#This Row],[DIFERENCIA2]]&gt;0, "SOBRANTE", "FALTANTE")))</f>
        <v>PENDIENTE</v>
      </c>
      <c r="R127" s="102" t="s">
        <v>5081</v>
      </c>
      <c r="S127" s="127" t="s">
        <v>5207</v>
      </c>
    </row>
    <row r="128" spans="1:19">
      <c r="A128" s="93" t="s">
        <v>5170</v>
      </c>
      <c r="B128" s="38" t="s">
        <v>4440</v>
      </c>
      <c r="C128" s="25"/>
      <c r="D128" s="34"/>
      <c r="E128" s="25"/>
      <c r="F128" s="25"/>
      <c r="G128" s="25"/>
      <c r="H128" s="39" t="str">
        <f>_xlfn.XLOOKUP(CRUCE[[#This Row],[Ubicacion]],Registros[Ubicacion],Registros[Codigo], "")</f>
        <v/>
      </c>
      <c r="I128" s="25" t="str">
        <f>_xlfn.XLOOKUP(CRUCE[[#This Row],[Ubicacion]],Registros[Ubicacion],Registros[Total], "")</f>
        <v/>
      </c>
      <c r="J128" s="79" t="str">
        <f>_xlfn.XLOOKUP(CRUCE[[#This Row],[Ubicacion]],Registros[Ubicacion],Registros[UMA], "")</f>
        <v/>
      </c>
      <c r="K128" s="39" t="str">
        <f>IF(CRUCE[[#This Row],[TOTAL]]="","",CRUCE[[#This Row],[TOTAL]]-CRUCE[[#This Row],[BULTOS]])</f>
        <v/>
      </c>
      <c r="L128" s="38" t="str">
        <f>IF(CRUCE[[#This Row],[TOTAL]]="", "PENDIENTE", IF(CRUCE[[#This Row],[Diferencia]]=0, "CUADRADO", IF(CRUCE[[#This Row],[Diferencia]]&gt;0, "SOBRANTE", "FALTANTE")))</f>
        <v>PENDIENTE</v>
      </c>
      <c r="M128" s="71" t="str">
        <f>IF(CRUCE[[#This Row],[Diferencia]]="","",IF(CRUCE[[#This Row],[Diferencia]]=0,"OK","RECONTEO"))</f>
        <v/>
      </c>
      <c r="N128" s="39" t="str">
        <f>_xlfn.XLOOKUP(CRUCE[[#This Row],[Ubicacion]],Registros[Ubicacion],Registros[Codigo], "")</f>
        <v/>
      </c>
      <c r="O128" s="25"/>
      <c r="P128" s="25"/>
      <c r="Q128" s="39" t="str">
        <f>IF(CRUCE[[#This Row],[TOTAL2]]="", "PENDIENTE", IF(CRUCE[[#This Row],[DIFERENCIA2]]=0, "CUADRADO", IF(CRUCE[[#This Row],[DIFERENCIA2]]&gt;0, "SOBRANTE", "FALTANTE")))</f>
        <v>PENDIENTE</v>
      </c>
      <c r="R128" s="103" t="s">
        <v>5081</v>
      </c>
      <c r="S128" s="127" t="s">
        <v>5208</v>
      </c>
    </row>
    <row r="129" spans="1:19">
      <c r="A129" s="92" t="s">
        <v>5170</v>
      </c>
      <c r="B129" s="39" t="s">
        <v>4442</v>
      </c>
      <c r="C129" s="26"/>
      <c r="D129" s="35"/>
      <c r="E129" s="26"/>
      <c r="F129" s="26"/>
      <c r="G129" s="26"/>
      <c r="H129" s="39" t="str">
        <f>_xlfn.XLOOKUP(CRUCE[[#This Row],[Ubicacion]],Registros[Ubicacion],Registros[Codigo], "")</f>
        <v/>
      </c>
      <c r="I129" s="26" t="str">
        <f>_xlfn.XLOOKUP(CRUCE[[#This Row],[Ubicacion]],Registros[Ubicacion],Registros[Total], "")</f>
        <v/>
      </c>
      <c r="J129" s="26" t="str">
        <f>_xlfn.XLOOKUP(CRUCE[[#This Row],[Ubicacion]],Registros[Ubicacion],Registros[UMA], "")</f>
        <v/>
      </c>
      <c r="K129" s="39" t="str">
        <f>IF(CRUCE[[#This Row],[TOTAL]]="","",CRUCE[[#This Row],[TOTAL]]-CRUCE[[#This Row],[BULTOS]])</f>
        <v/>
      </c>
      <c r="L129" s="39" t="str">
        <f>IF(CRUCE[[#This Row],[TOTAL]]="", "PENDIENTE", IF(CRUCE[[#This Row],[Diferencia]]=0, "CUADRADO", IF(CRUCE[[#This Row],[Diferencia]]&gt;0, "SOBRANTE", "FALTANTE")))</f>
        <v>PENDIENTE</v>
      </c>
      <c r="M129" s="72" t="str">
        <f>IF(CRUCE[[#This Row],[Diferencia]]="","",IF(CRUCE[[#This Row],[Diferencia]]=0,"OK","RECONTEO"))</f>
        <v/>
      </c>
      <c r="N129" s="39" t="str">
        <f>_xlfn.XLOOKUP(CRUCE[[#This Row],[Ubicacion]],Registros[Ubicacion],Registros[Codigo], "")</f>
        <v/>
      </c>
      <c r="O129" s="26"/>
      <c r="P129" s="26"/>
      <c r="Q129" s="39" t="str">
        <f>IF(CRUCE[[#This Row],[TOTAL2]]="", "PENDIENTE", IF(CRUCE[[#This Row],[DIFERENCIA2]]=0, "CUADRADO", IF(CRUCE[[#This Row],[DIFERENCIA2]]&gt;0, "SOBRANTE", "FALTANTE")))</f>
        <v>PENDIENTE</v>
      </c>
      <c r="R129" s="102" t="s">
        <v>5081</v>
      </c>
      <c r="S129" s="127" t="s">
        <v>5209</v>
      </c>
    </row>
    <row r="130" spans="1:19">
      <c r="A130" s="93" t="s">
        <v>5170</v>
      </c>
      <c r="B130" s="38" t="s">
        <v>4444</v>
      </c>
      <c r="C130" s="25"/>
      <c r="D130" s="34"/>
      <c r="E130" s="25"/>
      <c r="F130" s="25"/>
      <c r="G130" s="25"/>
      <c r="H130" s="39" t="str">
        <f>_xlfn.XLOOKUP(CRUCE[[#This Row],[Ubicacion]],Registros[Ubicacion],Registros[Codigo], "")</f>
        <v/>
      </c>
      <c r="I130" s="25" t="str">
        <f>_xlfn.XLOOKUP(CRUCE[[#This Row],[Ubicacion]],Registros[Ubicacion],Registros[Total], "")</f>
        <v/>
      </c>
      <c r="J130" s="79" t="str">
        <f>_xlfn.XLOOKUP(CRUCE[[#This Row],[Ubicacion]],Registros[Ubicacion],Registros[UMA], "")</f>
        <v/>
      </c>
      <c r="K130" s="39" t="str">
        <f>IF(CRUCE[[#This Row],[TOTAL]]="","",CRUCE[[#This Row],[TOTAL]]-CRUCE[[#This Row],[BULTOS]])</f>
        <v/>
      </c>
      <c r="L130" s="38" t="str">
        <f>IF(CRUCE[[#This Row],[TOTAL]]="", "PENDIENTE", IF(CRUCE[[#This Row],[Diferencia]]=0, "CUADRADO", IF(CRUCE[[#This Row],[Diferencia]]&gt;0, "SOBRANTE", "FALTANTE")))</f>
        <v>PENDIENTE</v>
      </c>
      <c r="M130" s="71" t="str">
        <f>IF(CRUCE[[#This Row],[Diferencia]]="","",IF(CRUCE[[#This Row],[Diferencia]]=0,"OK","RECONTEO"))</f>
        <v/>
      </c>
      <c r="N130" s="39" t="str">
        <f>_xlfn.XLOOKUP(CRUCE[[#This Row],[Ubicacion]],Registros[Ubicacion],Registros[Codigo], "")</f>
        <v/>
      </c>
      <c r="O130" s="25"/>
      <c r="P130" s="25"/>
      <c r="Q130" s="39" t="str">
        <f>IF(CRUCE[[#This Row],[TOTAL2]]="", "PENDIENTE", IF(CRUCE[[#This Row],[DIFERENCIA2]]=0, "CUADRADO", IF(CRUCE[[#This Row],[DIFERENCIA2]]&gt;0, "SOBRANTE", "FALTANTE")))</f>
        <v>PENDIENTE</v>
      </c>
      <c r="R130" s="103" t="s">
        <v>5081</v>
      </c>
      <c r="S130" s="127" t="s">
        <v>5210</v>
      </c>
    </row>
    <row r="131" spans="1:19">
      <c r="A131" s="92" t="s">
        <v>5170</v>
      </c>
      <c r="B131" s="39" t="s">
        <v>4446</v>
      </c>
      <c r="C131" s="26"/>
      <c r="D131" s="35"/>
      <c r="E131" s="26"/>
      <c r="F131" s="26"/>
      <c r="G131" s="26"/>
      <c r="H131" s="39" t="str">
        <f>_xlfn.XLOOKUP(CRUCE[[#This Row],[Ubicacion]],Registros[Ubicacion],Registros[Codigo], "")</f>
        <v/>
      </c>
      <c r="I131" s="26" t="str">
        <f>_xlfn.XLOOKUP(CRUCE[[#This Row],[Ubicacion]],Registros[Ubicacion],Registros[Total], "")</f>
        <v/>
      </c>
      <c r="J131" s="26" t="str">
        <f>_xlfn.XLOOKUP(CRUCE[[#This Row],[Ubicacion]],Registros[Ubicacion],Registros[UMA], "")</f>
        <v/>
      </c>
      <c r="K131" s="39" t="str">
        <f>IF(CRUCE[[#This Row],[TOTAL]]="","",CRUCE[[#This Row],[TOTAL]]-CRUCE[[#This Row],[BULTOS]])</f>
        <v/>
      </c>
      <c r="L131" s="39" t="str">
        <f>IF(CRUCE[[#This Row],[TOTAL]]="", "PENDIENTE", IF(CRUCE[[#This Row],[Diferencia]]=0, "CUADRADO", IF(CRUCE[[#This Row],[Diferencia]]&gt;0, "SOBRANTE", "FALTANTE")))</f>
        <v>PENDIENTE</v>
      </c>
      <c r="M131" s="72" t="str">
        <f>IF(CRUCE[[#This Row],[Diferencia]]="","",IF(CRUCE[[#This Row],[Diferencia]]=0,"OK","RECONTEO"))</f>
        <v/>
      </c>
      <c r="N131" s="39" t="str">
        <f>_xlfn.XLOOKUP(CRUCE[[#This Row],[Ubicacion]],Registros[Ubicacion],Registros[Codigo], "")</f>
        <v/>
      </c>
      <c r="O131" s="26"/>
      <c r="P131" s="26"/>
      <c r="Q131" s="39" t="str">
        <f>IF(CRUCE[[#This Row],[TOTAL2]]="", "PENDIENTE", IF(CRUCE[[#This Row],[DIFERENCIA2]]=0, "CUADRADO", IF(CRUCE[[#This Row],[DIFERENCIA2]]&gt;0, "SOBRANTE", "FALTANTE")))</f>
        <v>PENDIENTE</v>
      </c>
      <c r="R131" s="102" t="s">
        <v>5081</v>
      </c>
      <c r="S131" s="127" t="s">
        <v>5211</v>
      </c>
    </row>
    <row r="132" spans="1:19">
      <c r="A132" s="93" t="s">
        <v>5170</v>
      </c>
      <c r="B132" s="38" t="s">
        <v>4448</v>
      </c>
      <c r="C132" s="25"/>
      <c r="D132" s="34"/>
      <c r="E132" s="25"/>
      <c r="F132" s="25"/>
      <c r="G132" s="25"/>
      <c r="H132" s="39" t="str">
        <f>_xlfn.XLOOKUP(CRUCE[[#This Row],[Ubicacion]],Registros[Ubicacion],Registros[Codigo], "")</f>
        <v/>
      </c>
      <c r="I132" s="25" t="str">
        <f>_xlfn.XLOOKUP(CRUCE[[#This Row],[Ubicacion]],Registros[Ubicacion],Registros[Total], "")</f>
        <v/>
      </c>
      <c r="J132" s="79" t="str">
        <f>_xlfn.XLOOKUP(CRUCE[[#This Row],[Ubicacion]],Registros[Ubicacion],Registros[UMA], "")</f>
        <v/>
      </c>
      <c r="K132" s="39" t="str">
        <f>IF(CRUCE[[#This Row],[TOTAL]]="","",CRUCE[[#This Row],[TOTAL]]-CRUCE[[#This Row],[BULTOS]])</f>
        <v/>
      </c>
      <c r="L132" s="38" t="str">
        <f>IF(CRUCE[[#This Row],[TOTAL]]="", "PENDIENTE", IF(CRUCE[[#This Row],[Diferencia]]=0, "CUADRADO", IF(CRUCE[[#This Row],[Diferencia]]&gt;0, "SOBRANTE", "FALTANTE")))</f>
        <v>PENDIENTE</v>
      </c>
      <c r="M132" s="71" t="str">
        <f>IF(CRUCE[[#This Row],[Diferencia]]="","",IF(CRUCE[[#This Row],[Diferencia]]=0,"OK","RECONTEO"))</f>
        <v/>
      </c>
      <c r="N132" s="39" t="str">
        <f>_xlfn.XLOOKUP(CRUCE[[#This Row],[Ubicacion]],Registros[Ubicacion],Registros[Codigo], "")</f>
        <v/>
      </c>
      <c r="O132" s="25"/>
      <c r="P132" s="25"/>
      <c r="Q132" s="39" t="str">
        <f>IF(CRUCE[[#This Row],[TOTAL2]]="", "PENDIENTE", IF(CRUCE[[#This Row],[DIFERENCIA2]]=0, "CUADRADO", IF(CRUCE[[#This Row],[DIFERENCIA2]]&gt;0, "SOBRANTE", "FALTANTE")))</f>
        <v>PENDIENTE</v>
      </c>
      <c r="R132" s="103" t="s">
        <v>5081</v>
      </c>
      <c r="S132" s="127" t="s">
        <v>5212</v>
      </c>
    </row>
    <row r="133" spans="1:19">
      <c r="A133" s="92" t="s">
        <v>5170</v>
      </c>
      <c r="B133" s="39" t="s">
        <v>4450</v>
      </c>
      <c r="C133" s="26"/>
      <c r="D133" s="35"/>
      <c r="E133" s="26"/>
      <c r="F133" s="26"/>
      <c r="G133" s="26"/>
      <c r="H133" s="39" t="str">
        <f>_xlfn.XLOOKUP(CRUCE[[#This Row],[Ubicacion]],Registros[Ubicacion],Registros[Codigo], "")</f>
        <v/>
      </c>
      <c r="I133" s="26" t="str">
        <f>_xlfn.XLOOKUP(CRUCE[[#This Row],[Ubicacion]],Registros[Ubicacion],Registros[Total], "")</f>
        <v/>
      </c>
      <c r="J133" s="26" t="str">
        <f>_xlfn.XLOOKUP(CRUCE[[#This Row],[Ubicacion]],Registros[Ubicacion],Registros[UMA], "")</f>
        <v/>
      </c>
      <c r="K133" s="39" t="str">
        <f>IF(CRUCE[[#This Row],[TOTAL]]="","",CRUCE[[#This Row],[TOTAL]]-CRUCE[[#This Row],[BULTOS]])</f>
        <v/>
      </c>
      <c r="L133" s="39" t="str">
        <f>IF(CRUCE[[#This Row],[TOTAL]]="", "PENDIENTE", IF(CRUCE[[#This Row],[Diferencia]]=0, "CUADRADO", IF(CRUCE[[#This Row],[Diferencia]]&gt;0, "SOBRANTE", "FALTANTE")))</f>
        <v>PENDIENTE</v>
      </c>
      <c r="M133" s="72" t="str">
        <f>IF(CRUCE[[#This Row],[Diferencia]]="","",IF(CRUCE[[#This Row],[Diferencia]]=0,"OK","RECONTEO"))</f>
        <v/>
      </c>
      <c r="N133" s="39" t="str">
        <f>_xlfn.XLOOKUP(CRUCE[[#This Row],[Ubicacion]],Registros[Ubicacion],Registros[Codigo], "")</f>
        <v/>
      </c>
      <c r="O133" s="26"/>
      <c r="P133" s="26"/>
      <c r="Q133" s="39" t="str">
        <f>IF(CRUCE[[#This Row],[TOTAL2]]="", "PENDIENTE", IF(CRUCE[[#This Row],[DIFERENCIA2]]=0, "CUADRADO", IF(CRUCE[[#This Row],[DIFERENCIA2]]&gt;0, "SOBRANTE", "FALTANTE")))</f>
        <v>PENDIENTE</v>
      </c>
      <c r="R133" s="102" t="s">
        <v>5081</v>
      </c>
      <c r="S133" s="127" t="s">
        <v>5213</v>
      </c>
    </row>
    <row r="134" spans="1:19">
      <c r="A134" s="93" t="s">
        <v>5170</v>
      </c>
      <c r="B134" s="38" t="s">
        <v>4452</v>
      </c>
      <c r="C134" s="25"/>
      <c r="D134" s="34"/>
      <c r="E134" s="25"/>
      <c r="F134" s="25"/>
      <c r="G134" s="25"/>
      <c r="H134" s="39" t="str">
        <f>_xlfn.XLOOKUP(CRUCE[[#This Row],[Ubicacion]],Registros[Ubicacion],Registros[Codigo], "")</f>
        <v/>
      </c>
      <c r="I134" s="25" t="str">
        <f>_xlfn.XLOOKUP(CRUCE[[#This Row],[Ubicacion]],Registros[Ubicacion],Registros[Total], "")</f>
        <v/>
      </c>
      <c r="J134" s="79" t="str">
        <f>_xlfn.XLOOKUP(CRUCE[[#This Row],[Ubicacion]],Registros[Ubicacion],Registros[UMA], "")</f>
        <v/>
      </c>
      <c r="K134" s="39" t="str">
        <f>IF(CRUCE[[#This Row],[TOTAL]]="","",CRUCE[[#This Row],[TOTAL]]-CRUCE[[#This Row],[BULTOS]])</f>
        <v/>
      </c>
      <c r="L134" s="38" t="str">
        <f>IF(CRUCE[[#This Row],[TOTAL]]="", "PENDIENTE", IF(CRUCE[[#This Row],[Diferencia]]=0, "CUADRADO", IF(CRUCE[[#This Row],[Diferencia]]&gt;0, "SOBRANTE", "FALTANTE")))</f>
        <v>PENDIENTE</v>
      </c>
      <c r="M134" s="71" t="str">
        <f>IF(CRUCE[[#This Row],[Diferencia]]="","",IF(CRUCE[[#This Row],[Diferencia]]=0,"OK","RECONTEO"))</f>
        <v/>
      </c>
      <c r="N134" s="39" t="str">
        <f>_xlfn.XLOOKUP(CRUCE[[#This Row],[Ubicacion]],Registros[Ubicacion],Registros[Codigo], "")</f>
        <v/>
      </c>
      <c r="O134" s="25"/>
      <c r="P134" s="25"/>
      <c r="Q134" s="39" t="str">
        <f>IF(CRUCE[[#This Row],[TOTAL2]]="", "PENDIENTE", IF(CRUCE[[#This Row],[DIFERENCIA2]]=0, "CUADRADO", IF(CRUCE[[#This Row],[DIFERENCIA2]]&gt;0, "SOBRANTE", "FALTANTE")))</f>
        <v>PENDIENTE</v>
      </c>
      <c r="R134" s="103" t="s">
        <v>5081</v>
      </c>
      <c r="S134" s="127" t="s">
        <v>5214</v>
      </c>
    </row>
    <row r="135" spans="1:19">
      <c r="A135" s="92" t="s">
        <v>5170</v>
      </c>
      <c r="B135" s="39" t="s">
        <v>4454</v>
      </c>
      <c r="C135" s="26"/>
      <c r="D135" s="35"/>
      <c r="E135" s="26"/>
      <c r="F135" s="26"/>
      <c r="G135" s="26"/>
      <c r="H135" s="39" t="str">
        <f>_xlfn.XLOOKUP(CRUCE[[#This Row],[Ubicacion]],Registros[Ubicacion],Registros[Codigo], "")</f>
        <v/>
      </c>
      <c r="I135" s="26" t="str">
        <f>_xlfn.XLOOKUP(CRUCE[[#This Row],[Ubicacion]],Registros[Ubicacion],Registros[Total], "")</f>
        <v/>
      </c>
      <c r="J135" s="26" t="str">
        <f>_xlfn.XLOOKUP(CRUCE[[#This Row],[Ubicacion]],Registros[Ubicacion],Registros[UMA], "")</f>
        <v/>
      </c>
      <c r="K135" s="39" t="str">
        <f>IF(CRUCE[[#This Row],[TOTAL]]="","",CRUCE[[#This Row],[TOTAL]]-CRUCE[[#This Row],[BULTOS]])</f>
        <v/>
      </c>
      <c r="L135" s="39" t="str">
        <f>IF(CRUCE[[#This Row],[TOTAL]]="", "PENDIENTE", IF(CRUCE[[#This Row],[Diferencia]]=0, "CUADRADO", IF(CRUCE[[#This Row],[Diferencia]]&gt;0, "SOBRANTE", "FALTANTE")))</f>
        <v>PENDIENTE</v>
      </c>
      <c r="M135" s="72" t="str">
        <f>IF(CRUCE[[#This Row],[Diferencia]]="","",IF(CRUCE[[#This Row],[Diferencia]]=0,"OK","RECONTEO"))</f>
        <v/>
      </c>
      <c r="N135" s="39" t="str">
        <f>_xlfn.XLOOKUP(CRUCE[[#This Row],[Ubicacion]],Registros[Ubicacion],Registros[Codigo], "")</f>
        <v/>
      </c>
      <c r="O135" s="26"/>
      <c r="P135" s="26"/>
      <c r="Q135" s="39" t="str">
        <f>IF(CRUCE[[#This Row],[TOTAL2]]="", "PENDIENTE", IF(CRUCE[[#This Row],[DIFERENCIA2]]=0, "CUADRADO", IF(CRUCE[[#This Row],[DIFERENCIA2]]&gt;0, "SOBRANTE", "FALTANTE")))</f>
        <v>PENDIENTE</v>
      </c>
      <c r="R135" s="102" t="s">
        <v>5081</v>
      </c>
      <c r="S135" s="127" t="s">
        <v>5215</v>
      </c>
    </row>
    <row r="136" spans="1:19">
      <c r="A136" s="93" t="s">
        <v>5170</v>
      </c>
      <c r="B136" s="38" t="s">
        <v>4456</v>
      </c>
      <c r="C136" s="25"/>
      <c r="D136" s="34"/>
      <c r="E136" s="25"/>
      <c r="F136" s="25"/>
      <c r="G136" s="25"/>
      <c r="H136" s="39" t="str">
        <f>_xlfn.XLOOKUP(CRUCE[[#This Row],[Ubicacion]],Registros[Ubicacion],Registros[Codigo], "")</f>
        <v/>
      </c>
      <c r="I136" s="25" t="str">
        <f>_xlfn.XLOOKUP(CRUCE[[#This Row],[Ubicacion]],Registros[Ubicacion],Registros[Total], "")</f>
        <v/>
      </c>
      <c r="J136" s="79" t="str">
        <f>_xlfn.XLOOKUP(CRUCE[[#This Row],[Ubicacion]],Registros[Ubicacion],Registros[UMA], "")</f>
        <v/>
      </c>
      <c r="K136" s="39" t="str">
        <f>IF(CRUCE[[#This Row],[TOTAL]]="","",CRUCE[[#This Row],[TOTAL]]-CRUCE[[#This Row],[BULTOS]])</f>
        <v/>
      </c>
      <c r="L136" s="38" t="str">
        <f>IF(CRUCE[[#This Row],[TOTAL]]="", "PENDIENTE", IF(CRUCE[[#This Row],[Diferencia]]=0, "CUADRADO", IF(CRUCE[[#This Row],[Diferencia]]&gt;0, "SOBRANTE", "FALTANTE")))</f>
        <v>PENDIENTE</v>
      </c>
      <c r="M136" s="71" t="str">
        <f>IF(CRUCE[[#This Row],[Diferencia]]="","",IF(CRUCE[[#This Row],[Diferencia]]=0,"OK","RECONTEO"))</f>
        <v/>
      </c>
      <c r="N136" s="39" t="str">
        <f>_xlfn.XLOOKUP(CRUCE[[#This Row],[Ubicacion]],Registros[Ubicacion],Registros[Codigo], "")</f>
        <v/>
      </c>
      <c r="O136" s="25"/>
      <c r="P136" s="25"/>
      <c r="Q136" s="39" t="str">
        <f>IF(CRUCE[[#This Row],[TOTAL2]]="", "PENDIENTE", IF(CRUCE[[#This Row],[DIFERENCIA2]]=0, "CUADRADO", IF(CRUCE[[#This Row],[DIFERENCIA2]]&gt;0, "SOBRANTE", "FALTANTE")))</f>
        <v>PENDIENTE</v>
      </c>
      <c r="R136" s="103" t="s">
        <v>5081</v>
      </c>
      <c r="S136" s="127" t="s">
        <v>5216</v>
      </c>
    </row>
    <row r="137" spans="1:19">
      <c r="A137" s="92" t="s">
        <v>5170</v>
      </c>
      <c r="B137" s="39" t="s">
        <v>4458</v>
      </c>
      <c r="C137" s="26"/>
      <c r="D137" s="35"/>
      <c r="E137" s="26"/>
      <c r="F137" s="26"/>
      <c r="G137" s="26"/>
      <c r="H137" s="39" t="str">
        <f>_xlfn.XLOOKUP(CRUCE[[#This Row],[Ubicacion]],Registros[Ubicacion],Registros[Codigo], "")</f>
        <v/>
      </c>
      <c r="I137" s="26" t="str">
        <f>_xlfn.XLOOKUP(CRUCE[[#This Row],[Ubicacion]],Registros[Ubicacion],Registros[Total], "")</f>
        <v/>
      </c>
      <c r="J137" s="26" t="str">
        <f>_xlfn.XLOOKUP(CRUCE[[#This Row],[Ubicacion]],Registros[Ubicacion],Registros[UMA], "")</f>
        <v/>
      </c>
      <c r="K137" s="39" t="str">
        <f>IF(CRUCE[[#This Row],[TOTAL]]="","",CRUCE[[#This Row],[TOTAL]]-CRUCE[[#This Row],[BULTOS]])</f>
        <v/>
      </c>
      <c r="L137" s="39" t="str">
        <f>IF(CRUCE[[#This Row],[TOTAL]]="", "PENDIENTE", IF(CRUCE[[#This Row],[Diferencia]]=0, "CUADRADO", IF(CRUCE[[#This Row],[Diferencia]]&gt;0, "SOBRANTE", "FALTANTE")))</f>
        <v>PENDIENTE</v>
      </c>
      <c r="M137" s="72" t="str">
        <f>IF(CRUCE[[#This Row],[Diferencia]]="","",IF(CRUCE[[#This Row],[Diferencia]]=0,"OK","RECONTEO"))</f>
        <v/>
      </c>
      <c r="N137" s="39" t="str">
        <f>_xlfn.XLOOKUP(CRUCE[[#This Row],[Ubicacion]],Registros[Ubicacion],Registros[Codigo], "")</f>
        <v/>
      </c>
      <c r="O137" s="26"/>
      <c r="P137" s="26"/>
      <c r="Q137" s="39" t="str">
        <f>IF(CRUCE[[#This Row],[TOTAL2]]="", "PENDIENTE", IF(CRUCE[[#This Row],[DIFERENCIA2]]=0, "CUADRADO", IF(CRUCE[[#This Row],[DIFERENCIA2]]&gt;0, "SOBRANTE", "FALTANTE")))</f>
        <v>PENDIENTE</v>
      </c>
      <c r="R137" s="102" t="s">
        <v>5081</v>
      </c>
      <c r="S137" s="127" t="s">
        <v>5217</v>
      </c>
    </row>
    <row r="138" spans="1:19">
      <c r="A138" s="93" t="s">
        <v>5170</v>
      </c>
      <c r="B138" s="38" t="s">
        <v>4460</v>
      </c>
      <c r="C138" s="25"/>
      <c r="D138" s="34"/>
      <c r="E138" s="25"/>
      <c r="F138" s="25"/>
      <c r="G138" s="25"/>
      <c r="H138" s="39" t="str">
        <f>_xlfn.XLOOKUP(CRUCE[[#This Row],[Ubicacion]],Registros[Ubicacion],Registros[Codigo], "")</f>
        <v/>
      </c>
      <c r="I138" s="25" t="str">
        <f>_xlfn.XLOOKUP(CRUCE[[#This Row],[Ubicacion]],Registros[Ubicacion],Registros[Total], "")</f>
        <v/>
      </c>
      <c r="J138" s="79" t="str">
        <f>_xlfn.XLOOKUP(CRUCE[[#This Row],[Ubicacion]],Registros[Ubicacion],Registros[UMA], "")</f>
        <v/>
      </c>
      <c r="K138" s="39" t="str">
        <f>IF(CRUCE[[#This Row],[TOTAL]]="","",CRUCE[[#This Row],[TOTAL]]-CRUCE[[#This Row],[BULTOS]])</f>
        <v/>
      </c>
      <c r="L138" s="38" t="str">
        <f>IF(CRUCE[[#This Row],[TOTAL]]="", "PENDIENTE", IF(CRUCE[[#This Row],[Diferencia]]=0, "CUADRADO", IF(CRUCE[[#This Row],[Diferencia]]&gt;0, "SOBRANTE", "FALTANTE")))</f>
        <v>PENDIENTE</v>
      </c>
      <c r="M138" s="71" t="str">
        <f>IF(CRUCE[[#This Row],[Diferencia]]="","",IF(CRUCE[[#This Row],[Diferencia]]=0,"OK","RECONTEO"))</f>
        <v/>
      </c>
      <c r="N138" s="39" t="str">
        <f>_xlfn.XLOOKUP(CRUCE[[#This Row],[Ubicacion]],Registros[Ubicacion],Registros[Codigo], "")</f>
        <v/>
      </c>
      <c r="O138" s="25"/>
      <c r="P138" s="25"/>
      <c r="Q138" s="39" t="str">
        <f>IF(CRUCE[[#This Row],[TOTAL2]]="", "PENDIENTE", IF(CRUCE[[#This Row],[DIFERENCIA2]]=0, "CUADRADO", IF(CRUCE[[#This Row],[DIFERENCIA2]]&gt;0, "SOBRANTE", "FALTANTE")))</f>
        <v>PENDIENTE</v>
      </c>
      <c r="R138" s="103" t="s">
        <v>5081</v>
      </c>
      <c r="S138" s="127" t="s">
        <v>5218</v>
      </c>
    </row>
    <row r="139" spans="1:19">
      <c r="A139" s="92" t="s">
        <v>5170</v>
      </c>
      <c r="B139" s="39" t="s">
        <v>4462</v>
      </c>
      <c r="C139" s="26"/>
      <c r="D139" s="35"/>
      <c r="E139" s="26"/>
      <c r="F139" s="26"/>
      <c r="G139" s="26"/>
      <c r="H139" s="39" t="str">
        <f>_xlfn.XLOOKUP(CRUCE[[#This Row],[Ubicacion]],Registros[Ubicacion],Registros[Codigo], "")</f>
        <v/>
      </c>
      <c r="I139" s="26" t="str">
        <f>_xlfn.XLOOKUP(CRUCE[[#This Row],[Ubicacion]],Registros[Ubicacion],Registros[Total], "")</f>
        <v/>
      </c>
      <c r="J139" s="26" t="str">
        <f>_xlfn.XLOOKUP(CRUCE[[#This Row],[Ubicacion]],Registros[Ubicacion],Registros[UMA], "")</f>
        <v/>
      </c>
      <c r="K139" s="39" t="str">
        <f>IF(CRUCE[[#This Row],[TOTAL]]="","",CRUCE[[#This Row],[TOTAL]]-CRUCE[[#This Row],[BULTOS]])</f>
        <v/>
      </c>
      <c r="L139" s="39" t="str">
        <f>IF(CRUCE[[#This Row],[TOTAL]]="", "PENDIENTE", IF(CRUCE[[#This Row],[Diferencia]]=0, "CUADRADO", IF(CRUCE[[#This Row],[Diferencia]]&gt;0, "SOBRANTE", "FALTANTE")))</f>
        <v>PENDIENTE</v>
      </c>
      <c r="M139" s="72" t="str">
        <f>IF(CRUCE[[#This Row],[Diferencia]]="","",IF(CRUCE[[#This Row],[Diferencia]]=0,"OK","RECONTEO"))</f>
        <v/>
      </c>
      <c r="N139" s="39" t="str">
        <f>_xlfn.XLOOKUP(CRUCE[[#This Row],[Ubicacion]],Registros[Ubicacion],Registros[Codigo], "")</f>
        <v/>
      </c>
      <c r="O139" s="26"/>
      <c r="P139" s="26"/>
      <c r="Q139" s="39" t="str">
        <f>IF(CRUCE[[#This Row],[TOTAL2]]="", "PENDIENTE", IF(CRUCE[[#This Row],[DIFERENCIA2]]=0, "CUADRADO", IF(CRUCE[[#This Row],[DIFERENCIA2]]&gt;0, "SOBRANTE", "FALTANTE")))</f>
        <v>PENDIENTE</v>
      </c>
      <c r="R139" s="102" t="s">
        <v>5081</v>
      </c>
      <c r="S139" s="127" t="s">
        <v>5219</v>
      </c>
    </row>
    <row r="140" spans="1:19">
      <c r="A140" s="93" t="s">
        <v>5170</v>
      </c>
      <c r="B140" s="38" t="s">
        <v>4464</v>
      </c>
      <c r="C140" s="25"/>
      <c r="D140" s="34"/>
      <c r="E140" s="25"/>
      <c r="F140" s="25"/>
      <c r="G140" s="25"/>
      <c r="H140" s="39" t="str">
        <f>_xlfn.XLOOKUP(CRUCE[[#This Row],[Ubicacion]],Registros[Ubicacion],Registros[Codigo], "")</f>
        <v/>
      </c>
      <c r="I140" s="25" t="str">
        <f>_xlfn.XLOOKUP(CRUCE[[#This Row],[Ubicacion]],Registros[Ubicacion],Registros[Total], "")</f>
        <v/>
      </c>
      <c r="J140" s="79" t="str">
        <f>_xlfn.XLOOKUP(CRUCE[[#This Row],[Ubicacion]],Registros[Ubicacion],Registros[UMA], "")</f>
        <v/>
      </c>
      <c r="K140" s="39" t="str">
        <f>IF(CRUCE[[#This Row],[TOTAL]]="","",CRUCE[[#This Row],[TOTAL]]-CRUCE[[#This Row],[BULTOS]])</f>
        <v/>
      </c>
      <c r="L140" s="38" t="str">
        <f>IF(CRUCE[[#This Row],[TOTAL]]="", "PENDIENTE", IF(CRUCE[[#This Row],[Diferencia]]=0, "CUADRADO", IF(CRUCE[[#This Row],[Diferencia]]&gt;0, "SOBRANTE", "FALTANTE")))</f>
        <v>PENDIENTE</v>
      </c>
      <c r="M140" s="71" t="str">
        <f>IF(CRUCE[[#This Row],[Diferencia]]="","",IF(CRUCE[[#This Row],[Diferencia]]=0,"OK","RECONTEO"))</f>
        <v/>
      </c>
      <c r="N140" s="39" t="str">
        <f>_xlfn.XLOOKUP(CRUCE[[#This Row],[Ubicacion]],Registros[Ubicacion],Registros[Codigo], "")</f>
        <v/>
      </c>
      <c r="O140" s="25"/>
      <c r="P140" s="25"/>
      <c r="Q140" s="39" t="str">
        <f>IF(CRUCE[[#This Row],[TOTAL2]]="", "PENDIENTE", IF(CRUCE[[#This Row],[DIFERENCIA2]]=0, "CUADRADO", IF(CRUCE[[#This Row],[DIFERENCIA2]]&gt;0, "SOBRANTE", "FALTANTE")))</f>
        <v>PENDIENTE</v>
      </c>
      <c r="R140" s="103" t="s">
        <v>5081</v>
      </c>
      <c r="S140" s="127" t="s">
        <v>5220</v>
      </c>
    </row>
    <row r="141" spans="1:19">
      <c r="A141" s="92" t="s">
        <v>5170</v>
      </c>
      <c r="B141" s="39" t="s">
        <v>4466</v>
      </c>
      <c r="C141" s="26"/>
      <c r="D141" s="35"/>
      <c r="E141" s="26"/>
      <c r="F141" s="26"/>
      <c r="G141" s="26"/>
      <c r="H141" s="39" t="str">
        <f>_xlfn.XLOOKUP(CRUCE[[#This Row],[Ubicacion]],Registros[Ubicacion],Registros[Codigo], "")</f>
        <v/>
      </c>
      <c r="I141" s="26" t="str">
        <f>_xlfn.XLOOKUP(CRUCE[[#This Row],[Ubicacion]],Registros[Ubicacion],Registros[Total], "")</f>
        <v/>
      </c>
      <c r="J141" s="26" t="str">
        <f>_xlfn.XLOOKUP(CRUCE[[#This Row],[Ubicacion]],Registros[Ubicacion],Registros[UMA], "")</f>
        <v/>
      </c>
      <c r="K141" s="39" t="str">
        <f>IF(CRUCE[[#This Row],[TOTAL]]="","",CRUCE[[#This Row],[TOTAL]]-CRUCE[[#This Row],[BULTOS]])</f>
        <v/>
      </c>
      <c r="L141" s="39" t="str">
        <f>IF(CRUCE[[#This Row],[TOTAL]]="", "PENDIENTE", IF(CRUCE[[#This Row],[Diferencia]]=0, "CUADRADO", IF(CRUCE[[#This Row],[Diferencia]]&gt;0, "SOBRANTE", "FALTANTE")))</f>
        <v>PENDIENTE</v>
      </c>
      <c r="M141" s="72" t="str">
        <f>IF(CRUCE[[#This Row],[Diferencia]]="","",IF(CRUCE[[#This Row],[Diferencia]]=0,"OK","RECONTEO"))</f>
        <v/>
      </c>
      <c r="N141" s="39" t="str">
        <f>_xlfn.XLOOKUP(CRUCE[[#This Row],[Ubicacion]],Registros[Ubicacion],Registros[Codigo], "")</f>
        <v/>
      </c>
      <c r="O141" s="26"/>
      <c r="P141" s="26"/>
      <c r="Q141" s="39" t="str">
        <f>IF(CRUCE[[#This Row],[TOTAL2]]="", "PENDIENTE", IF(CRUCE[[#This Row],[DIFERENCIA2]]=0, "CUADRADO", IF(CRUCE[[#This Row],[DIFERENCIA2]]&gt;0, "SOBRANTE", "FALTANTE")))</f>
        <v>PENDIENTE</v>
      </c>
      <c r="R141" s="102" t="s">
        <v>5081</v>
      </c>
      <c r="S141" s="127" t="s">
        <v>5221</v>
      </c>
    </row>
    <row r="142" spans="1:19">
      <c r="A142" s="93" t="s">
        <v>5222</v>
      </c>
      <c r="B142" s="38" t="s">
        <v>3134</v>
      </c>
      <c r="C142" s="38">
        <v>8300013</v>
      </c>
      <c r="D142" s="74">
        <v>7751851029292</v>
      </c>
      <c r="E142" s="38" t="s">
        <v>99</v>
      </c>
      <c r="F142" s="38">
        <v>19</v>
      </c>
      <c r="G142" s="38" t="s">
        <v>100</v>
      </c>
      <c r="H142" s="39" t="str">
        <f>_xlfn.XLOOKUP(CRUCE[[#This Row],[Ubicacion]],Registros[Ubicacion],Registros[Codigo], "")</f>
        <v/>
      </c>
      <c r="I142" s="25" t="str">
        <f>_xlfn.XLOOKUP(CRUCE[[#This Row],[Ubicacion]],Registros[Ubicacion],Registros[Total], "")</f>
        <v/>
      </c>
      <c r="J142" s="79" t="str">
        <f>_xlfn.XLOOKUP(CRUCE[[#This Row],[Ubicacion]],Registros[Ubicacion],Registros[UMA], "")</f>
        <v/>
      </c>
      <c r="K142" s="39" t="str">
        <f>IF(CRUCE[[#This Row],[TOTAL]]="","",CRUCE[[#This Row],[TOTAL]]-CRUCE[[#This Row],[BULTOS]])</f>
        <v/>
      </c>
      <c r="L142" s="38" t="str">
        <f>IF(CRUCE[[#This Row],[TOTAL]]="", "PENDIENTE", IF(CRUCE[[#This Row],[Diferencia]]=0, "CUADRADO", IF(CRUCE[[#This Row],[Diferencia]]&gt;0, "SOBRANTE", "FALTANTE")))</f>
        <v>PENDIENTE</v>
      </c>
      <c r="M142" s="71" t="str">
        <f>IF(CRUCE[[#This Row],[Diferencia]]="","",IF(CRUCE[[#This Row],[Diferencia]]=0,"OK","RECONTEO"))</f>
        <v/>
      </c>
      <c r="N142" s="39" t="str">
        <f>_xlfn.XLOOKUP(CRUCE[[#This Row],[Ubicacion]],Registros[Ubicacion],Registros[Codigo], "")</f>
        <v/>
      </c>
      <c r="O142" s="25"/>
      <c r="P142" s="25"/>
      <c r="Q142" s="39" t="str">
        <f>IF(CRUCE[[#This Row],[TOTAL2]]="", "PENDIENTE", IF(CRUCE[[#This Row],[DIFERENCIA2]]=0, "CUADRADO", IF(CRUCE[[#This Row],[DIFERENCIA2]]&gt;0, "SOBRANTE", "FALTANTE")))</f>
        <v>PENDIENTE</v>
      </c>
      <c r="R142" s="103" t="s">
        <v>5081</v>
      </c>
      <c r="S142" s="129" t="s">
        <v>5223</v>
      </c>
    </row>
    <row r="143" spans="1:19">
      <c r="A143" s="92" t="s">
        <v>5222</v>
      </c>
      <c r="B143" s="39" t="s">
        <v>3253</v>
      </c>
      <c r="C143" s="39">
        <v>8303047</v>
      </c>
      <c r="D143" s="73">
        <v>7751851028998</v>
      </c>
      <c r="E143" s="39" t="s">
        <v>318</v>
      </c>
      <c r="F143" s="39">
        <v>34</v>
      </c>
      <c r="G143" s="39" t="s">
        <v>100</v>
      </c>
      <c r="H143" s="39" t="str">
        <f>_xlfn.XLOOKUP(CRUCE[[#This Row],[Ubicacion]],Registros[Ubicacion],Registros[Codigo], "")</f>
        <v/>
      </c>
      <c r="I143" s="26" t="str">
        <f>_xlfn.XLOOKUP(CRUCE[[#This Row],[Ubicacion]],Registros[Ubicacion],Registros[Total], "")</f>
        <v/>
      </c>
      <c r="J143" s="26" t="str">
        <f>_xlfn.XLOOKUP(CRUCE[[#This Row],[Ubicacion]],Registros[Ubicacion],Registros[UMA], "")</f>
        <v/>
      </c>
      <c r="K143" s="39" t="str">
        <f>IF(CRUCE[[#This Row],[TOTAL]]="","",CRUCE[[#This Row],[TOTAL]]-CRUCE[[#This Row],[BULTOS]])</f>
        <v/>
      </c>
      <c r="L143" s="39" t="str">
        <f>IF(CRUCE[[#This Row],[TOTAL]]="", "PENDIENTE", IF(CRUCE[[#This Row],[Diferencia]]=0, "CUADRADO", IF(CRUCE[[#This Row],[Diferencia]]&gt;0, "SOBRANTE", "FALTANTE")))</f>
        <v>PENDIENTE</v>
      </c>
      <c r="M143" s="72" t="str">
        <f>IF(CRUCE[[#This Row],[Diferencia]]="","",IF(CRUCE[[#This Row],[Diferencia]]=0,"OK","RECONTEO"))</f>
        <v/>
      </c>
      <c r="N143" s="39" t="str">
        <f>_xlfn.XLOOKUP(CRUCE[[#This Row],[Ubicacion]],Registros[Ubicacion],Registros[Codigo], "")</f>
        <v/>
      </c>
      <c r="O143" s="26"/>
      <c r="P143" s="26"/>
      <c r="Q143" s="39" t="str">
        <f>IF(CRUCE[[#This Row],[TOTAL2]]="", "PENDIENTE", IF(CRUCE[[#This Row],[DIFERENCIA2]]=0, "CUADRADO", IF(CRUCE[[#This Row],[DIFERENCIA2]]&gt;0, "SOBRANTE", "FALTANTE")))</f>
        <v>PENDIENTE</v>
      </c>
      <c r="R143" s="102" t="s">
        <v>5081</v>
      </c>
      <c r="S143" s="127" t="s">
        <v>5224</v>
      </c>
    </row>
    <row r="144" spans="1:19">
      <c r="A144" s="93" t="s">
        <v>5222</v>
      </c>
      <c r="B144" s="38" t="s">
        <v>4076</v>
      </c>
      <c r="C144" s="38">
        <v>8414023</v>
      </c>
      <c r="D144" s="74">
        <v>7750243073486</v>
      </c>
      <c r="E144" s="38" t="s">
        <v>2688</v>
      </c>
      <c r="F144" s="38">
        <v>29</v>
      </c>
      <c r="G144" s="38" t="s">
        <v>100</v>
      </c>
      <c r="H144" s="39" t="str">
        <f>_xlfn.XLOOKUP(CRUCE[[#This Row],[Ubicacion]],Registros[Ubicacion],Registros[Codigo], "")</f>
        <v/>
      </c>
      <c r="I144" s="25" t="str">
        <f>_xlfn.XLOOKUP(CRUCE[[#This Row],[Ubicacion]],Registros[Ubicacion],Registros[Total], "")</f>
        <v/>
      </c>
      <c r="J144" s="79" t="str">
        <f>_xlfn.XLOOKUP(CRUCE[[#This Row],[Ubicacion]],Registros[Ubicacion],Registros[UMA], "")</f>
        <v/>
      </c>
      <c r="K144" s="39" t="str">
        <f>IF(CRUCE[[#This Row],[TOTAL]]="","",CRUCE[[#This Row],[TOTAL]]-CRUCE[[#This Row],[BULTOS]])</f>
        <v/>
      </c>
      <c r="L144" s="38" t="str">
        <f>IF(CRUCE[[#This Row],[TOTAL]]="", "PENDIENTE", IF(CRUCE[[#This Row],[Diferencia]]=0, "CUADRADO", IF(CRUCE[[#This Row],[Diferencia]]&gt;0, "SOBRANTE", "FALTANTE")))</f>
        <v>PENDIENTE</v>
      </c>
      <c r="M144" s="71" t="str">
        <f>IF(CRUCE[[#This Row],[Diferencia]]="","",IF(CRUCE[[#This Row],[Diferencia]]=0,"OK","RECONTEO"))</f>
        <v/>
      </c>
      <c r="N144" s="39" t="str">
        <f>_xlfn.XLOOKUP(CRUCE[[#This Row],[Ubicacion]],Registros[Ubicacion],Registros[Codigo], "")</f>
        <v/>
      </c>
      <c r="O144" s="25"/>
      <c r="P144" s="25"/>
      <c r="Q144" s="39" t="str">
        <f>IF(CRUCE[[#This Row],[TOTAL2]]="", "PENDIENTE", IF(CRUCE[[#This Row],[DIFERENCIA2]]=0, "CUADRADO", IF(CRUCE[[#This Row],[DIFERENCIA2]]&gt;0, "SOBRANTE", "FALTANTE")))</f>
        <v>PENDIENTE</v>
      </c>
      <c r="R144" s="103" t="s">
        <v>5081</v>
      </c>
      <c r="S144" s="127" t="s">
        <v>5225</v>
      </c>
    </row>
    <row r="145" spans="1:19">
      <c r="A145" s="92" t="s">
        <v>5222</v>
      </c>
      <c r="B145" s="39" t="s">
        <v>3227</v>
      </c>
      <c r="C145" s="39">
        <v>8303007</v>
      </c>
      <c r="D145" s="73">
        <v>17751851022016</v>
      </c>
      <c r="E145" s="39" t="s">
        <v>283</v>
      </c>
      <c r="F145" s="39">
        <v>7</v>
      </c>
      <c r="G145" s="39" t="s">
        <v>9</v>
      </c>
      <c r="H145" s="39" t="str">
        <f>_xlfn.XLOOKUP(CRUCE[[#This Row],[Ubicacion]],Registros[Ubicacion],Registros[Codigo], "")</f>
        <v/>
      </c>
      <c r="I145" s="26" t="str">
        <f>_xlfn.XLOOKUP(CRUCE[[#This Row],[Ubicacion]],Registros[Ubicacion],Registros[Total], "")</f>
        <v/>
      </c>
      <c r="J145" s="26" t="str">
        <f>_xlfn.XLOOKUP(CRUCE[[#This Row],[Ubicacion]],Registros[Ubicacion],Registros[UMA], "")</f>
        <v/>
      </c>
      <c r="K145" s="39" t="str">
        <f>IF(CRUCE[[#This Row],[TOTAL]]="","",CRUCE[[#This Row],[TOTAL]]-CRUCE[[#This Row],[BULTOS]])</f>
        <v/>
      </c>
      <c r="L145" s="39" t="str">
        <f>IF(CRUCE[[#This Row],[TOTAL]]="", "PENDIENTE", IF(CRUCE[[#This Row],[Diferencia]]=0, "CUADRADO", IF(CRUCE[[#This Row],[Diferencia]]&gt;0, "SOBRANTE", "FALTANTE")))</f>
        <v>PENDIENTE</v>
      </c>
      <c r="M145" s="72" t="str">
        <f>IF(CRUCE[[#This Row],[Diferencia]]="","",IF(CRUCE[[#This Row],[Diferencia]]=0,"OK","RECONTEO"))</f>
        <v/>
      </c>
      <c r="N145" s="39" t="str">
        <f>_xlfn.XLOOKUP(CRUCE[[#This Row],[Ubicacion]],Registros[Ubicacion],Registros[Codigo], "")</f>
        <v/>
      </c>
      <c r="O145" s="26"/>
      <c r="P145" s="26"/>
      <c r="Q145" s="39" t="str">
        <f>IF(CRUCE[[#This Row],[TOTAL2]]="", "PENDIENTE", IF(CRUCE[[#This Row],[DIFERENCIA2]]=0, "CUADRADO", IF(CRUCE[[#This Row],[DIFERENCIA2]]&gt;0, "SOBRANTE", "FALTANTE")))</f>
        <v>PENDIENTE</v>
      </c>
      <c r="R145" s="102" t="s">
        <v>5081</v>
      </c>
      <c r="S145" s="127" t="s">
        <v>5226</v>
      </c>
    </row>
    <row r="146" spans="1:19">
      <c r="A146" s="93" t="s">
        <v>5222</v>
      </c>
      <c r="B146" s="38" t="s">
        <v>3289</v>
      </c>
      <c r="C146" s="38">
        <v>8305191</v>
      </c>
      <c r="D146" s="74">
        <v>17750243080535</v>
      </c>
      <c r="E146" s="38" t="s">
        <v>418</v>
      </c>
      <c r="F146" s="38">
        <v>19</v>
      </c>
      <c r="G146" s="38" t="s">
        <v>9</v>
      </c>
      <c r="H146" s="39" t="str">
        <f>_xlfn.XLOOKUP(CRUCE[[#This Row],[Ubicacion]],Registros[Ubicacion],Registros[Codigo], "")</f>
        <v/>
      </c>
      <c r="I146" s="25" t="str">
        <f>_xlfn.XLOOKUP(CRUCE[[#This Row],[Ubicacion]],Registros[Ubicacion],Registros[Total], "")</f>
        <v/>
      </c>
      <c r="J146" s="79" t="str">
        <f>_xlfn.XLOOKUP(CRUCE[[#This Row],[Ubicacion]],Registros[Ubicacion],Registros[UMA], "")</f>
        <v/>
      </c>
      <c r="K146" s="39" t="str">
        <f>IF(CRUCE[[#This Row],[TOTAL]]="","",CRUCE[[#This Row],[TOTAL]]-CRUCE[[#This Row],[BULTOS]])</f>
        <v/>
      </c>
      <c r="L146" s="38" t="str">
        <f>IF(CRUCE[[#This Row],[TOTAL]]="", "PENDIENTE", IF(CRUCE[[#This Row],[Diferencia]]=0, "CUADRADO", IF(CRUCE[[#This Row],[Diferencia]]&gt;0, "SOBRANTE", "FALTANTE")))</f>
        <v>PENDIENTE</v>
      </c>
      <c r="M146" s="71" t="str">
        <f>IF(CRUCE[[#This Row],[Diferencia]]="","",IF(CRUCE[[#This Row],[Diferencia]]=0,"OK","RECONTEO"))</f>
        <v/>
      </c>
      <c r="N146" s="39" t="str">
        <f>_xlfn.XLOOKUP(CRUCE[[#This Row],[Ubicacion]],Registros[Ubicacion],Registros[Codigo], "")</f>
        <v/>
      </c>
      <c r="O146" s="25"/>
      <c r="P146" s="25"/>
      <c r="Q146" s="39" t="str">
        <f>IF(CRUCE[[#This Row],[TOTAL2]]="", "PENDIENTE", IF(CRUCE[[#This Row],[DIFERENCIA2]]=0, "CUADRADO", IF(CRUCE[[#This Row],[DIFERENCIA2]]&gt;0, "SOBRANTE", "FALTANTE")))</f>
        <v>PENDIENTE</v>
      </c>
      <c r="R146" s="103" t="s">
        <v>5081</v>
      </c>
      <c r="S146" s="127" t="s">
        <v>5227</v>
      </c>
    </row>
    <row r="147" spans="1:19">
      <c r="A147" s="92" t="s">
        <v>5222</v>
      </c>
      <c r="B147" s="39" t="s">
        <v>3292</v>
      </c>
      <c r="C147" s="39">
        <v>8305192</v>
      </c>
      <c r="D147" s="73">
        <v>17750243080542</v>
      </c>
      <c r="E147" s="39" t="s">
        <v>420</v>
      </c>
      <c r="F147" s="39">
        <v>10</v>
      </c>
      <c r="G147" s="39" t="s">
        <v>9</v>
      </c>
      <c r="H147" s="39" t="str">
        <f>_xlfn.XLOOKUP(CRUCE[[#This Row],[Ubicacion]],Registros[Ubicacion],Registros[Codigo], "")</f>
        <v/>
      </c>
      <c r="I147" s="26" t="str">
        <f>_xlfn.XLOOKUP(CRUCE[[#This Row],[Ubicacion]],Registros[Ubicacion],Registros[Total], "")</f>
        <v/>
      </c>
      <c r="J147" s="26" t="str">
        <f>_xlfn.XLOOKUP(CRUCE[[#This Row],[Ubicacion]],Registros[Ubicacion],Registros[UMA], "")</f>
        <v/>
      </c>
      <c r="K147" s="39" t="str">
        <f>IF(CRUCE[[#This Row],[TOTAL]]="","",CRUCE[[#This Row],[TOTAL]]-CRUCE[[#This Row],[BULTOS]])</f>
        <v/>
      </c>
      <c r="L147" s="39" t="str">
        <f>IF(CRUCE[[#This Row],[TOTAL]]="", "PENDIENTE", IF(CRUCE[[#This Row],[Diferencia]]=0, "CUADRADO", IF(CRUCE[[#This Row],[Diferencia]]&gt;0, "SOBRANTE", "FALTANTE")))</f>
        <v>PENDIENTE</v>
      </c>
      <c r="M147" s="72" t="str">
        <f>IF(CRUCE[[#This Row],[Diferencia]]="","",IF(CRUCE[[#This Row],[Diferencia]]=0,"OK","RECONTEO"))</f>
        <v/>
      </c>
      <c r="N147" s="39" t="str">
        <f>_xlfn.XLOOKUP(CRUCE[[#This Row],[Ubicacion]],Registros[Ubicacion],Registros[Codigo], "")</f>
        <v/>
      </c>
      <c r="O147" s="26"/>
      <c r="P147" s="26"/>
      <c r="Q147" s="39" t="str">
        <f>IF(CRUCE[[#This Row],[TOTAL2]]="", "PENDIENTE", IF(CRUCE[[#This Row],[DIFERENCIA2]]=0, "CUADRADO", IF(CRUCE[[#This Row],[DIFERENCIA2]]&gt;0, "SOBRANTE", "FALTANTE")))</f>
        <v>PENDIENTE</v>
      </c>
      <c r="R147" s="102" t="s">
        <v>5081</v>
      </c>
      <c r="S147" s="127" t="s">
        <v>5228</v>
      </c>
    </row>
    <row r="148" spans="1:19">
      <c r="A148" s="93" t="s">
        <v>5222</v>
      </c>
      <c r="B148" s="38" t="s">
        <v>3656</v>
      </c>
      <c r="C148" s="38">
        <v>8317173</v>
      </c>
      <c r="D148" s="74">
        <v>17750243077351</v>
      </c>
      <c r="E148" s="38" t="s">
        <v>1089</v>
      </c>
      <c r="F148" s="38">
        <v>27</v>
      </c>
      <c r="G148" s="38" t="s">
        <v>9</v>
      </c>
      <c r="H148" s="39" t="str">
        <f>_xlfn.XLOOKUP(CRUCE[[#This Row],[Ubicacion]],Registros[Ubicacion],Registros[Codigo], "")</f>
        <v/>
      </c>
      <c r="I148" s="25" t="str">
        <f>_xlfn.XLOOKUP(CRUCE[[#This Row],[Ubicacion]],Registros[Ubicacion],Registros[Total], "")</f>
        <v/>
      </c>
      <c r="J148" s="79" t="str">
        <f>_xlfn.XLOOKUP(CRUCE[[#This Row],[Ubicacion]],Registros[Ubicacion],Registros[UMA], "")</f>
        <v/>
      </c>
      <c r="K148" s="39" t="str">
        <f>IF(CRUCE[[#This Row],[TOTAL]]="","",CRUCE[[#This Row],[TOTAL]]-CRUCE[[#This Row],[BULTOS]])</f>
        <v/>
      </c>
      <c r="L148" s="38" t="str">
        <f>IF(CRUCE[[#This Row],[TOTAL]]="", "PENDIENTE", IF(CRUCE[[#This Row],[Diferencia]]=0, "CUADRADO", IF(CRUCE[[#This Row],[Diferencia]]&gt;0, "SOBRANTE", "FALTANTE")))</f>
        <v>PENDIENTE</v>
      </c>
      <c r="M148" s="71" t="str">
        <f>IF(CRUCE[[#This Row],[Diferencia]]="","",IF(CRUCE[[#This Row],[Diferencia]]=0,"OK","RECONTEO"))</f>
        <v/>
      </c>
      <c r="N148" s="39" t="str">
        <f>_xlfn.XLOOKUP(CRUCE[[#This Row],[Ubicacion]],Registros[Ubicacion],Registros[Codigo], "")</f>
        <v/>
      </c>
      <c r="O148" s="25"/>
      <c r="P148" s="25"/>
      <c r="Q148" s="39" t="str">
        <f>IF(CRUCE[[#This Row],[TOTAL2]]="", "PENDIENTE", IF(CRUCE[[#This Row],[DIFERENCIA2]]=0, "CUADRADO", IF(CRUCE[[#This Row],[DIFERENCIA2]]&gt;0, "SOBRANTE", "FALTANTE")))</f>
        <v>PENDIENTE</v>
      </c>
      <c r="R148" s="103" t="s">
        <v>5081</v>
      </c>
      <c r="S148" s="127" t="s">
        <v>5229</v>
      </c>
    </row>
    <row r="149" spans="1:19">
      <c r="A149" s="92" t="s">
        <v>5222</v>
      </c>
      <c r="B149" s="39" t="s">
        <v>3139</v>
      </c>
      <c r="C149" s="39">
        <v>8300041</v>
      </c>
      <c r="D149" s="73">
        <v>17750243060643</v>
      </c>
      <c r="E149" s="39" t="s">
        <v>113</v>
      </c>
      <c r="F149" s="39">
        <v>22</v>
      </c>
      <c r="G149" s="39" t="s">
        <v>9</v>
      </c>
      <c r="H149" s="39" t="str">
        <f>_xlfn.XLOOKUP(CRUCE[[#This Row],[Ubicacion]],Registros[Ubicacion],Registros[Codigo], "")</f>
        <v/>
      </c>
      <c r="I149" s="26" t="str">
        <f>_xlfn.XLOOKUP(CRUCE[[#This Row],[Ubicacion]],Registros[Ubicacion],Registros[Total], "")</f>
        <v/>
      </c>
      <c r="J149" s="26" t="str">
        <f>_xlfn.XLOOKUP(CRUCE[[#This Row],[Ubicacion]],Registros[Ubicacion],Registros[UMA], "")</f>
        <v/>
      </c>
      <c r="K149" s="39" t="str">
        <f>IF(CRUCE[[#This Row],[TOTAL]]="","",CRUCE[[#This Row],[TOTAL]]-CRUCE[[#This Row],[BULTOS]])</f>
        <v/>
      </c>
      <c r="L149" s="39" t="str">
        <f>IF(CRUCE[[#This Row],[TOTAL]]="", "PENDIENTE", IF(CRUCE[[#This Row],[Diferencia]]=0, "CUADRADO", IF(CRUCE[[#This Row],[Diferencia]]&gt;0, "SOBRANTE", "FALTANTE")))</f>
        <v>PENDIENTE</v>
      </c>
      <c r="M149" s="72" t="str">
        <f>IF(CRUCE[[#This Row],[Diferencia]]="","",IF(CRUCE[[#This Row],[Diferencia]]=0,"OK","RECONTEO"))</f>
        <v/>
      </c>
      <c r="N149" s="39" t="str">
        <f>_xlfn.XLOOKUP(CRUCE[[#This Row],[Ubicacion]],Registros[Ubicacion],Registros[Codigo], "")</f>
        <v/>
      </c>
      <c r="O149" s="26"/>
      <c r="P149" s="26"/>
      <c r="Q149" s="39" t="str">
        <f>IF(CRUCE[[#This Row],[TOTAL2]]="", "PENDIENTE", IF(CRUCE[[#This Row],[DIFERENCIA2]]=0, "CUADRADO", IF(CRUCE[[#This Row],[DIFERENCIA2]]&gt;0, "SOBRANTE", "FALTANTE")))</f>
        <v>PENDIENTE</v>
      </c>
      <c r="R149" s="102" t="s">
        <v>5081</v>
      </c>
      <c r="S149" s="127" t="s">
        <v>5230</v>
      </c>
    </row>
    <row r="150" spans="1:19">
      <c r="A150" s="93" t="s">
        <v>5222</v>
      </c>
      <c r="B150" s="38" t="s">
        <v>3279</v>
      </c>
      <c r="C150" s="38">
        <v>8304035</v>
      </c>
      <c r="D150" s="74">
        <v>17751851020302</v>
      </c>
      <c r="E150" s="38" t="s">
        <v>364</v>
      </c>
      <c r="F150" s="38">
        <v>15</v>
      </c>
      <c r="G150" s="38" t="s">
        <v>9</v>
      </c>
      <c r="H150" s="39" t="str">
        <f>_xlfn.XLOOKUP(CRUCE[[#This Row],[Ubicacion]],Registros[Ubicacion],Registros[Codigo], "")</f>
        <v/>
      </c>
      <c r="I150" s="25" t="str">
        <f>_xlfn.XLOOKUP(CRUCE[[#This Row],[Ubicacion]],Registros[Ubicacion],Registros[Total], "")</f>
        <v/>
      </c>
      <c r="J150" s="79" t="str">
        <f>_xlfn.XLOOKUP(CRUCE[[#This Row],[Ubicacion]],Registros[Ubicacion],Registros[UMA], "")</f>
        <v/>
      </c>
      <c r="K150" s="39" t="str">
        <f>IF(CRUCE[[#This Row],[TOTAL]]="","",CRUCE[[#This Row],[TOTAL]]-CRUCE[[#This Row],[BULTOS]])</f>
        <v/>
      </c>
      <c r="L150" s="38" t="str">
        <f>IF(CRUCE[[#This Row],[TOTAL]]="", "PENDIENTE", IF(CRUCE[[#This Row],[Diferencia]]=0, "CUADRADO", IF(CRUCE[[#This Row],[Diferencia]]&gt;0, "SOBRANTE", "FALTANTE")))</f>
        <v>PENDIENTE</v>
      </c>
      <c r="M150" s="71" t="str">
        <f>IF(CRUCE[[#This Row],[Diferencia]]="","",IF(CRUCE[[#This Row],[Diferencia]]=0,"OK","RECONTEO"))</f>
        <v/>
      </c>
      <c r="N150" s="39" t="str">
        <f>_xlfn.XLOOKUP(CRUCE[[#This Row],[Ubicacion]],Registros[Ubicacion],Registros[Codigo], "")</f>
        <v/>
      </c>
      <c r="O150" s="25"/>
      <c r="P150" s="25"/>
      <c r="Q150" s="39" t="str">
        <f>IF(CRUCE[[#This Row],[TOTAL2]]="", "PENDIENTE", IF(CRUCE[[#This Row],[DIFERENCIA2]]=0, "CUADRADO", IF(CRUCE[[#This Row],[DIFERENCIA2]]&gt;0, "SOBRANTE", "FALTANTE")))</f>
        <v>PENDIENTE</v>
      </c>
      <c r="R150" s="103" t="s">
        <v>5081</v>
      </c>
      <c r="S150" s="127" t="s">
        <v>5231</v>
      </c>
    </row>
    <row r="151" spans="1:19">
      <c r="A151" s="92" t="s">
        <v>5222</v>
      </c>
      <c r="B151" s="39" t="s">
        <v>3276</v>
      </c>
      <c r="C151" s="39">
        <v>8304034</v>
      </c>
      <c r="D151" s="73">
        <v>17751851020296</v>
      </c>
      <c r="E151" s="39" t="s">
        <v>362</v>
      </c>
      <c r="F151" s="39">
        <v>22</v>
      </c>
      <c r="G151" s="39" t="s">
        <v>9</v>
      </c>
      <c r="H151" s="39" t="str">
        <f>_xlfn.XLOOKUP(CRUCE[[#This Row],[Ubicacion]],Registros[Ubicacion],Registros[Codigo], "")</f>
        <v/>
      </c>
      <c r="I151" s="26" t="str">
        <f>_xlfn.XLOOKUP(CRUCE[[#This Row],[Ubicacion]],Registros[Ubicacion],Registros[Total], "")</f>
        <v/>
      </c>
      <c r="J151" s="26" t="str">
        <f>_xlfn.XLOOKUP(CRUCE[[#This Row],[Ubicacion]],Registros[Ubicacion],Registros[UMA], "")</f>
        <v/>
      </c>
      <c r="K151" s="39" t="str">
        <f>IF(CRUCE[[#This Row],[TOTAL]]="","",CRUCE[[#This Row],[TOTAL]]-CRUCE[[#This Row],[BULTOS]])</f>
        <v/>
      </c>
      <c r="L151" s="39" t="str">
        <f>IF(CRUCE[[#This Row],[TOTAL]]="", "PENDIENTE", IF(CRUCE[[#This Row],[Diferencia]]=0, "CUADRADO", IF(CRUCE[[#This Row],[Diferencia]]&gt;0, "SOBRANTE", "FALTANTE")))</f>
        <v>PENDIENTE</v>
      </c>
      <c r="M151" s="72" t="str">
        <f>IF(CRUCE[[#This Row],[Diferencia]]="","",IF(CRUCE[[#This Row],[Diferencia]]=0,"OK","RECONTEO"))</f>
        <v/>
      </c>
      <c r="N151" s="39" t="str">
        <f>_xlfn.XLOOKUP(CRUCE[[#This Row],[Ubicacion]],Registros[Ubicacion],Registros[Codigo], "")</f>
        <v/>
      </c>
      <c r="O151" s="26"/>
      <c r="P151" s="26"/>
      <c r="Q151" s="39" t="str">
        <f>IF(CRUCE[[#This Row],[TOTAL2]]="", "PENDIENTE", IF(CRUCE[[#This Row],[DIFERENCIA2]]=0, "CUADRADO", IF(CRUCE[[#This Row],[DIFERENCIA2]]&gt;0, "SOBRANTE", "FALTANTE")))</f>
        <v>PENDIENTE</v>
      </c>
      <c r="R151" s="102" t="s">
        <v>5081</v>
      </c>
      <c r="S151" s="127" t="s">
        <v>5232</v>
      </c>
    </row>
    <row r="152" spans="1:19">
      <c r="A152" s="93" t="s">
        <v>5222</v>
      </c>
      <c r="B152" s="38" t="s">
        <v>3273</v>
      </c>
      <c r="C152" s="38">
        <v>8304033</v>
      </c>
      <c r="D152" s="74">
        <v>17751851020289</v>
      </c>
      <c r="E152" s="38" t="s">
        <v>360</v>
      </c>
      <c r="F152" s="38">
        <v>22</v>
      </c>
      <c r="G152" s="38" t="s">
        <v>9</v>
      </c>
      <c r="H152" s="39" t="str">
        <f>_xlfn.XLOOKUP(CRUCE[[#This Row],[Ubicacion]],Registros[Ubicacion],Registros[Codigo], "")</f>
        <v/>
      </c>
      <c r="I152" s="25" t="str">
        <f>_xlfn.XLOOKUP(CRUCE[[#This Row],[Ubicacion]],Registros[Ubicacion],Registros[Total], "")</f>
        <v/>
      </c>
      <c r="J152" s="79" t="str">
        <f>_xlfn.XLOOKUP(CRUCE[[#This Row],[Ubicacion]],Registros[Ubicacion],Registros[UMA], "")</f>
        <v/>
      </c>
      <c r="K152" s="39" t="str">
        <f>IF(CRUCE[[#This Row],[TOTAL]]="","",CRUCE[[#This Row],[TOTAL]]-CRUCE[[#This Row],[BULTOS]])</f>
        <v/>
      </c>
      <c r="L152" s="38" t="str">
        <f>IF(CRUCE[[#This Row],[TOTAL]]="", "PENDIENTE", IF(CRUCE[[#This Row],[Diferencia]]=0, "CUADRADO", IF(CRUCE[[#This Row],[Diferencia]]&gt;0, "SOBRANTE", "FALTANTE")))</f>
        <v>PENDIENTE</v>
      </c>
      <c r="M152" s="71" t="str">
        <f>IF(CRUCE[[#This Row],[Diferencia]]="","",IF(CRUCE[[#This Row],[Diferencia]]=0,"OK","RECONTEO"))</f>
        <v/>
      </c>
      <c r="N152" s="39" t="str">
        <f>_xlfn.XLOOKUP(CRUCE[[#This Row],[Ubicacion]],Registros[Ubicacion],Registros[Codigo], "")</f>
        <v/>
      </c>
      <c r="O152" s="25"/>
      <c r="P152" s="25"/>
      <c r="Q152" s="39" t="str">
        <f>IF(CRUCE[[#This Row],[TOTAL2]]="", "PENDIENTE", IF(CRUCE[[#This Row],[DIFERENCIA2]]=0, "CUADRADO", IF(CRUCE[[#This Row],[DIFERENCIA2]]&gt;0, "SOBRANTE", "FALTANTE")))</f>
        <v>PENDIENTE</v>
      </c>
      <c r="R152" s="103" t="s">
        <v>5081</v>
      </c>
      <c r="S152" s="127" t="s">
        <v>5233</v>
      </c>
    </row>
    <row r="153" spans="1:19">
      <c r="A153" s="92" t="s">
        <v>5222</v>
      </c>
      <c r="B153" s="39" t="s">
        <v>3602</v>
      </c>
      <c r="C153" s="39">
        <v>8316108</v>
      </c>
      <c r="D153" s="73">
        <v>17750243077221</v>
      </c>
      <c r="E153" s="39" t="s">
        <v>949</v>
      </c>
      <c r="F153" s="39">
        <v>19</v>
      </c>
      <c r="G153" s="39" t="s">
        <v>9</v>
      </c>
      <c r="H153" s="39" t="str">
        <f>_xlfn.XLOOKUP(CRUCE[[#This Row],[Ubicacion]],Registros[Ubicacion],Registros[Codigo], "")</f>
        <v/>
      </c>
      <c r="I153" s="26" t="str">
        <f>_xlfn.XLOOKUP(CRUCE[[#This Row],[Ubicacion]],Registros[Ubicacion],Registros[Total], "")</f>
        <v/>
      </c>
      <c r="J153" s="26" t="str">
        <f>_xlfn.XLOOKUP(CRUCE[[#This Row],[Ubicacion]],Registros[Ubicacion],Registros[UMA], "")</f>
        <v/>
      </c>
      <c r="K153" s="39" t="str">
        <f>IF(CRUCE[[#This Row],[TOTAL]]="","",CRUCE[[#This Row],[TOTAL]]-CRUCE[[#This Row],[BULTOS]])</f>
        <v/>
      </c>
      <c r="L153" s="39" t="str">
        <f>IF(CRUCE[[#This Row],[TOTAL]]="", "PENDIENTE", IF(CRUCE[[#This Row],[Diferencia]]=0, "CUADRADO", IF(CRUCE[[#This Row],[Diferencia]]&gt;0, "SOBRANTE", "FALTANTE")))</f>
        <v>PENDIENTE</v>
      </c>
      <c r="M153" s="72" t="str">
        <f>IF(CRUCE[[#This Row],[Diferencia]]="","",IF(CRUCE[[#This Row],[Diferencia]]=0,"OK","RECONTEO"))</f>
        <v/>
      </c>
      <c r="N153" s="39" t="str">
        <f>_xlfn.XLOOKUP(CRUCE[[#This Row],[Ubicacion]],Registros[Ubicacion],Registros[Codigo], "")</f>
        <v/>
      </c>
      <c r="O153" s="26"/>
      <c r="P153" s="26"/>
      <c r="Q153" s="39" t="str">
        <f>IF(CRUCE[[#This Row],[TOTAL2]]="", "PENDIENTE", IF(CRUCE[[#This Row],[DIFERENCIA2]]=0, "CUADRADO", IF(CRUCE[[#This Row],[DIFERENCIA2]]&gt;0, "SOBRANTE", "FALTANTE")))</f>
        <v>PENDIENTE</v>
      </c>
      <c r="R153" s="102" t="s">
        <v>5081</v>
      </c>
      <c r="S153" s="127" t="s">
        <v>5234</v>
      </c>
    </row>
    <row r="154" spans="1:19">
      <c r="A154" s="93" t="s">
        <v>5222</v>
      </c>
      <c r="B154" s="38" t="s">
        <v>3600</v>
      </c>
      <c r="C154" s="38">
        <v>8316107</v>
      </c>
      <c r="D154" s="74">
        <v>17750243076750</v>
      </c>
      <c r="E154" s="38" t="s">
        <v>947</v>
      </c>
      <c r="F154" s="38">
        <v>2</v>
      </c>
      <c r="G154" s="38" t="s">
        <v>9</v>
      </c>
      <c r="H154" s="39" t="str">
        <f>_xlfn.XLOOKUP(CRUCE[[#This Row],[Ubicacion]],Registros[Ubicacion],Registros[Codigo], "")</f>
        <v/>
      </c>
      <c r="I154" s="25" t="str">
        <f>_xlfn.XLOOKUP(CRUCE[[#This Row],[Ubicacion]],Registros[Ubicacion],Registros[Total], "")</f>
        <v/>
      </c>
      <c r="J154" s="79" t="str">
        <f>_xlfn.XLOOKUP(CRUCE[[#This Row],[Ubicacion]],Registros[Ubicacion],Registros[UMA], "")</f>
        <v/>
      </c>
      <c r="K154" s="39" t="str">
        <f>IF(CRUCE[[#This Row],[TOTAL]]="","",CRUCE[[#This Row],[TOTAL]]-CRUCE[[#This Row],[BULTOS]])</f>
        <v/>
      </c>
      <c r="L154" s="38" t="str">
        <f>IF(CRUCE[[#This Row],[TOTAL]]="", "PENDIENTE", IF(CRUCE[[#This Row],[Diferencia]]=0, "CUADRADO", IF(CRUCE[[#This Row],[Diferencia]]&gt;0, "SOBRANTE", "FALTANTE")))</f>
        <v>PENDIENTE</v>
      </c>
      <c r="M154" s="71" t="str">
        <f>IF(CRUCE[[#This Row],[Diferencia]]="","",IF(CRUCE[[#This Row],[Diferencia]]=0,"OK","RECONTEO"))</f>
        <v/>
      </c>
      <c r="N154" s="39" t="str">
        <f>_xlfn.XLOOKUP(CRUCE[[#This Row],[Ubicacion]],Registros[Ubicacion],Registros[Codigo], "")</f>
        <v/>
      </c>
      <c r="O154" s="25"/>
      <c r="P154" s="25"/>
      <c r="Q154" s="39" t="str">
        <f>IF(CRUCE[[#This Row],[TOTAL2]]="", "PENDIENTE", IF(CRUCE[[#This Row],[DIFERENCIA2]]=0, "CUADRADO", IF(CRUCE[[#This Row],[DIFERENCIA2]]&gt;0, "SOBRANTE", "FALTANTE")))</f>
        <v>PENDIENTE</v>
      </c>
      <c r="R154" s="103" t="s">
        <v>5081</v>
      </c>
      <c r="S154" s="127" t="s">
        <v>5235</v>
      </c>
    </row>
    <row r="155" spans="1:19">
      <c r="A155" s="92" t="s">
        <v>5222</v>
      </c>
      <c r="B155" s="39" t="s">
        <v>3229</v>
      </c>
      <c r="C155" s="39">
        <v>8303008</v>
      </c>
      <c r="D155" s="73">
        <v>17751851022009</v>
      </c>
      <c r="E155" s="39" t="s">
        <v>285</v>
      </c>
      <c r="F155" s="39">
        <v>27</v>
      </c>
      <c r="G155" s="39" t="s">
        <v>9</v>
      </c>
      <c r="H155" s="39" t="str">
        <f>_xlfn.XLOOKUP(CRUCE[[#This Row],[Ubicacion]],Registros[Ubicacion],Registros[Codigo], "")</f>
        <v/>
      </c>
      <c r="I155" s="26" t="str">
        <f>_xlfn.XLOOKUP(CRUCE[[#This Row],[Ubicacion]],Registros[Ubicacion],Registros[Total], "")</f>
        <v/>
      </c>
      <c r="J155" s="26" t="str">
        <f>_xlfn.XLOOKUP(CRUCE[[#This Row],[Ubicacion]],Registros[Ubicacion],Registros[UMA], "")</f>
        <v/>
      </c>
      <c r="K155" s="39" t="str">
        <f>IF(CRUCE[[#This Row],[TOTAL]]="","",CRUCE[[#This Row],[TOTAL]]-CRUCE[[#This Row],[BULTOS]])</f>
        <v/>
      </c>
      <c r="L155" s="39" t="str">
        <f>IF(CRUCE[[#This Row],[TOTAL]]="", "PENDIENTE", IF(CRUCE[[#This Row],[Diferencia]]=0, "CUADRADO", IF(CRUCE[[#This Row],[Diferencia]]&gt;0, "SOBRANTE", "FALTANTE")))</f>
        <v>PENDIENTE</v>
      </c>
      <c r="M155" s="72" t="str">
        <f>IF(CRUCE[[#This Row],[Diferencia]]="","",IF(CRUCE[[#This Row],[Diferencia]]=0,"OK","RECONTEO"))</f>
        <v/>
      </c>
      <c r="N155" s="39" t="str">
        <f>_xlfn.XLOOKUP(CRUCE[[#This Row],[Ubicacion]],Registros[Ubicacion],Registros[Codigo], "")</f>
        <v/>
      </c>
      <c r="O155" s="26"/>
      <c r="P155" s="26"/>
      <c r="Q155" s="39" t="str">
        <f>IF(CRUCE[[#This Row],[TOTAL2]]="", "PENDIENTE", IF(CRUCE[[#This Row],[DIFERENCIA2]]=0, "CUADRADO", IF(CRUCE[[#This Row],[DIFERENCIA2]]&gt;0, "SOBRANTE", "FALTANTE")))</f>
        <v>PENDIENTE</v>
      </c>
      <c r="R155" s="102" t="s">
        <v>5081</v>
      </c>
      <c r="S155" s="127" t="s">
        <v>5236</v>
      </c>
    </row>
    <row r="156" spans="1:19">
      <c r="A156" s="93" t="s">
        <v>5222</v>
      </c>
      <c r="B156" s="38" t="s">
        <v>3558</v>
      </c>
      <c r="C156" s="38">
        <v>8315135</v>
      </c>
      <c r="D156" s="74">
        <v>17750243060681</v>
      </c>
      <c r="E156" s="38" t="s">
        <v>847</v>
      </c>
      <c r="F156" s="38">
        <v>7</v>
      </c>
      <c r="G156" s="38" t="s">
        <v>9</v>
      </c>
      <c r="H156" s="39" t="str">
        <f>_xlfn.XLOOKUP(CRUCE[[#This Row],[Ubicacion]],Registros[Ubicacion],Registros[Codigo], "")</f>
        <v/>
      </c>
      <c r="I156" s="25" t="str">
        <f>_xlfn.XLOOKUP(CRUCE[[#This Row],[Ubicacion]],Registros[Ubicacion],Registros[Total], "")</f>
        <v/>
      </c>
      <c r="J156" s="79" t="str">
        <f>_xlfn.XLOOKUP(CRUCE[[#This Row],[Ubicacion]],Registros[Ubicacion],Registros[UMA], "")</f>
        <v/>
      </c>
      <c r="K156" s="39" t="str">
        <f>IF(CRUCE[[#This Row],[TOTAL]]="","",CRUCE[[#This Row],[TOTAL]]-CRUCE[[#This Row],[BULTOS]])</f>
        <v/>
      </c>
      <c r="L156" s="38" t="str">
        <f>IF(CRUCE[[#This Row],[TOTAL]]="", "PENDIENTE", IF(CRUCE[[#This Row],[Diferencia]]=0, "CUADRADO", IF(CRUCE[[#This Row],[Diferencia]]&gt;0, "SOBRANTE", "FALTANTE")))</f>
        <v>PENDIENTE</v>
      </c>
      <c r="M156" s="71" t="str">
        <f>IF(CRUCE[[#This Row],[Diferencia]]="","",IF(CRUCE[[#This Row],[Diferencia]]=0,"OK","RECONTEO"))</f>
        <v/>
      </c>
      <c r="N156" s="39" t="str">
        <f>_xlfn.XLOOKUP(CRUCE[[#This Row],[Ubicacion]],Registros[Ubicacion],Registros[Codigo], "")</f>
        <v/>
      </c>
      <c r="O156" s="25"/>
      <c r="P156" s="25"/>
      <c r="Q156" s="39" t="str">
        <f>IF(CRUCE[[#This Row],[TOTAL2]]="", "PENDIENTE", IF(CRUCE[[#This Row],[DIFERENCIA2]]=0, "CUADRADO", IF(CRUCE[[#This Row],[DIFERENCIA2]]&gt;0, "SOBRANTE", "FALTANTE")))</f>
        <v>PENDIENTE</v>
      </c>
      <c r="R156" s="103" t="s">
        <v>5081</v>
      </c>
      <c r="S156" s="127" t="s">
        <v>5237</v>
      </c>
    </row>
    <row r="157" spans="1:19">
      <c r="A157" s="92" t="s">
        <v>5222</v>
      </c>
      <c r="B157" s="39" t="s">
        <v>4483</v>
      </c>
      <c r="C157" s="26"/>
      <c r="D157" s="35"/>
      <c r="E157" s="26"/>
      <c r="F157" s="26"/>
      <c r="G157" s="26"/>
      <c r="H157" s="39" t="str">
        <f>_xlfn.XLOOKUP(CRUCE[[#This Row],[Ubicacion]],Registros[Ubicacion],Registros[Codigo], "")</f>
        <v/>
      </c>
      <c r="I157" s="26" t="str">
        <f>_xlfn.XLOOKUP(CRUCE[[#This Row],[Ubicacion]],Registros[Ubicacion],Registros[Total], "")</f>
        <v/>
      </c>
      <c r="J157" s="26" t="str">
        <f>_xlfn.XLOOKUP(CRUCE[[#This Row],[Ubicacion]],Registros[Ubicacion],Registros[UMA], "")</f>
        <v/>
      </c>
      <c r="K157" s="39" t="str">
        <f>IF(CRUCE[[#This Row],[TOTAL]]="","",CRUCE[[#This Row],[TOTAL]]-CRUCE[[#This Row],[BULTOS]])</f>
        <v/>
      </c>
      <c r="L157" s="39" t="str">
        <f>IF(CRUCE[[#This Row],[TOTAL]]="", "PENDIENTE", IF(CRUCE[[#This Row],[Diferencia]]=0, "CUADRADO", IF(CRUCE[[#This Row],[Diferencia]]&gt;0, "SOBRANTE", "FALTANTE")))</f>
        <v>PENDIENTE</v>
      </c>
      <c r="M157" s="72" t="str">
        <f>IF(CRUCE[[#This Row],[Diferencia]]="","",IF(CRUCE[[#This Row],[Diferencia]]=0,"OK","RECONTEO"))</f>
        <v/>
      </c>
      <c r="N157" s="39" t="str">
        <f>_xlfn.XLOOKUP(CRUCE[[#This Row],[Ubicacion]],Registros[Ubicacion],Registros[Codigo], "")</f>
        <v/>
      </c>
      <c r="O157" s="26"/>
      <c r="P157" s="26"/>
      <c r="Q157" s="39" t="str">
        <f>IF(CRUCE[[#This Row],[TOTAL2]]="", "PENDIENTE", IF(CRUCE[[#This Row],[DIFERENCIA2]]=0, "CUADRADO", IF(CRUCE[[#This Row],[DIFERENCIA2]]&gt;0, "SOBRANTE", "FALTANTE")))</f>
        <v>PENDIENTE</v>
      </c>
      <c r="R157" s="102" t="s">
        <v>5081</v>
      </c>
      <c r="S157" s="127" t="s">
        <v>5238</v>
      </c>
    </row>
    <row r="158" spans="1:19">
      <c r="A158" s="93" t="s">
        <v>5222</v>
      </c>
      <c r="B158" s="38" t="s">
        <v>3652</v>
      </c>
      <c r="C158" s="38">
        <v>8317171</v>
      </c>
      <c r="D158" s="74">
        <v>17750243077337</v>
      </c>
      <c r="E158" s="38" t="s">
        <v>1085</v>
      </c>
      <c r="F158" s="38">
        <v>20</v>
      </c>
      <c r="G158" s="38" t="s">
        <v>9</v>
      </c>
      <c r="H158" s="39" t="str">
        <f>_xlfn.XLOOKUP(CRUCE[[#This Row],[Ubicacion]],Registros[Ubicacion],Registros[Codigo], "")</f>
        <v/>
      </c>
      <c r="I158" s="25" t="str">
        <f>_xlfn.XLOOKUP(CRUCE[[#This Row],[Ubicacion]],Registros[Ubicacion],Registros[Total], "")</f>
        <v/>
      </c>
      <c r="J158" s="79" t="str">
        <f>_xlfn.XLOOKUP(CRUCE[[#This Row],[Ubicacion]],Registros[Ubicacion],Registros[UMA], "")</f>
        <v/>
      </c>
      <c r="K158" s="39" t="str">
        <f>IF(CRUCE[[#This Row],[TOTAL]]="","",CRUCE[[#This Row],[TOTAL]]-CRUCE[[#This Row],[BULTOS]])</f>
        <v/>
      </c>
      <c r="L158" s="38" t="str">
        <f>IF(CRUCE[[#This Row],[TOTAL]]="", "PENDIENTE", IF(CRUCE[[#This Row],[Diferencia]]=0, "CUADRADO", IF(CRUCE[[#This Row],[Diferencia]]&gt;0, "SOBRANTE", "FALTANTE")))</f>
        <v>PENDIENTE</v>
      </c>
      <c r="M158" s="71" t="str">
        <f>IF(CRUCE[[#This Row],[Diferencia]]="","",IF(CRUCE[[#This Row],[Diferencia]]=0,"OK","RECONTEO"))</f>
        <v/>
      </c>
      <c r="N158" s="39" t="str">
        <f>_xlfn.XLOOKUP(CRUCE[[#This Row],[Ubicacion]],Registros[Ubicacion],Registros[Codigo], "")</f>
        <v/>
      </c>
      <c r="O158" s="25"/>
      <c r="P158" s="25"/>
      <c r="Q158" s="39" t="str">
        <f>IF(CRUCE[[#This Row],[TOTAL2]]="", "PENDIENTE", IF(CRUCE[[#This Row],[DIFERENCIA2]]=0, "CUADRADO", IF(CRUCE[[#This Row],[DIFERENCIA2]]&gt;0, "SOBRANTE", "FALTANTE")))</f>
        <v>PENDIENTE</v>
      </c>
      <c r="R158" s="103" t="s">
        <v>5081</v>
      </c>
      <c r="S158" s="127" t="s">
        <v>5239</v>
      </c>
    </row>
    <row r="159" spans="1:19">
      <c r="A159" s="92" t="s">
        <v>5222</v>
      </c>
      <c r="B159" s="39" t="s">
        <v>3659</v>
      </c>
      <c r="C159" s="39">
        <v>8317179</v>
      </c>
      <c r="D159" s="73">
        <v>17750243077412</v>
      </c>
      <c r="E159" s="39" t="s">
        <v>1093</v>
      </c>
      <c r="F159" s="39">
        <v>15</v>
      </c>
      <c r="G159" s="39" t="s">
        <v>9</v>
      </c>
      <c r="H159" s="39" t="str">
        <f>_xlfn.XLOOKUP(CRUCE[[#This Row],[Ubicacion]],Registros[Ubicacion],Registros[Codigo], "")</f>
        <v/>
      </c>
      <c r="I159" s="26" t="str">
        <f>_xlfn.XLOOKUP(CRUCE[[#This Row],[Ubicacion]],Registros[Ubicacion],Registros[Total], "")</f>
        <v/>
      </c>
      <c r="J159" s="26" t="str">
        <f>_xlfn.XLOOKUP(CRUCE[[#This Row],[Ubicacion]],Registros[Ubicacion],Registros[UMA], "")</f>
        <v/>
      </c>
      <c r="K159" s="39" t="str">
        <f>IF(CRUCE[[#This Row],[TOTAL]]="","",CRUCE[[#This Row],[TOTAL]]-CRUCE[[#This Row],[BULTOS]])</f>
        <v/>
      </c>
      <c r="L159" s="39" t="str">
        <f>IF(CRUCE[[#This Row],[TOTAL]]="", "PENDIENTE", IF(CRUCE[[#This Row],[Diferencia]]=0, "CUADRADO", IF(CRUCE[[#This Row],[Diferencia]]&gt;0, "SOBRANTE", "FALTANTE")))</f>
        <v>PENDIENTE</v>
      </c>
      <c r="M159" s="72" t="str">
        <f>IF(CRUCE[[#This Row],[Diferencia]]="","",IF(CRUCE[[#This Row],[Diferencia]]=0,"OK","RECONTEO"))</f>
        <v/>
      </c>
      <c r="N159" s="39" t="str">
        <f>_xlfn.XLOOKUP(CRUCE[[#This Row],[Ubicacion]],Registros[Ubicacion],Registros[Codigo], "")</f>
        <v/>
      </c>
      <c r="O159" s="26"/>
      <c r="P159" s="26"/>
      <c r="Q159" s="39" t="str">
        <f>IF(CRUCE[[#This Row],[TOTAL2]]="", "PENDIENTE", IF(CRUCE[[#This Row],[DIFERENCIA2]]=0, "CUADRADO", IF(CRUCE[[#This Row],[DIFERENCIA2]]&gt;0, "SOBRANTE", "FALTANTE")))</f>
        <v>PENDIENTE</v>
      </c>
      <c r="R159" s="102" t="s">
        <v>5081</v>
      </c>
      <c r="S159" s="127" t="s">
        <v>5240</v>
      </c>
    </row>
    <row r="160" spans="1:19">
      <c r="A160" s="93" t="s">
        <v>5222</v>
      </c>
      <c r="B160" s="38" t="s">
        <v>3650</v>
      </c>
      <c r="C160" s="38">
        <v>8317170</v>
      </c>
      <c r="D160" s="74">
        <v>17750243077320</v>
      </c>
      <c r="E160" s="38" t="s">
        <v>1083</v>
      </c>
      <c r="F160" s="38">
        <v>2</v>
      </c>
      <c r="G160" s="38" t="s">
        <v>9</v>
      </c>
      <c r="H160" s="39" t="str">
        <f>_xlfn.XLOOKUP(CRUCE[[#This Row],[Ubicacion]],Registros[Ubicacion],Registros[Codigo], "")</f>
        <v/>
      </c>
      <c r="I160" s="25" t="str">
        <f>_xlfn.XLOOKUP(CRUCE[[#This Row],[Ubicacion]],Registros[Ubicacion],Registros[Total], "")</f>
        <v/>
      </c>
      <c r="J160" s="79" t="str">
        <f>_xlfn.XLOOKUP(CRUCE[[#This Row],[Ubicacion]],Registros[Ubicacion],Registros[UMA], "")</f>
        <v/>
      </c>
      <c r="K160" s="39" t="str">
        <f>IF(CRUCE[[#This Row],[TOTAL]]="","",CRUCE[[#This Row],[TOTAL]]-CRUCE[[#This Row],[BULTOS]])</f>
        <v/>
      </c>
      <c r="L160" s="38" t="str">
        <f>IF(CRUCE[[#This Row],[TOTAL]]="", "PENDIENTE", IF(CRUCE[[#This Row],[Diferencia]]=0, "CUADRADO", IF(CRUCE[[#This Row],[Diferencia]]&gt;0, "SOBRANTE", "FALTANTE")))</f>
        <v>PENDIENTE</v>
      </c>
      <c r="M160" s="71" t="str">
        <f>IF(CRUCE[[#This Row],[Diferencia]]="","",IF(CRUCE[[#This Row],[Diferencia]]=0,"OK","RECONTEO"))</f>
        <v/>
      </c>
      <c r="N160" s="39" t="str">
        <f>_xlfn.XLOOKUP(CRUCE[[#This Row],[Ubicacion]],Registros[Ubicacion],Registros[Codigo], "")</f>
        <v/>
      </c>
      <c r="O160" s="25"/>
      <c r="P160" s="25"/>
      <c r="Q160" s="39" t="str">
        <f>IF(CRUCE[[#This Row],[TOTAL2]]="", "PENDIENTE", IF(CRUCE[[#This Row],[DIFERENCIA2]]=0, "CUADRADO", IF(CRUCE[[#This Row],[DIFERENCIA2]]&gt;0, "SOBRANTE", "FALTANTE")))</f>
        <v>PENDIENTE</v>
      </c>
      <c r="R160" s="103" t="s">
        <v>5081</v>
      </c>
      <c r="S160" s="127" t="s">
        <v>5241</v>
      </c>
    </row>
    <row r="161" spans="1:19">
      <c r="A161" s="92" t="s">
        <v>5222</v>
      </c>
      <c r="B161" s="39" t="s">
        <v>3654</v>
      </c>
      <c r="C161" s="39">
        <v>8317172</v>
      </c>
      <c r="D161" s="73">
        <v>17750243077344</v>
      </c>
      <c r="E161" s="39" t="s">
        <v>1087</v>
      </c>
      <c r="F161" s="39">
        <v>16</v>
      </c>
      <c r="G161" s="39" t="s">
        <v>9</v>
      </c>
      <c r="H161" s="39" t="str">
        <f>_xlfn.XLOOKUP(CRUCE[[#This Row],[Ubicacion]],Registros[Ubicacion],Registros[Codigo], "")</f>
        <v/>
      </c>
      <c r="I161" s="26" t="str">
        <f>_xlfn.XLOOKUP(CRUCE[[#This Row],[Ubicacion]],Registros[Ubicacion],Registros[Total], "")</f>
        <v/>
      </c>
      <c r="J161" s="26" t="str">
        <f>_xlfn.XLOOKUP(CRUCE[[#This Row],[Ubicacion]],Registros[Ubicacion],Registros[UMA], "")</f>
        <v/>
      </c>
      <c r="K161" s="39" t="str">
        <f>IF(CRUCE[[#This Row],[TOTAL]]="","",CRUCE[[#This Row],[TOTAL]]-CRUCE[[#This Row],[BULTOS]])</f>
        <v/>
      </c>
      <c r="L161" s="39" t="str">
        <f>IF(CRUCE[[#This Row],[TOTAL]]="", "PENDIENTE", IF(CRUCE[[#This Row],[Diferencia]]=0, "CUADRADO", IF(CRUCE[[#This Row],[Diferencia]]&gt;0, "SOBRANTE", "FALTANTE")))</f>
        <v>PENDIENTE</v>
      </c>
      <c r="M161" s="72" t="str">
        <f>IF(CRUCE[[#This Row],[Diferencia]]="","",IF(CRUCE[[#This Row],[Diferencia]]=0,"OK","RECONTEO"))</f>
        <v/>
      </c>
      <c r="N161" s="39" t="str">
        <f>_xlfn.XLOOKUP(CRUCE[[#This Row],[Ubicacion]],Registros[Ubicacion],Registros[Codigo], "")</f>
        <v/>
      </c>
      <c r="O161" s="26"/>
      <c r="P161" s="26"/>
      <c r="Q161" s="39" t="str">
        <f>IF(CRUCE[[#This Row],[TOTAL2]]="", "PENDIENTE", IF(CRUCE[[#This Row],[DIFERENCIA2]]=0, "CUADRADO", IF(CRUCE[[#This Row],[DIFERENCIA2]]&gt;0, "SOBRANTE", "FALTANTE")))</f>
        <v>PENDIENTE</v>
      </c>
      <c r="R161" s="102" t="s">
        <v>5081</v>
      </c>
      <c r="S161" s="127" t="s">
        <v>5242</v>
      </c>
    </row>
    <row r="162" spans="1:19">
      <c r="A162" s="93" t="s">
        <v>5222</v>
      </c>
      <c r="B162" s="38" t="s">
        <v>4489</v>
      </c>
      <c r="C162" s="25"/>
      <c r="D162" s="34"/>
      <c r="E162" s="25"/>
      <c r="F162" s="25"/>
      <c r="G162" s="25"/>
      <c r="H162" s="39" t="str">
        <f>_xlfn.XLOOKUP(CRUCE[[#This Row],[Ubicacion]],Registros[Ubicacion],Registros[Codigo], "")</f>
        <v/>
      </c>
      <c r="I162" s="25" t="str">
        <f>_xlfn.XLOOKUP(CRUCE[[#This Row],[Ubicacion]],Registros[Ubicacion],Registros[Total], "")</f>
        <v/>
      </c>
      <c r="J162" s="79" t="str">
        <f>_xlfn.XLOOKUP(CRUCE[[#This Row],[Ubicacion]],Registros[Ubicacion],Registros[UMA], "")</f>
        <v/>
      </c>
      <c r="K162" s="39" t="str">
        <f>IF(CRUCE[[#This Row],[TOTAL]]="","",CRUCE[[#This Row],[TOTAL]]-CRUCE[[#This Row],[BULTOS]])</f>
        <v/>
      </c>
      <c r="L162" s="38" t="str">
        <f>IF(CRUCE[[#This Row],[TOTAL]]="", "PENDIENTE", IF(CRUCE[[#This Row],[Diferencia]]=0, "CUADRADO", IF(CRUCE[[#This Row],[Diferencia]]&gt;0, "SOBRANTE", "FALTANTE")))</f>
        <v>PENDIENTE</v>
      </c>
      <c r="M162" s="71" t="str">
        <f>IF(CRUCE[[#This Row],[Diferencia]]="","",IF(CRUCE[[#This Row],[Diferencia]]=0,"OK","RECONTEO"))</f>
        <v/>
      </c>
      <c r="N162" s="39" t="str">
        <f>_xlfn.XLOOKUP(CRUCE[[#This Row],[Ubicacion]],Registros[Ubicacion],Registros[Codigo], "")</f>
        <v/>
      </c>
      <c r="O162" s="25"/>
      <c r="P162" s="25"/>
      <c r="Q162" s="39" t="str">
        <f>IF(CRUCE[[#This Row],[TOTAL2]]="", "PENDIENTE", IF(CRUCE[[#This Row],[DIFERENCIA2]]=0, "CUADRADO", IF(CRUCE[[#This Row],[DIFERENCIA2]]&gt;0, "SOBRANTE", "FALTANTE")))</f>
        <v>PENDIENTE</v>
      </c>
      <c r="R162" s="103" t="s">
        <v>5081</v>
      </c>
      <c r="S162" s="127" t="s">
        <v>5243</v>
      </c>
    </row>
    <row r="163" spans="1:19">
      <c r="A163" s="92" t="s">
        <v>5222</v>
      </c>
      <c r="B163" s="39" t="s">
        <v>4491</v>
      </c>
      <c r="C163" s="26"/>
      <c r="D163" s="35"/>
      <c r="E163" s="26"/>
      <c r="F163" s="26"/>
      <c r="G163" s="26"/>
      <c r="H163" s="39" t="str">
        <f>_xlfn.XLOOKUP(CRUCE[[#This Row],[Ubicacion]],Registros[Ubicacion],Registros[Codigo], "")</f>
        <v/>
      </c>
      <c r="I163" s="26" t="str">
        <f>_xlfn.XLOOKUP(CRUCE[[#This Row],[Ubicacion]],Registros[Ubicacion],Registros[Total], "")</f>
        <v/>
      </c>
      <c r="J163" s="26" t="str">
        <f>_xlfn.XLOOKUP(CRUCE[[#This Row],[Ubicacion]],Registros[Ubicacion],Registros[UMA], "")</f>
        <v/>
      </c>
      <c r="K163" s="39" t="str">
        <f>IF(CRUCE[[#This Row],[TOTAL]]="","",CRUCE[[#This Row],[TOTAL]]-CRUCE[[#This Row],[BULTOS]])</f>
        <v/>
      </c>
      <c r="L163" s="39" t="str">
        <f>IF(CRUCE[[#This Row],[TOTAL]]="", "PENDIENTE", IF(CRUCE[[#This Row],[Diferencia]]=0, "CUADRADO", IF(CRUCE[[#This Row],[Diferencia]]&gt;0, "SOBRANTE", "FALTANTE")))</f>
        <v>PENDIENTE</v>
      </c>
      <c r="M163" s="72" t="str">
        <f>IF(CRUCE[[#This Row],[Diferencia]]="","",IF(CRUCE[[#This Row],[Diferencia]]=0,"OK","RECONTEO"))</f>
        <v/>
      </c>
      <c r="N163" s="39" t="str">
        <f>_xlfn.XLOOKUP(CRUCE[[#This Row],[Ubicacion]],Registros[Ubicacion],Registros[Codigo], "")</f>
        <v/>
      </c>
      <c r="O163" s="26"/>
      <c r="P163" s="26"/>
      <c r="Q163" s="39" t="str">
        <f>IF(CRUCE[[#This Row],[TOTAL2]]="", "PENDIENTE", IF(CRUCE[[#This Row],[DIFERENCIA2]]=0, "CUADRADO", IF(CRUCE[[#This Row],[DIFERENCIA2]]&gt;0, "SOBRANTE", "FALTANTE")))</f>
        <v>PENDIENTE</v>
      </c>
      <c r="R163" s="102" t="s">
        <v>5081</v>
      </c>
      <c r="S163" s="127" t="s">
        <v>5244</v>
      </c>
    </row>
    <row r="164" spans="1:19">
      <c r="A164" s="93" t="s">
        <v>5222</v>
      </c>
      <c r="B164" s="38" t="s">
        <v>4493</v>
      </c>
      <c r="C164" s="25"/>
      <c r="D164" s="34"/>
      <c r="E164" s="25"/>
      <c r="F164" s="25"/>
      <c r="G164" s="25"/>
      <c r="H164" s="39" t="str">
        <f>_xlfn.XLOOKUP(CRUCE[[#This Row],[Ubicacion]],Registros[Ubicacion],Registros[Codigo], "")</f>
        <v/>
      </c>
      <c r="I164" s="25" t="str">
        <f>_xlfn.XLOOKUP(CRUCE[[#This Row],[Ubicacion]],Registros[Ubicacion],Registros[Total], "")</f>
        <v/>
      </c>
      <c r="J164" s="79" t="str">
        <f>_xlfn.XLOOKUP(CRUCE[[#This Row],[Ubicacion]],Registros[Ubicacion],Registros[UMA], "")</f>
        <v/>
      </c>
      <c r="K164" s="39" t="str">
        <f>IF(CRUCE[[#This Row],[TOTAL]]="","",CRUCE[[#This Row],[TOTAL]]-CRUCE[[#This Row],[BULTOS]])</f>
        <v/>
      </c>
      <c r="L164" s="38" t="str">
        <f>IF(CRUCE[[#This Row],[TOTAL]]="", "PENDIENTE", IF(CRUCE[[#This Row],[Diferencia]]=0, "CUADRADO", IF(CRUCE[[#This Row],[Diferencia]]&gt;0, "SOBRANTE", "FALTANTE")))</f>
        <v>PENDIENTE</v>
      </c>
      <c r="M164" s="71" t="str">
        <f>IF(CRUCE[[#This Row],[Diferencia]]="","",IF(CRUCE[[#This Row],[Diferencia]]=0,"OK","RECONTEO"))</f>
        <v/>
      </c>
      <c r="N164" s="39" t="str">
        <f>_xlfn.XLOOKUP(CRUCE[[#This Row],[Ubicacion]],Registros[Ubicacion],Registros[Codigo], "")</f>
        <v/>
      </c>
      <c r="O164" s="25"/>
      <c r="P164" s="25"/>
      <c r="Q164" s="39" t="str">
        <f>IF(CRUCE[[#This Row],[TOTAL2]]="", "PENDIENTE", IF(CRUCE[[#This Row],[DIFERENCIA2]]=0, "CUADRADO", IF(CRUCE[[#This Row],[DIFERENCIA2]]&gt;0, "SOBRANTE", "FALTANTE")))</f>
        <v>PENDIENTE</v>
      </c>
      <c r="R164" s="103" t="s">
        <v>5081</v>
      </c>
      <c r="S164" s="127" t="s">
        <v>5245</v>
      </c>
    </row>
    <row r="165" spans="1:19">
      <c r="A165" s="92" t="s">
        <v>5222</v>
      </c>
      <c r="B165" s="39" t="s">
        <v>4495</v>
      </c>
      <c r="C165" s="26"/>
      <c r="D165" s="35"/>
      <c r="E165" s="26"/>
      <c r="F165" s="26"/>
      <c r="G165" s="26"/>
      <c r="H165" s="39" t="str">
        <f>_xlfn.XLOOKUP(CRUCE[[#This Row],[Ubicacion]],Registros[Ubicacion],Registros[Codigo], "")</f>
        <v/>
      </c>
      <c r="I165" s="26" t="str">
        <f>_xlfn.XLOOKUP(CRUCE[[#This Row],[Ubicacion]],Registros[Ubicacion],Registros[Total], "")</f>
        <v/>
      </c>
      <c r="J165" s="26" t="str">
        <f>_xlfn.XLOOKUP(CRUCE[[#This Row],[Ubicacion]],Registros[Ubicacion],Registros[UMA], "")</f>
        <v/>
      </c>
      <c r="K165" s="39" t="str">
        <f>IF(CRUCE[[#This Row],[TOTAL]]="","",CRUCE[[#This Row],[TOTAL]]-CRUCE[[#This Row],[BULTOS]])</f>
        <v/>
      </c>
      <c r="L165" s="39" t="str">
        <f>IF(CRUCE[[#This Row],[TOTAL]]="", "PENDIENTE", IF(CRUCE[[#This Row],[Diferencia]]=0, "CUADRADO", IF(CRUCE[[#This Row],[Diferencia]]&gt;0, "SOBRANTE", "FALTANTE")))</f>
        <v>PENDIENTE</v>
      </c>
      <c r="M165" s="72" t="str">
        <f>IF(CRUCE[[#This Row],[Diferencia]]="","",IF(CRUCE[[#This Row],[Diferencia]]=0,"OK","RECONTEO"))</f>
        <v/>
      </c>
      <c r="N165" s="39" t="str">
        <f>_xlfn.XLOOKUP(CRUCE[[#This Row],[Ubicacion]],Registros[Ubicacion],Registros[Codigo], "")</f>
        <v/>
      </c>
      <c r="O165" s="26"/>
      <c r="P165" s="26"/>
      <c r="Q165" s="39" t="str">
        <f>IF(CRUCE[[#This Row],[TOTAL2]]="", "PENDIENTE", IF(CRUCE[[#This Row],[DIFERENCIA2]]=0, "CUADRADO", IF(CRUCE[[#This Row],[DIFERENCIA2]]&gt;0, "SOBRANTE", "FALTANTE")))</f>
        <v>PENDIENTE</v>
      </c>
      <c r="R165" s="102" t="s">
        <v>5081</v>
      </c>
      <c r="S165" s="127" t="s">
        <v>5246</v>
      </c>
    </row>
    <row r="166" spans="1:19">
      <c r="A166" s="93" t="s">
        <v>5222</v>
      </c>
      <c r="B166" s="38" t="s">
        <v>4497</v>
      </c>
      <c r="C166" s="25"/>
      <c r="D166" s="34"/>
      <c r="E166" s="25"/>
      <c r="F166" s="25"/>
      <c r="G166" s="25"/>
      <c r="H166" s="39" t="str">
        <f>_xlfn.XLOOKUP(CRUCE[[#This Row],[Ubicacion]],Registros[Ubicacion],Registros[Codigo], "")</f>
        <v/>
      </c>
      <c r="I166" s="25" t="str">
        <f>_xlfn.XLOOKUP(CRUCE[[#This Row],[Ubicacion]],Registros[Ubicacion],Registros[Total], "")</f>
        <v/>
      </c>
      <c r="J166" s="79" t="str">
        <f>_xlfn.XLOOKUP(CRUCE[[#This Row],[Ubicacion]],Registros[Ubicacion],Registros[UMA], "")</f>
        <v/>
      </c>
      <c r="K166" s="39" t="str">
        <f>IF(CRUCE[[#This Row],[TOTAL]]="","",CRUCE[[#This Row],[TOTAL]]-CRUCE[[#This Row],[BULTOS]])</f>
        <v/>
      </c>
      <c r="L166" s="38" t="str">
        <f>IF(CRUCE[[#This Row],[TOTAL]]="", "PENDIENTE", IF(CRUCE[[#This Row],[Diferencia]]=0, "CUADRADO", IF(CRUCE[[#This Row],[Diferencia]]&gt;0, "SOBRANTE", "FALTANTE")))</f>
        <v>PENDIENTE</v>
      </c>
      <c r="M166" s="71" t="str">
        <f>IF(CRUCE[[#This Row],[Diferencia]]="","",IF(CRUCE[[#This Row],[Diferencia]]=0,"OK","RECONTEO"))</f>
        <v/>
      </c>
      <c r="N166" s="39" t="str">
        <f>_xlfn.XLOOKUP(CRUCE[[#This Row],[Ubicacion]],Registros[Ubicacion],Registros[Codigo], "")</f>
        <v/>
      </c>
      <c r="O166" s="25"/>
      <c r="P166" s="25"/>
      <c r="Q166" s="39" t="str">
        <f>IF(CRUCE[[#This Row],[TOTAL2]]="", "PENDIENTE", IF(CRUCE[[#This Row],[DIFERENCIA2]]=0, "CUADRADO", IF(CRUCE[[#This Row],[DIFERENCIA2]]&gt;0, "SOBRANTE", "FALTANTE")))</f>
        <v>PENDIENTE</v>
      </c>
      <c r="R166" s="103" t="s">
        <v>5081</v>
      </c>
      <c r="S166" s="127" t="s">
        <v>5247</v>
      </c>
    </row>
    <row r="167" spans="1:19">
      <c r="A167" s="92" t="s">
        <v>5222</v>
      </c>
      <c r="B167" s="39" t="s">
        <v>3164</v>
      </c>
      <c r="C167" s="39">
        <v>8300117</v>
      </c>
      <c r="D167" s="73">
        <v>17750243082287</v>
      </c>
      <c r="E167" s="39" t="s">
        <v>167</v>
      </c>
      <c r="F167" s="39">
        <v>9</v>
      </c>
      <c r="G167" s="39" t="s">
        <v>9</v>
      </c>
      <c r="H167" s="39" t="str">
        <f>_xlfn.XLOOKUP(CRUCE[[#This Row],[Ubicacion]],Registros[Ubicacion],Registros[Codigo], "")</f>
        <v/>
      </c>
      <c r="I167" s="26" t="str">
        <f>_xlfn.XLOOKUP(CRUCE[[#This Row],[Ubicacion]],Registros[Ubicacion],Registros[Total], "")</f>
        <v/>
      </c>
      <c r="J167" s="26" t="str">
        <f>_xlfn.XLOOKUP(CRUCE[[#This Row],[Ubicacion]],Registros[Ubicacion],Registros[UMA], "")</f>
        <v/>
      </c>
      <c r="K167" s="39" t="str">
        <f>IF(CRUCE[[#This Row],[TOTAL]]="","",CRUCE[[#This Row],[TOTAL]]-CRUCE[[#This Row],[BULTOS]])</f>
        <v/>
      </c>
      <c r="L167" s="39" t="str">
        <f>IF(CRUCE[[#This Row],[TOTAL]]="", "PENDIENTE", IF(CRUCE[[#This Row],[Diferencia]]=0, "CUADRADO", IF(CRUCE[[#This Row],[Diferencia]]&gt;0, "SOBRANTE", "FALTANTE")))</f>
        <v>PENDIENTE</v>
      </c>
      <c r="M167" s="72" t="str">
        <f>IF(CRUCE[[#This Row],[Diferencia]]="","",IF(CRUCE[[#This Row],[Diferencia]]=0,"OK","RECONTEO"))</f>
        <v/>
      </c>
      <c r="N167" s="39" t="str">
        <f>_xlfn.XLOOKUP(CRUCE[[#This Row],[Ubicacion]],Registros[Ubicacion],Registros[Codigo], "")</f>
        <v/>
      </c>
      <c r="O167" s="26"/>
      <c r="P167" s="26"/>
      <c r="Q167" s="39" t="str">
        <f>IF(CRUCE[[#This Row],[TOTAL2]]="", "PENDIENTE", IF(CRUCE[[#This Row],[DIFERENCIA2]]=0, "CUADRADO", IF(CRUCE[[#This Row],[DIFERENCIA2]]&gt;0, "SOBRANTE", "FALTANTE")))</f>
        <v>PENDIENTE</v>
      </c>
      <c r="R167" s="102" t="s">
        <v>5081</v>
      </c>
      <c r="S167" s="127" t="s">
        <v>5248</v>
      </c>
    </row>
    <row r="168" spans="1:19">
      <c r="A168" s="93" t="s">
        <v>5222</v>
      </c>
      <c r="B168" s="38" t="s">
        <v>3168</v>
      </c>
      <c r="C168" s="38">
        <v>8300117</v>
      </c>
      <c r="D168" s="74">
        <v>17750243082287</v>
      </c>
      <c r="E168" s="38" t="s">
        <v>167</v>
      </c>
      <c r="F168" s="38">
        <v>9</v>
      </c>
      <c r="G168" s="38" t="s">
        <v>9</v>
      </c>
      <c r="H168" s="39" t="str">
        <f>_xlfn.XLOOKUP(CRUCE[[#This Row],[Ubicacion]],Registros[Ubicacion],Registros[Codigo], "")</f>
        <v/>
      </c>
      <c r="I168" s="25" t="str">
        <f>_xlfn.XLOOKUP(CRUCE[[#This Row],[Ubicacion]],Registros[Ubicacion],Registros[Total], "")</f>
        <v/>
      </c>
      <c r="J168" s="79" t="str">
        <f>_xlfn.XLOOKUP(CRUCE[[#This Row],[Ubicacion]],Registros[Ubicacion],Registros[UMA], "")</f>
        <v/>
      </c>
      <c r="K168" s="39" t="str">
        <f>IF(CRUCE[[#This Row],[TOTAL]]="","",CRUCE[[#This Row],[TOTAL]]-CRUCE[[#This Row],[BULTOS]])</f>
        <v/>
      </c>
      <c r="L168" s="38" t="str">
        <f>IF(CRUCE[[#This Row],[TOTAL]]="", "PENDIENTE", IF(CRUCE[[#This Row],[Diferencia]]=0, "CUADRADO", IF(CRUCE[[#This Row],[Diferencia]]&gt;0, "SOBRANTE", "FALTANTE")))</f>
        <v>PENDIENTE</v>
      </c>
      <c r="M168" s="71" t="str">
        <f>IF(CRUCE[[#This Row],[Diferencia]]="","",IF(CRUCE[[#This Row],[Diferencia]]=0,"OK","RECONTEO"))</f>
        <v/>
      </c>
      <c r="N168" s="39" t="str">
        <f>_xlfn.XLOOKUP(CRUCE[[#This Row],[Ubicacion]],Registros[Ubicacion],Registros[Codigo], "")</f>
        <v/>
      </c>
      <c r="O168" s="25"/>
      <c r="P168" s="25"/>
      <c r="Q168" s="39" t="str">
        <f>IF(CRUCE[[#This Row],[TOTAL2]]="", "PENDIENTE", IF(CRUCE[[#This Row],[DIFERENCIA2]]=0, "CUADRADO", IF(CRUCE[[#This Row],[DIFERENCIA2]]&gt;0, "SOBRANTE", "FALTANTE")))</f>
        <v>PENDIENTE</v>
      </c>
      <c r="R168" s="103" t="s">
        <v>5081</v>
      </c>
      <c r="S168" s="127" t="s">
        <v>5249</v>
      </c>
    </row>
    <row r="169" spans="1:19">
      <c r="A169" s="92" t="s">
        <v>5222</v>
      </c>
      <c r="B169" s="39" t="s">
        <v>4179</v>
      </c>
      <c r="C169" s="39">
        <v>9350416</v>
      </c>
      <c r="D169" s="73">
        <v>17750243083543</v>
      </c>
      <c r="E169" s="39" t="s">
        <v>3089</v>
      </c>
      <c r="F169" s="39">
        <v>3</v>
      </c>
      <c r="G169" s="39" t="s">
        <v>9</v>
      </c>
      <c r="H169" s="39" t="str">
        <f>_xlfn.XLOOKUP(CRUCE[[#This Row],[Ubicacion]],Registros[Ubicacion],Registros[Codigo], "")</f>
        <v/>
      </c>
      <c r="I169" s="26" t="str">
        <f>_xlfn.XLOOKUP(CRUCE[[#This Row],[Ubicacion]],Registros[Ubicacion],Registros[Total], "")</f>
        <v/>
      </c>
      <c r="J169" s="26" t="str">
        <f>_xlfn.XLOOKUP(CRUCE[[#This Row],[Ubicacion]],Registros[Ubicacion],Registros[UMA], "")</f>
        <v/>
      </c>
      <c r="K169" s="39" t="str">
        <f>IF(CRUCE[[#This Row],[TOTAL]]="","",CRUCE[[#This Row],[TOTAL]]-CRUCE[[#This Row],[BULTOS]])</f>
        <v/>
      </c>
      <c r="L169" s="39" t="str">
        <f>IF(CRUCE[[#This Row],[TOTAL]]="", "PENDIENTE", IF(CRUCE[[#This Row],[Diferencia]]=0, "CUADRADO", IF(CRUCE[[#This Row],[Diferencia]]&gt;0, "SOBRANTE", "FALTANTE")))</f>
        <v>PENDIENTE</v>
      </c>
      <c r="M169" s="72" t="str">
        <f>IF(CRUCE[[#This Row],[Diferencia]]="","",IF(CRUCE[[#This Row],[Diferencia]]=0,"OK","RECONTEO"))</f>
        <v/>
      </c>
      <c r="N169" s="39" t="str">
        <f>_xlfn.XLOOKUP(CRUCE[[#This Row],[Ubicacion]],Registros[Ubicacion],Registros[Codigo], "")</f>
        <v/>
      </c>
      <c r="O169" s="26"/>
      <c r="P169" s="26"/>
      <c r="Q169" s="39" t="str">
        <f>IF(CRUCE[[#This Row],[TOTAL2]]="", "PENDIENTE", IF(CRUCE[[#This Row],[DIFERENCIA2]]=0, "CUADRADO", IF(CRUCE[[#This Row],[DIFERENCIA2]]&gt;0, "SOBRANTE", "FALTANTE")))</f>
        <v>PENDIENTE</v>
      </c>
      <c r="R169" s="102" t="s">
        <v>5081</v>
      </c>
      <c r="S169" s="127" t="s">
        <v>5250</v>
      </c>
    </row>
    <row r="170" spans="1:19">
      <c r="A170" s="93" t="s">
        <v>5222</v>
      </c>
      <c r="B170" s="38" t="s">
        <v>4140</v>
      </c>
      <c r="C170" s="38">
        <v>9350382</v>
      </c>
      <c r="D170" s="74">
        <v>17750243059883</v>
      </c>
      <c r="E170" s="38" t="s">
        <v>3053</v>
      </c>
      <c r="F170" s="38">
        <v>7</v>
      </c>
      <c r="G170" s="38" t="s">
        <v>9</v>
      </c>
      <c r="H170" s="39" t="str">
        <f>_xlfn.XLOOKUP(CRUCE[[#This Row],[Ubicacion]],Registros[Ubicacion],Registros[Codigo], "")</f>
        <v/>
      </c>
      <c r="I170" s="25" t="str">
        <f>_xlfn.XLOOKUP(CRUCE[[#This Row],[Ubicacion]],Registros[Ubicacion],Registros[Total], "")</f>
        <v/>
      </c>
      <c r="J170" s="79" t="str">
        <f>_xlfn.XLOOKUP(CRUCE[[#This Row],[Ubicacion]],Registros[Ubicacion],Registros[UMA], "")</f>
        <v/>
      </c>
      <c r="K170" s="39" t="str">
        <f>IF(CRUCE[[#This Row],[TOTAL]]="","",CRUCE[[#This Row],[TOTAL]]-CRUCE[[#This Row],[BULTOS]])</f>
        <v/>
      </c>
      <c r="L170" s="38" t="str">
        <f>IF(CRUCE[[#This Row],[TOTAL]]="", "PENDIENTE", IF(CRUCE[[#This Row],[Diferencia]]=0, "CUADRADO", IF(CRUCE[[#This Row],[Diferencia]]&gt;0, "SOBRANTE", "FALTANTE")))</f>
        <v>PENDIENTE</v>
      </c>
      <c r="M170" s="71" t="str">
        <f>IF(CRUCE[[#This Row],[Diferencia]]="","",IF(CRUCE[[#This Row],[Diferencia]]=0,"OK","RECONTEO"))</f>
        <v/>
      </c>
      <c r="N170" s="39" t="str">
        <f>_xlfn.XLOOKUP(CRUCE[[#This Row],[Ubicacion]],Registros[Ubicacion],Registros[Codigo], "")</f>
        <v/>
      </c>
      <c r="O170" s="25"/>
      <c r="P170" s="25"/>
      <c r="Q170" s="39" t="str">
        <f>IF(CRUCE[[#This Row],[TOTAL2]]="", "PENDIENTE", IF(CRUCE[[#This Row],[DIFERENCIA2]]=0, "CUADRADO", IF(CRUCE[[#This Row],[DIFERENCIA2]]&gt;0, "SOBRANTE", "FALTANTE")))</f>
        <v>PENDIENTE</v>
      </c>
      <c r="R170" s="103" t="s">
        <v>5081</v>
      </c>
      <c r="S170" s="127" t="s">
        <v>5251</v>
      </c>
    </row>
    <row r="171" spans="1:19">
      <c r="A171" s="92" t="s">
        <v>5222</v>
      </c>
      <c r="B171" s="39" t="s">
        <v>4165</v>
      </c>
      <c r="C171" s="39">
        <v>9350411</v>
      </c>
      <c r="D171" s="73">
        <v>17750243083475</v>
      </c>
      <c r="E171" s="39" t="s">
        <v>3079</v>
      </c>
      <c r="F171" s="39">
        <v>7</v>
      </c>
      <c r="G171" s="39" t="s">
        <v>9</v>
      </c>
      <c r="H171" s="39" t="str">
        <f>_xlfn.XLOOKUP(CRUCE[[#This Row],[Ubicacion]],Registros[Ubicacion],Registros[Codigo], "")</f>
        <v/>
      </c>
      <c r="I171" s="26" t="str">
        <f>_xlfn.XLOOKUP(CRUCE[[#This Row],[Ubicacion]],Registros[Ubicacion],Registros[Total], "")</f>
        <v/>
      </c>
      <c r="J171" s="26" t="str">
        <f>_xlfn.XLOOKUP(CRUCE[[#This Row],[Ubicacion]],Registros[Ubicacion],Registros[UMA], "")</f>
        <v/>
      </c>
      <c r="K171" s="39" t="str">
        <f>IF(CRUCE[[#This Row],[TOTAL]]="","",CRUCE[[#This Row],[TOTAL]]-CRUCE[[#This Row],[BULTOS]])</f>
        <v/>
      </c>
      <c r="L171" s="39" t="str">
        <f>IF(CRUCE[[#This Row],[TOTAL]]="", "PENDIENTE", IF(CRUCE[[#This Row],[Diferencia]]=0, "CUADRADO", IF(CRUCE[[#This Row],[Diferencia]]&gt;0, "SOBRANTE", "FALTANTE")))</f>
        <v>PENDIENTE</v>
      </c>
      <c r="M171" s="72" t="str">
        <f>IF(CRUCE[[#This Row],[Diferencia]]="","",IF(CRUCE[[#This Row],[Diferencia]]=0,"OK","RECONTEO"))</f>
        <v/>
      </c>
      <c r="N171" s="39" t="str">
        <f>_xlfn.XLOOKUP(CRUCE[[#This Row],[Ubicacion]],Registros[Ubicacion],Registros[Codigo], "")</f>
        <v/>
      </c>
      <c r="O171" s="26"/>
      <c r="P171" s="26"/>
      <c r="Q171" s="39" t="str">
        <f>IF(CRUCE[[#This Row],[TOTAL2]]="", "PENDIENTE", IF(CRUCE[[#This Row],[DIFERENCIA2]]=0, "CUADRADO", IF(CRUCE[[#This Row],[DIFERENCIA2]]&gt;0, "SOBRANTE", "FALTANTE")))</f>
        <v>PENDIENTE</v>
      </c>
      <c r="R171" s="102" t="s">
        <v>5081</v>
      </c>
      <c r="S171" s="127" t="s">
        <v>5252</v>
      </c>
    </row>
    <row r="172" spans="1:19">
      <c r="A172" s="93" t="s">
        <v>5222</v>
      </c>
      <c r="B172" s="38" t="s">
        <v>4173</v>
      </c>
      <c r="C172" s="38">
        <v>9350414</v>
      </c>
      <c r="D172" s="74">
        <v>17750243083529</v>
      </c>
      <c r="E172" s="38" t="s">
        <v>3085</v>
      </c>
      <c r="F172" s="38">
        <v>22</v>
      </c>
      <c r="G172" s="38" t="s">
        <v>9</v>
      </c>
      <c r="H172" s="39" t="str">
        <f>_xlfn.XLOOKUP(CRUCE[[#This Row],[Ubicacion]],Registros[Ubicacion],Registros[Codigo], "")</f>
        <v/>
      </c>
      <c r="I172" s="25" t="str">
        <f>_xlfn.XLOOKUP(CRUCE[[#This Row],[Ubicacion]],Registros[Ubicacion],Registros[Total], "")</f>
        <v/>
      </c>
      <c r="J172" s="79" t="str">
        <f>_xlfn.XLOOKUP(CRUCE[[#This Row],[Ubicacion]],Registros[Ubicacion],Registros[UMA], "")</f>
        <v/>
      </c>
      <c r="K172" s="39" t="str">
        <f>IF(CRUCE[[#This Row],[TOTAL]]="","",CRUCE[[#This Row],[TOTAL]]-CRUCE[[#This Row],[BULTOS]])</f>
        <v/>
      </c>
      <c r="L172" s="38" t="str">
        <f>IF(CRUCE[[#This Row],[TOTAL]]="", "PENDIENTE", IF(CRUCE[[#This Row],[Diferencia]]=0, "CUADRADO", IF(CRUCE[[#This Row],[Diferencia]]&gt;0, "SOBRANTE", "FALTANTE")))</f>
        <v>PENDIENTE</v>
      </c>
      <c r="M172" s="71" t="str">
        <f>IF(CRUCE[[#This Row],[Diferencia]]="","",IF(CRUCE[[#This Row],[Diferencia]]=0,"OK","RECONTEO"))</f>
        <v/>
      </c>
      <c r="N172" s="39" t="str">
        <f>_xlfn.XLOOKUP(CRUCE[[#This Row],[Ubicacion]],Registros[Ubicacion],Registros[Codigo], "")</f>
        <v/>
      </c>
      <c r="O172" s="25"/>
      <c r="P172" s="25"/>
      <c r="Q172" s="39" t="str">
        <f>IF(CRUCE[[#This Row],[TOTAL2]]="", "PENDIENTE", IF(CRUCE[[#This Row],[DIFERENCIA2]]=0, "CUADRADO", IF(CRUCE[[#This Row],[DIFERENCIA2]]&gt;0, "SOBRANTE", "FALTANTE")))</f>
        <v>PENDIENTE</v>
      </c>
      <c r="R172" s="103" t="s">
        <v>5081</v>
      </c>
      <c r="S172" s="127" t="s">
        <v>5253</v>
      </c>
    </row>
    <row r="173" spans="1:19">
      <c r="A173" s="92" t="s">
        <v>5222</v>
      </c>
      <c r="B173" s="39" t="s">
        <v>4176</v>
      </c>
      <c r="C173" s="39">
        <v>9350415</v>
      </c>
      <c r="D173" s="73">
        <v>17750243083536</v>
      </c>
      <c r="E173" s="39" t="s">
        <v>3087</v>
      </c>
      <c r="F173" s="39">
        <v>21</v>
      </c>
      <c r="G173" s="39" t="s">
        <v>9</v>
      </c>
      <c r="H173" s="39" t="str">
        <f>_xlfn.XLOOKUP(CRUCE[[#This Row],[Ubicacion]],Registros[Ubicacion],Registros[Codigo], "")</f>
        <v/>
      </c>
      <c r="I173" s="26" t="str">
        <f>_xlfn.XLOOKUP(CRUCE[[#This Row],[Ubicacion]],Registros[Ubicacion],Registros[Total], "")</f>
        <v/>
      </c>
      <c r="J173" s="26" t="str">
        <f>_xlfn.XLOOKUP(CRUCE[[#This Row],[Ubicacion]],Registros[Ubicacion],Registros[UMA], "")</f>
        <v/>
      </c>
      <c r="K173" s="39" t="str">
        <f>IF(CRUCE[[#This Row],[TOTAL]]="","",CRUCE[[#This Row],[TOTAL]]-CRUCE[[#This Row],[BULTOS]])</f>
        <v/>
      </c>
      <c r="L173" s="39" t="str">
        <f>IF(CRUCE[[#This Row],[TOTAL]]="", "PENDIENTE", IF(CRUCE[[#This Row],[Diferencia]]=0, "CUADRADO", IF(CRUCE[[#This Row],[Diferencia]]&gt;0, "SOBRANTE", "FALTANTE")))</f>
        <v>PENDIENTE</v>
      </c>
      <c r="M173" s="72" t="str">
        <f>IF(CRUCE[[#This Row],[Diferencia]]="","",IF(CRUCE[[#This Row],[Diferencia]]=0,"OK","RECONTEO"))</f>
        <v/>
      </c>
      <c r="N173" s="39" t="str">
        <f>_xlfn.XLOOKUP(CRUCE[[#This Row],[Ubicacion]],Registros[Ubicacion],Registros[Codigo], "")</f>
        <v/>
      </c>
      <c r="O173" s="26"/>
      <c r="P173" s="26"/>
      <c r="Q173" s="39" t="str">
        <f>IF(CRUCE[[#This Row],[TOTAL2]]="", "PENDIENTE", IF(CRUCE[[#This Row],[DIFERENCIA2]]=0, "CUADRADO", IF(CRUCE[[#This Row],[DIFERENCIA2]]&gt;0, "SOBRANTE", "FALTANTE")))</f>
        <v>PENDIENTE</v>
      </c>
      <c r="R173" s="102" t="s">
        <v>5081</v>
      </c>
      <c r="S173" s="127" t="s">
        <v>5254</v>
      </c>
    </row>
    <row r="174" spans="1:19">
      <c r="A174" s="93" t="s">
        <v>5222</v>
      </c>
      <c r="B174" s="38" t="s">
        <v>4145</v>
      </c>
      <c r="C174" s="38">
        <v>9350397</v>
      </c>
      <c r="D174" s="74">
        <v>17750243072042</v>
      </c>
      <c r="E174" s="38" t="s">
        <v>3065</v>
      </c>
      <c r="F174" s="38">
        <v>8</v>
      </c>
      <c r="G174" s="38" t="s">
        <v>9</v>
      </c>
      <c r="H174" s="39" t="str">
        <f>_xlfn.XLOOKUP(CRUCE[[#This Row],[Ubicacion]],Registros[Ubicacion],Registros[Codigo], "")</f>
        <v/>
      </c>
      <c r="I174" s="25" t="str">
        <f>_xlfn.XLOOKUP(CRUCE[[#This Row],[Ubicacion]],Registros[Ubicacion],Registros[Total], "")</f>
        <v/>
      </c>
      <c r="J174" s="79" t="str">
        <f>_xlfn.XLOOKUP(CRUCE[[#This Row],[Ubicacion]],Registros[Ubicacion],Registros[UMA], "")</f>
        <v/>
      </c>
      <c r="K174" s="39" t="str">
        <f>IF(CRUCE[[#This Row],[TOTAL]]="","",CRUCE[[#This Row],[TOTAL]]-CRUCE[[#This Row],[BULTOS]])</f>
        <v/>
      </c>
      <c r="L174" s="38" t="str">
        <f>IF(CRUCE[[#This Row],[TOTAL]]="", "PENDIENTE", IF(CRUCE[[#This Row],[Diferencia]]=0, "CUADRADO", IF(CRUCE[[#This Row],[Diferencia]]&gt;0, "SOBRANTE", "FALTANTE")))</f>
        <v>PENDIENTE</v>
      </c>
      <c r="M174" s="71" t="str">
        <f>IF(CRUCE[[#This Row],[Diferencia]]="","",IF(CRUCE[[#This Row],[Diferencia]]=0,"OK","RECONTEO"))</f>
        <v/>
      </c>
      <c r="N174" s="39" t="str">
        <f>_xlfn.XLOOKUP(CRUCE[[#This Row],[Ubicacion]],Registros[Ubicacion],Registros[Codigo], "")</f>
        <v/>
      </c>
      <c r="O174" s="25"/>
      <c r="P174" s="25"/>
      <c r="Q174" s="39" t="str">
        <f>IF(CRUCE[[#This Row],[TOTAL2]]="", "PENDIENTE", IF(CRUCE[[#This Row],[DIFERENCIA2]]=0, "CUADRADO", IF(CRUCE[[#This Row],[DIFERENCIA2]]&gt;0, "SOBRANTE", "FALTANTE")))</f>
        <v>PENDIENTE</v>
      </c>
      <c r="R174" s="103" t="s">
        <v>5081</v>
      </c>
      <c r="S174" s="127" t="s">
        <v>5255</v>
      </c>
    </row>
    <row r="175" spans="1:19">
      <c r="A175" s="92" t="s">
        <v>5222</v>
      </c>
      <c r="B175" s="39" t="s">
        <v>3671</v>
      </c>
      <c r="C175" s="39">
        <v>8317216</v>
      </c>
      <c r="D175" s="73">
        <v>17750243084533</v>
      </c>
      <c r="E175" s="39" t="s">
        <v>1151</v>
      </c>
      <c r="F175" s="39">
        <v>23</v>
      </c>
      <c r="G175" s="39" t="s">
        <v>9</v>
      </c>
      <c r="H175" s="39" t="str">
        <f>_xlfn.XLOOKUP(CRUCE[[#This Row],[Ubicacion]],Registros[Ubicacion],Registros[Codigo], "")</f>
        <v/>
      </c>
      <c r="I175" s="26" t="str">
        <f>_xlfn.XLOOKUP(CRUCE[[#This Row],[Ubicacion]],Registros[Ubicacion],Registros[Total], "")</f>
        <v/>
      </c>
      <c r="J175" s="26" t="str">
        <f>_xlfn.XLOOKUP(CRUCE[[#This Row],[Ubicacion]],Registros[Ubicacion],Registros[UMA], "")</f>
        <v/>
      </c>
      <c r="K175" s="39" t="str">
        <f>IF(CRUCE[[#This Row],[TOTAL]]="","",CRUCE[[#This Row],[TOTAL]]-CRUCE[[#This Row],[BULTOS]])</f>
        <v/>
      </c>
      <c r="L175" s="39" t="str">
        <f>IF(CRUCE[[#This Row],[TOTAL]]="", "PENDIENTE", IF(CRUCE[[#This Row],[Diferencia]]=0, "CUADRADO", IF(CRUCE[[#This Row],[Diferencia]]&gt;0, "SOBRANTE", "FALTANTE")))</f>
        <v>PENDIENTE</v>
      </c>
      <c r="M175" s="72" t="str">
        <f>IF(CRUCE[[#This Row],[Diferencia]]="","",IF(CRUCE[[#This Row],[Diferencia]]=0,"OK","RECONTEO"))</f>
        <v/>
      </c>
      <c r="N175" s="39" t="str">
        <f>_xlfn.XLOOKUP(CRUCE[[#This Row],[Ubicacion]],Registros[Ubicacion],Registros[Codigo], "")</f>
        <v/>
      </c>
      <c r="O175" s="26"/>
      <c r="P175" s="26"/>
      <c r="Q175" s="39" t="str">
        <f>IF(CRUCE[[#This Row],[TOTAL2]]="", "PENDIENTE", IF(CRUCE[[#This Row],[DIFERENCIA2]]=0, "CUADRADO", IF(CRUCE[[#This Row],[DIFERENCIA2]]&gt;0, "SOBRANTE", "FALTANTE")))</f>
        <v>PENDIENTE</v>
      </c>
      <c r="R175" s="102" t="s">
        <v>5081</v>
      </c>
      <c r="S175" s="127" t="s">
        <v>5256</v>
      </c>
    </row>
    <row r="176" spans="1:19">
      <c r="A176" s="93" t="s">
        <v>5222</v>
      </c>
      <c r="B176" s="38" t="s">
        <v>3673</v>
      </c>
      <c r="C176" s="38">
        <v>8317216</v>
      </c>
      <c r="D176" s="74">
        <v>17750243084533</v>
      </c>
      <c r="E176" s="38" t="s">
        <v>1151</v>
      </c>
      <c r="F176" s="38">
        <v>23</v>
      </c>
      <c r="G176" s="38" t="s">
        <v>9</v>
      </c>
      <c r="H176" s="39" t="str">
        <f>_xlfn.XLOOKUP(CRUCE[[#This Row],[Ubicacion]],Registros[Ubicacion],Registros[Codigo], "")</f>
        <v/>
      </c>
      <c r="I176" s="25" t="str">
        <f>_xlfn.XLOOKUP(CRUCE[[#This Row],[Ubicacion]],Registros[Ubicacion],Registros[Total], "")</f>
        <v/>
      </c>
      <c r="J176" s="79" t="str">
        <f>_xlfn.XLOOKUP(CRUCE[[#This Row],[Ubicacion]],Registros[Ubicacion],Registros[UMA], "")</f>
        <v/>
      </c>
      <c r="K176" s="39" t="str">
        <f>IF(CRUCE[[#This Row],[TOTAL]]="","",CRUCE[[#This Row],[TOTAL]]-CRUCE[[#This Row],[BULTOS]])</f>
        <v/>
      </c>
      <c r="L176" s="38" t="str">
        <f>IF(CRUCE[[#This Row],[TOTAL]]="", "PENDIENTE", IF(CRUCE[[#This Row],[Diferencia]]=0, "CUADRADO", IF(CRUCE[[#This Row],[Diferencia]]&gt;0, "SOBRANTE", "FALTANTE")))</f>
        <v>PENDIENTE</v>
      </c>
      <c r="M176" s="71" t="str">
        <f>IF(CRUCE[[#This Row],[Diferencia]]="","",IF(CRUCE[[#This Row],[Diferencia]]=0,"OK","RECONTEO"))</f>
        <v/>
      </c>
      <c r="N176" s="39" t="str">
        <f>_xlfn.XLOOKUP(CRUCE[[#This Row],[Ubicacion]],Registros[Ubicacion],Registros[Codigo], "")</f>
        <v/>
      </c>
      <c r="O176" s="25"/>
      <c r="P176" s="25"/>
      <c r="Q176" s="39" t="str">
        <f>IF(CRUCE[[#This Row],[TOTAL2]]="", "PENDIENTE", IF(CRUCE[[#This Row],[DIFERENCIA2]]=0, "CUADRADO", IF(CRUCE[[#This Row],[DIFERENCIA2]]&gt;0, "SOBRANTE", "FALTANTE")))</f>
        <v>PENDIENTE</v>
      </c>
      <c r="R176" s="103" t="s">
        <v>5081</v>
      </c>
      <c r="S176" s="127" t="s">
        <v>5257</v>
      </c>
    </row>
    <row r="177" spans="1:19">
      <c r="A177" s="92" t="s">
        <v>5222</v>
      </c>
      <c r="B177" s="39" t="s">
        <v>3669</v>
      </c>
      <c r="C177" s="39">
        <v>8317215</v>
      </c>
      <c r="D177" s="73">
        <v>17750243084526</v>
      </c>
      <c r="E177" s="39" t="s">
        <v>1149</v>
      </c>
      <c r="F177" s="39">
        <v>10</v>
      </c>
      <c r="G177" s="39" t="s">
        <v>9</v>
      </c>
      <c r="H177" s="39" t="str">
        <f>_xlfn.XLOOKUP(CRUCE[[#This Row],[Ubicacion]],Registros[Ubicacion],Registros[Codigo], "")</f>
        <v/>
      </c>
      <c r="I177" s="26" t="str">
        <f>_xlfn.XLOOKUP(CRUCE[[#This Row],[Ubicacion]],Registros[Ubicacion],Registros[Total], "")</f>
        <v/>
      </c>
      <c r="J177" s="26" t="str">
        <f>_xlfn.XLOOKUP(CRUCE[[#This Row],[Ubicacion]],Registros[Ubicacion],Registros[UMA], "")</f>
        <v/>
      </c>
      <c r="K177" s="39" t="str">
        <f>IF(CRUCE[[#This Row],[TOTAL]]="","",CRUCE[[#This Row],[TOTAL]]-CRUCE[[#This Row],[BULTOS]])</f>
        <v/>
      </c>
      <c r="L177" s="39" t="str">
        <f>IF(CRUCE[[#This Row],[TOTAL]]="", "PENDIENTE", IF(CRUCE[[#This Row],[Diferencia]]=0, "CUADRADO", IF(CRUCE[[#This Row],[Diferencia]]&gt;0, "SOBRANTE", "FALTANTE")))</f>
        <v>PENDIENTE</v>
      </c>
      <c r="M177" s="72" t="str">
        <f>IF(CRUCE[[#This Row],[Diferencia]]="","",IF(CRUCE[[#This Row],[Diferencia]]=0,"OK","RECONTEO"))</f>
        <v/>
      </c>
      <c r="N177" s="39" t="str">
        <f>_xlfn.XLOOKUP(CRUCE[[#This Row],[Ubicacion]],Registros[Ubicacion],Registros[Codigo], "")</f>
        <v/>
      </c>
      <c r="O177" s="26"/>
      <c r="P177" s="26"/>
      <c r="Q177" s="39" t="str">
        <f>IF(CRUCE[[#This Row],[TOTAL2]]="", "PENDIENTE", IF(CRUCE[[#This Row],[DIFERENCIA2]]=0, "CUADRADO", IF(CRUCE[[#This Row],[DIFERENCIA2]]&gt;0, "SOBRANTE", "FALTANTE")))</f>
        <v>PENDIENTE</v>
      </c>
      <c r="R177" s="102" t="s">
        <v>5081</v>
      </c>
      <c r="S177" s="127" t="s">
        <v>5258</v>
      </c>
    </row>
    <row r="178" spans="1:19">
      <c r="A178" s="93" t="s">
        <v>5222</v>
      </c>
      <c r="B178" s="38" t="s">
        <v>3664</v>
      </c>
      <c r="C178" s="38">
        <v>8317213</v>
      </c>
      <c r="D178" s="74">
        <v>17750243084502</v>
      </c>
      <c r="E178" s="38" t="s">
        <v>1145</v>
      </c>
      <c r="F178" s="38">
        <v>5</v>
      </c>
      <c r="G178" s="38" t="s">
        <v>9</v>
      </c>
      <c r="H178" s="39" t="str">
        <f>_xlfn.XLOOKUP(CRUCE[[#This Row],[Ubicacion]],Registros[Ubicacion],Registros[Codigo], "")</f>
        <v/>
      </c>
      <c r="I178" s="25" t="str">
        <f>_xlfn.XLOOKUP(CRUCE[[#This Row],[Ubicacion]],Registros[Ubicacion],Registros[Total], "")</f>
        <v/>
      </c>
      <c r="J178" s="79" t="str">
        <f>_xlfn.XLOOKUP(CRUCE[[#This Row],[Ubicacion]],Registros[Ubicacion],Registros[UMA], "")</f>
        <v/>
      </c>
      <c r="K178" s="39" t="str">
        <f>IF(CRUCE[[#This Row],[TOTAL]]="","",CRUCE[[#This Row],[TOTAL]]-CRUCE[[#This Row],[BULTOS]])</f>
        <v/>
      </c>
      <c r="L178" s="38" t="str">
        <f>IF(CRUCE[[#This Row],[TOTAL]]="", "PENDIENTE", IF(CRUCE[[#This Row],[Diferencia]]=0, "CUADRADO", IF(CRUCE[[#This Row],[Diferencia]]&gt;0, "SOBRANTE", "FALTANTE")))</f>
        <v>PENDIENTE</v>
      </c>
      <c r="M178" s="71" t="str">
        <f>IF(CRUCE[[#This Row],[Diferencia]]="","",IF(CRUCE[[#This Row],[Diferencia]]=0,"OK","RECONTEO"))</f>
        <v/>
      </c>
      <c r="N178" s="39" t="str">
        <f>_xlfn.XLOOKUP(CRUCE[[#This Row],[Ubicacion]],Registros[Ubicacion],Registros[Codigo], "")</f>
        <v/>
      </c>
      <c r="O178" s="25"/>
      <c r="P178" s="25"/>
      <c r="Q178" s="39" t="str">
        <f>IF(CRUCE[[#This Row],[TOTAL2]]="", "PENDIENTE", IF(CRUCE[[#This Row],[DIFERENCIA2]]=0, "CUADRADO", IF(CRUCE[[#This Row],[DIFERENCIA2]]&gt;0, "SOBRANTE", "FALTANTE")))</f>
        <v>PENDIENTE</v>
      </c>
      <c r="R178" s="103" t="s">
        <v>5081</v>
      </c>
      <c r="S178" s="127" t="s">
        <v>5259</v>
      </c>
    </row>
    <row r="179" spans="1:19">
      <c r="A179" s="92" t="s">
        <v>5222</v>
      </c>
      <c r="B179" s="39" t="s">
        <v>3662</v>
      </c>
      <c r="C179" s="39">
        <v>8317212</v>
      </c>
      <c r="D179" s="73">
        <v>17750243084496</v>
      </c>
      <c r="E179" s="39" t="s">
        <v>1143</v>
      </c>
      <c r="F179" s="39">
        <v>18</v>
      </c>
      <c r="G179" s="39" t="s">
        <v>9</v>
      </c>
      <c r="H179" s="39" t="str">
        <f>_xlfn.XLOOKUP(CRUCE[[#This Row],[Ubicacion]],Registros[Ubicacion],Registros[Codigo], "")</f>
        <v/>
      </c>
      <c r="I179" s="26" t="str">
        <f>_xlfn.XLOOKUP(CRUCE[[#This Row],[Ubicacion]],Registros[Ubicacion],Registros[Total], "")</f>
        <v/>
      </c>
      <c r="J179" s="26" t="str">
        <f>_xlfn.XLOOKUP(CRUCE[[#This Row],[Ubicacion]],Registros[Ubicacion],Registros[UMA], "")</f>
        <v/>
      </c>
      <c r="K179" s="39" t="str">
        <f>IF(CRUCE[[#This Row],[TOTAL]]="","",CRUCE[[#This Row],[TOTAL]]-CRUCE[[#This Row],[BULTOS]])</f>
        <v/>
      </c>
      <c r="L179" s="39" t="str">
        <f>IF(CRUCE[[#This Row],[TOTAL]]="", "PENDIENTE", IF(CRUCE[[#This Row],[Diferencia]]=0, "CUADRADO", IF(CRUCE[[#This Row],[Diferencia]]&gt;0, "SOBRANTE", "FALTANTE")))</f>
        <v>PENDIENTE</v>
      </c>
      <c r="M179" s="72" t="str">
        <f>IF(CRUCE[[#This Row],[Diferencia]]="","",IF(CRUCE[[#This Row],[Diferencia]]=0,"OK","RECONTEO"))</f>
        <v/>
      </c>
      <c r="N179" s="39" t="str">
        <f>_xlfn.XLOOKUP(CRUCE[[#This Row],[Ubicacion]],Registros[Ubicacion],Registros[Codigo], "")</f>
        <v/>
      </c>
      <c r="O179" s="26"/>
      <c r="P179" s="26"/>
      <c r="Q179" s="39" t="str">
        <f>IF(CRUCE[[#This Row],[TOTAL2]]="", "PENDIENTE", IF(CRUCE[[#This Row],[DIFERENCIA2]]=0, "CUADRADO", IF(CRUCE[[#This Row],[DIFERENCIA2]]&gt;0, "SOBRANTE", "FALTANTE")))</f>
        <v>PENDIENTE</v>
      </c>
      <c r="R179" s="102" t="s">
        <v>5081</v>
      </c>
      <c r="S179" s="127" t="s">
        <v>5260</v>
      </c>
    </row>
    <row r="180" spans="1:19">
      <c r="A180" s="93" t="s">
        <v>5222</v>
      </c>
      <c r="B180" s="38" t="s">
        <v>3667</v>
      </c>
      <c r="C180" s="38">
        <v>8317214</v>
      </c>
      <c r="D180" s="74">
        <v>17750243084519</v>
      </c>
      <c r="E180" s="38" t="s">
        <v>1147</v>
      </c>
      <c r="F180" s="38">
        <v>22</v>
      </c>
      <c r="G180" s="38" t="s">
        <v>9</v>
      </c>
      <c r="H180" s="39" t="str">
        <f>_xlfn.XLOOKUP(CRUCE[[#This Row],[Ubicacion]],Registros[Ubicacion],Registros[Codigo], "")</f>
        <v/>
      </c>
      <c r="I180" s="25" t="str">
        <f>_xlfn.XLOOKUP(CRUCE[[#This Row],[Ubicacion]],Registros[Ubicacion],Registros[Total], "")</f>
        <v/>
      </c>
      <c r="J180" s="79" t="str">
        <f>_xlfn.XLOOKUP(CRUCE[[#This Row],[Ubicacion]],Registros[Ubicacion],Registros[UMA], "")</f>
        <v/>
      </c>
      <c r="K180" s="39" t="str">
        <f>IF(CRUCE[[#This Row],[TOTAL]]="","",CRUCE[[#This Row],[TOTAL]]-CRUCE[[#This Row],[BULTOS]])</f>
        <v/>
      </c>
      <c r="L180" s="38" t="str">
        <f>IF(CRUCE[[#This Row],[TOTAL]]="", "PENDIENTE", IF(CRUCE[[#This Row],[Diferencia]]=0, "CUADRADO", IF(CRUCE[[#This Row],[Diferencia]]&gt;0, "SOBRANTE", "FALTANTE")))</f>
        <v>PENDIENTE</v>
      </c>
      <c r="M180" s="71" t="str">
        <f>IF(CRUCE[[#This Row],[Diferencia]]="","",IF(CRUCE[[#This Row],[Diferencia]]=0,"OK","RECONTEO"))</f>
        <v/>
      </c>
      <c r="N180" s="39" t="str">
        <f>_xlfn.XLOOKUP(CRUCE[[#This Row],[Ubicacion]],Registros[Ubicacion],Registros[Codigo], "")</f>
        <v/>
      </c>
      <c r="O180" s="25"/>
      <c r="P180" s="25"/>
      <c r="Q180" s="39" t="str">
        <f>IF(CRUCE[[#This Row],[TOTAL2]]="", "PENDIENTE", IF(CRUCE[[#This Row],[DIFERENCIA2]]=0, "CUADRADO", IF(CRUCE[[#This Row],[DIFERENCIA2]]&gt;0, "SOBRANTE", "FALTANTE")))</f>
        <v>PENDIENTE</v>
      </c>
      <c r="R180" s="103" t="s">
        <v>5081</v>
      </c>
      <c r="S180" s="127" t="s">
        <v>5261</v>
      </c>
    </row>
    <row r="181" spans="1:19">
      <c r="A181" s="92" t="s">
        <v>5222</v>
      </c>
      <c r="B181" s="39" t="s">
        <v>3675</v>
      </c>
      <c r="C181" s="39">
        <v>8317217</v>
      </c>
      <c r="D181" s="73">
        <v>17750243087688</v>
      </c>
      <c r="E181" s="39" t="s">
        <v>1153</v>
      </c>
      <c r="F181" s="39">
        <v>26</v>
      </c>
      <c r="G181" s="39" t="s">
        <v>9</v>
      </c>
      <c r="H181" s="39" t="str">
        <f>_xlfn.XLOOKUP(CRUCE[[#This Row],[Ubicacion]],Registros[Ubicacion],Registros[Codigo], "")</f>
        <v/>
      </c>
      <c r="I181" s="26" t="str">
        <f>_xlfn.XLOOKUP(CRUCE[[#This Row],[Ubicacion]],Registros[Ubicacion],Registros[Total], "")</f>
        <v/>
      </c>
      <c r="J181" s="26" t="str">
        <f>_xlfn.XLOOKUP(CRUCE[[#This Row],[Ubicacion]],Registros[Ubicacion],Registros[UMA], "")</f>
        <v/>
      </c>
      <c r="K181" s="39" t="str">
        <f>IF(CRUCE[[#This Row],[TOTAL]]="","",CRUCE[[#This Row],[TOTAL]]-CRUCE[[#This Row],[BULTOS]])</f>
        <v/>
      </c>
      <c r="L181" s="39" t="str">
        <f>IF(CRUCE[[#This Row],[TOTAL]]="", "PENDIENTE", IF(CRUCE[[#This Row],[Diferencia]]=0, "CUADRADO", IF(CRUCE[[#This Row],[Diferencia]]&gt;0, "SOBRANTE", "FALTANTE")))</f>
        <v>PENDIENTE</v>
      </c>
      <c r="M181" s="72" t="str">
        <f>IF(CRUCE[[#This Row],[Diferencia]]="","",IF(CRUCE[[#This Row],[Diferencia]]=0,"OK","RECONTEO"))</f>
        <v/>
      </c>
      <c r="N181" s="39" t="str">
        <f>_xlfn.XLOOKUP(CRUCE[[#This Row],[Ubicacion]],Registros[Ubicacion],Registros[Codigo], "")</f>
        <v/>
      </c>
      <c r="O181" s="26"/>
      <c r="P181" s="26"/>
      <c r="Q181" s="39" t="str">
        <f>IF(CRUCE[[#This Row],[TOTAL2]]="", "PENDIENTE", IF(CRUCE[[#This Row],[DIFERENCIA2]]=0, "CUADRADO", IF(CRUCE[[#This Row],[DIFERENCIA2]]&gt;0, "SOBRANTE", "FALTANTE")))</f>
        <v>PENDIENTE</v>
      </c>
      <c r="R181" s="102" t="s">
        <v>5081</v>
      </c>
      <c r="S181" s="127" t="s">
        <v>5262</v>
      </c>
    </row>
    <row r="182" spans="1:19">
      <c r="A182" s="93" t="s">
        <v>5222</v>
      </c>
      <c r="B182" s="38" t="s">
        <v>3350</v>
      </c>
      <c r="C182" s="38">
        <v>8305332</v>
      </c>
      <c r="D182" s="74">
        <v>17750243084441</v>
      </c>
      <c r="E182" s="38" t="s">
        <v>511</v>
      </c>
      <c r="F182" s="38">
        <v>20</v>
      </c>
      <c r="G182" s="38" t="s">
        <v>9</v>
      </c>
      <c r="H182" s="39" t="str">
        <f>_xlfn.XLOOKUP(CRUCE[[#This Row],[Ubicacion]],Registros[Ubicacion],Registros[Codigo], "")</f>
        <v/>
      </c>
      <c r="I182" s="25" t="str">
        <f>_xlfn.XLOOKUP(CRUCE[[#This Row],[Ubicacion]],Registros[Ubicacion],Registros[Total], "")</f>
        <v/>
      </c>
      <c r="J182" s="79" t="str">
        <f>_xlfn.XLOOKUP(CRUCE[[#This Row],[Ubicacion]],Registros[Ubicacion],Registros[UMA], "")</f>
        <v/>
      </c>
      <c r="K182" s="39" t="str">
        <f>IF(CRUCE[[#This Row],[TOTAL]]="","",CRUCE[[#This Row],[TOTAL]]-CRUCE[[#This Row],[BULTOS]])</f>
        <v/>
      </c>
      <c r="L182" s="38" t="str">
        <f>IF(CRUCE[[#This Row],[TOTAL]]="", "PENDIENTE", IF(CRUCE[[#This Row],[Diferencia]]=0, "CUADRADO", IF(CRUCE[[#This Row],[Diferencia]]&gt;0, "SOBRANTE", "FALTANTE")))</f>
        <v>PENDIENTE</v>
      </c>
      <c r="M182" s="71" t="str">
        <f>IF(CRUCE[[#This Row],[Diferencia]]="","",IF(CRUCE[[#This Row],[Diferencia]]=0,"OK","RECONTEO"))</f>
        <v/>
      </c>
      <c r="N182" s="39" t="str">
        <f>_xlfn.XLOOKUP(CRUCE[[#This Row],[Ubicacion]],Registros[Ubicacion],Registros[Codigo], "")</f>
        <v/>
      </c>
      <c r="O182" s="25"/>
      <c r="P182" s="25"/>
      <c r="Q182" s="39" t="str">
        <f>IF(CRUCE[[#This Row],[TOTAL2]]="", "PENDIENTE", IF(CRUCE[[#This Row],[DIFERENCIA2]]=0, "CUADRADO", IF(CRUCE[[#This Row],[DIFERENCIA2]]&gt;0, "SOBRANTE", "FALTANTE")))</f>
        <v>PENDIENTE</v>
      </c>
      <c r="R182" s="103" t="s">
        <v>5081</v>
      </c>
      <c r="S182" s="127" t="s">
        <v>5263</v>
      </c>
    </row>
    <row r="183" spans="1:19">
      <c r="A183" s="92" t="s">
        <v>5222</v>
      </c>
      <c r="B183" s="39" t="s">
        <v>4515</v>
      </c>
      <c r="C183" s="26"/>
      <c r="D183" s="35"/>
      <c r="E183" s="26"/>
      <c r="F183" s="26"/>
      <c r="G183" s="26"/>
      <c r="H183" s="39" t="str">
        <f>_xlfn.XLOOKUP(CRUCE[[#This Row],[Ubicacion]],Registros[Ubicacion],Registros[Codigo], "")</f>
        <v/>
      </c>
      <c r="I183" s="26" t="str">
        <f>_xlfn.XLOOKUP(CRUCE[[#This Row],[Ubicacion]],Registros[Ubicacion],Registros[Total], "")</f>
        <v/>
      </c>
      <c r="J183" s="26" t="str">
        <f>_xlfn.XLOOKUP(CRUCE[[#This Row],[Ubicacion]],Registros[Ubicacion],Registros[UMA], "")</f>
        <v/>
      </c>
      <c r="K183" s="39" t="str">
        <f>IF(CRUCE[[#This Row],[TOTAL]]="","",CRUCE[[#This Row],[TOTAL]]-CRUCE[[#This Row],[BULTOS]])</f>
        <v/>
      </c>
      <c r="L183" s="39" t="str">
        <f>IF(CRUCE[[#This Row],[TOTAL]]="", "PENDIENTE", IF(CRUCE[[#This Row],[Diferencia]]=0, "CUADRADO", IF(CRUCE[[#This Row],[Diferencia]]&gt;0, "SOBRANTE", "FALTANTE")))</f>
        <v>PENDIENTE</v>
      </c>
      <c r="M183" s="72" t="str">
        <f>IF(CRUCE[[#This Row],[Diferencia]]="","",IF(CRUCE[[#This Row],[Diferencia]]=0,"OK","RECONTEO"))</f>
        <v/>
      </c>
      <c r="N183" s="39" t="str">
        <f>_xlfn.XLOOKUP(CRUCE[[#This Row],[Ubicacion]],Registros[Ubicacion],Registros[Codigo], "")</f>
        <v/>
      </c>
      <c r="O183" s="26"/>
      <c r="P183" s="26"/>
      <c r="Q183" s="39" t="str">
        <f>IF(CRUCE[[#This Row],[TOTAL2]]="", "PENDIENTE", IF(CRUCE[[#This Row],[DIFERENCIA2]]=0, "CUADRADO", IF(CRUCE[[#This Row],[DIFERENCIA2]]&gt;0, "SOBRANTE", "FALTANTE")))</f>
        <v>PENDIENTE</v>
      </c>
      <c r="R183" s="102" t="s">
        <v>5081</v>
      </c>
      <c r="S183" s="129" t="s">
        <v>5264</v>
      </c>
    </row>
    <row r="184" spans="1:19">
      <c r="A184" s="93" t="s">
        <v>5222</v>
      </c>
      <c r="B184" s="38" t="s">
        <v>4517</v>
      </c>
      <c r="C184" s="25"/>
      <c r="D184" s="34"/>
      <c r="E184" s="25"/>
      <c r="F184" s="25"/>
      <c r="G184" s="25"/>
      <c r="H184" s="39" t="str">
        <f>_xlfn.XLOOKUP(CRUCE[[#This Row],[Ubicacion]],Registros[Ubicacion],Registros[Codigo], "")</f>
        <v/>
      </c>
      <c r="I184" s="25" t="str">
        <f>_xlfn.XLOOKUP(CRUCE[[#This Row],[Ubicacion]],Registros[Ubicacion],Registros[Total], "")</f>
        <v/>
      </c>
      <c r="J184" s="79" t="str">
        <f>_xlfn.XLOOKUP(CRUCE[[#This Row],[Ubicacion]],Registros[Ubicacion],Registros[UMA], "")</f>
        <v/>
      </c>
      <c r="K184" s="39" t="str">
        <f>IF(CRUCE[[#This Row],[TOTAL]]="","",CRUCE[[#This Row],[TOTAL]]-CRUCE[[#This Row],[BULTOS]])</f>
        <v/>
      </c>
      <c r="L184" s="38" t="str">
        <f>IF(CRUCE[[#This Row],[TOTAL]]="", "PENDIENTE", IF(CRUCE[[#This Row],[Diferencia]]=0, "CUADRADO", IF(CRUCE[[#This Row],[Diferencia]]&gt;0, "SOBRANTE", "FALTANTE")))</f>
        <v>PENDIENTE</v>
      </c>
      <c r="M184" s="71" t="str">
        <f>IF(CRUCE[[#This Row],[Diferencia]]="","",IF(CRUCE[[#This Row],[Diferencia]]=0,"OK","RECONTEO"))</f>
        <v/>
      </c>
      <c r="N184" s="39" t="str">
        <f>_xlfn.XLOOKUP(CRUCE[[#This Row],[Ubicacion]],Registros[Ubicacion],Registros[Codigo], "")</f>
        <v/>
      </c>
      <c r="O184" s="25"/>
      <c r="P184" s="25"/>
      <c r="Q184" s="39" t="str">
        <f>IF(CRUCE[[#This Row],[TOTAL2]]="", "PENDIENTE", IF(CRUCE[[#This Row],[DIFERENCIA2]]=0, "CUADRADO", IF(CRUCE[[#This Row],[DIFERENCIA2]]&gt;0, "SOBRANTE", "FALTANTE")))</f>
        <v>PENDIENTE</v>
      </c>
      <c r="R184" s="103" t="s">
        <v>5081</v>
      </c>
      <c r="S184" s="127" t="s">
        <v>5265</v>
      </c>
    </row>
    <row r="185" spans="1:19">
      <c r="A185" s="92" t="s">
        <v>5222</v>
      </c>
      <c r="B185" s="39" t="s">
        <v>3605</v>
      </c>
      <c r="C185" s="39">
        <v>8316111</v>
      </c>
      <c r="D185" s="73">
        <v>17750243084489</v>
      </c>
      <c r="E185" s="39" t="s">
        <v>951</v>
      </c>
      <c r="F185" s="39">
        <v>1</v>
      </c>
      <c r="G185" s="39" t="s">
        <v>9</v>
      </c>
      <c r="H185" s="39" t="str">
        <f>_xlfn.XLOOKUP(CRUCE[[#This Row],[Ubicacion]],Registros[Ubicacion],Registros[Codigo], "")</f>
        <v/>
      </c>
      <c r="I185" s="26" t="str">
        <f>_xlfn.XLOOKUP(CRUCE[[#This Row],[Ubicacion]],Registros[Ubicacion],Registros[Total], "")</f>
        <v/>
      </c>
      <c r="J185" s="26" t="str">
        <f>_xlfn.XLOOKUP(CRUCE[[#This Row],[Ubicacion]],Registros[Ubicacion],Registros[UMA], "")</f>
        <v/>
      </c>
      <c r="K185" s="39" t="str">
        <f>IF(CRUCE[[#This Row],[TOTAL]]="","",CRUCE[[#This Row],[TOTAL]]-CRUCE[[#This Row],[BULTOS]])</f>
        <v/>
      </c>
      <c r="L185" s="39" t="str">
        <f>IF(CRUCE[[#This Row],[TOTAL]]="", "PENDIENTE", IF(CRUCE[[#This Row],[Diferencia]]=0, "CUADRADO", IF(CRUCE[[#This Row],[Diferencia]]&gt;0, "SOBRANTE", "FALTANTE")))</f>
        <v>PENDIENTE</v>
      </c>
      <c r="M185" s="72" t="str">
        <f>IF(CRUCE[[#This Row],[Diferencia]]="","",IF(CRUCE[[#This Row],[Diferencia]]=0,"OK","RECONTEO"))</f>
        <v/>
      </c>
      <c r="N185" s="39" t="str">
        <f>_xlfn.XLOOKUP(CRUCE[[#This Row],[Ubicacion]],Registros[Ubicacion],Registros[Codigo], "")</f>
        <v/>
      </c>
      <c r="O185" s="26"/>
      <c r="P185" s="26"/>
      <c r="Q185" s="39" t="str">
        <f>IF(CRUCE[[#This Row],[TOTAL2]]="", "PENDIENTE", IF(CRUCE[[#This Row],[DIFERENCIA2]]=0, "CUADRADO", IF(CRUCE[[#This Row],[DIFERENCIA2]]&gt;0, "SOBRANTE", "FALTANTE")))</f>
        <v>PENDIENTE</v>
      </c>
      <c r="R185" s="102" t="s">
        <v>5081</v>
      </c>
      <c r="S185" s="127" t="s">
        <v>5266</v>
      </c>
    </row>
    <row r="186" spans="1:19">
      <c r="A186" s="93" t="s">
        <v>5222</v>
      </c>
      <c r="B186" s="38" t="s">
        <v>3564</v>
      </c>
      <c r="C186" s="38">
        <v>8315147</v>
      </c>
      <c r="D186" s="74">
        <v>17750243084465</v>
      </c>
      <c r="E186" s="38" t="s">
        <v>863</v>
      </c>
      <c r="F186" s="38">
        <v>6</v>
      </c>
      <c r="G186" s="38" t="s">
        <v>9</v>
      </c>
      <c r="H186" s="39" t="str">
        <f>_xlfn.XLOOKUP(CRUCE[[#This Row],[Ubicacion]],Registros[Ubicacion],Registros[Codigo], "")</f>
        <v/>
      </c>
      <c r="I186" s="25" t="str">
        <f>_xlfn.XLOOKUP(CRUCE[[#This Row],[Ubicacion]],Registros[Ubicacion],Registros[Total], "")</f>
        <v/>
      </c>
      <c r="J186" s="79" t="str">
        <f>_xlfn.XLOOKUP(CRUCE[[#This Row],[Ubicacion]],Registros[Ubicacion],Registros[UMA], "")</f>
        <v/>
      </c>
      <c r="K186" s="39" t="str">
        <f>IF(CRUCE[[#This Row],[TOTAL]]="","",CRUCE[[#This Row],[TOTAL]]-CRUCE[[#This Row],[BULTOS]])</f>
        <v/>
      </c>
      <c r="L186" s="38" t="str">
        <f>IF(CRUCE[[#This Row],[TOTAL]]="", "PENDIENTE", IF(CRUCE[[#This Row],[Diferencia]]=0, "CUADRADO", IF(CRUCE[[#This Row],[Diferencia]]&gt;0, "SOBRANTE", "FALTANTE")))</f>
        <v>PENDIENTE</v>
      </c>
      <c r="M186" s="71" t="str">
        <f>IF(CRUCE[[#This Row],[Diferencia]]="","",IF(CRUCE[[#This Row],[Diferencia]]=0,"OK","RECONTEO"))</f>
        <v/>
      </c>
      <c r="N186" s="39" t="str">
        <f>_xlfn.XLOOKUP(CRUCE[[#This Row],[Ubicacion]],Registros[Ubicacion],Registros[Codigo], "")</f>
        <v/>
      </c>
      <c r="O186" s="25"/>
      <c r="P186" s="25"/>
      <c r="Q186" s="39" t="str">
        <f>IF(CRUCE[[#This Row],[TOTAL2]]="", "PENDIENTE", IF(CRUCE[[#This Row],[DIFERENCIA2]]=0, "CUADRADO", IF(CRUCE[[#This Row],[DIFERENCIA2]]&gt;0, "SOBRANTE", "FALTANTE")))</f>
        <v>PENDIENTE</v>
      </c>
      <c r="R186" s="103" t="s">
        <v>5081</v>
      </c>
      <c r="S186" s="127" t="s">
        <v>5267</v>
      </c>
    </row>
    <row r="187" spans="1:19">
      <c r="A187" s="92" t="s">
        <v>5222</v>
      </c>
      <c r="B187" s="39" t="s">
        <v>3566</v>
      </c>
      <c r="C187" s="39">
        <v>8315148</v>
      </c>
      <c r="D187" s="73">
        <v>17750243084472</v>
      </c>
      <c r="E187" s="39" t="s">
        <v>865</v>
      </c>
      <c r="F187" s="39">
        <v>18</v>
      </c>
      <c r="G187" s="39" t="s">
        <v>9</v>
      </c>
      <c r="H187" s="39" t="str">
        <f>_xlfn.XLOOKUP(CRUCE[[#This Row],[Ubicacion]],Registros[Ubicacion],Registros[Codigo], "")</f>
        <v/>
      </c>
      <c r="I187" s="26" t="str">
        <f>_xlfn.XLOOKUP(CRUCE[[#This Row],[Ubicacion]],Registros[Ubicacion],Registros[Total], "")</f>
        <v/>
      </c>
      <c r="J187" s="26" t="str">
        <f>_xlfn.XLOOKUP(CRUCE[[#This Row],[Ubicacion]],Registros[Ubicacion],Registros[UMA], "")</f>
        <v/>
      </c>
      <c r="K187" s="39" t="str">
        <f>IF(CRUCE[[#This Row],[TOTAL]]="","",CRUCE[[#This Row],[TOTAL]]-CRUCE[[#This Row],[BULTOS]])</f>
        <v/>
      </c>
      <c r="L187" s="39" t="str">
        <f>IF(CRUCE[[#This Row],[TOTAL]]="", "PENDIENTE", IF(CRUCE[[#This Row],[Diferencia]]=0, "CUADRADO", IF(CRUCE[[#This Row],[Diferencia]]&gt;0, "SOBRANTE", "FALTANTE")))</f>
        <v>PENDIENTE</v>
      </c>
      <c r="M187" s="72" t="str">
        <f>IF(CRUCE[[#This Row],[Diferencia]]="","",IF(CRUCE[[#This Row],[Diferencia]]=0,"OK","RECONTEO"))</f>
        <v/>
      </c>
      <c r="N187" s="39" t="str">
        <f>_xlfn.XLOOKUP(CRUCE[[#This Row],[Ubicacion]],Registros[Ubicacion],Registros[Codigo], "")</f>
        <v/>
      </c>
      <c r="O187" s="26"/>
      <c r="P187" s="26"/>
      <c r="Q187" s="39" t="str">
        <f>IF(CRUCE[[#This Row],[TOTAL2]]="", "PENDIENTE", IF(CRUCE[[#This Row],[DIFERENCIA2]]=0, "CUADRADO", IF(CRUCE[[#This Row],[DIFERENCIA2]]&gt;0, "SOBRANTE", "FALTANTE")))</f>
        <v>PENDIENTE</v>
      </c>
      <c r="R187" s="102" t="s">
        <v>5081</v>
      </c>
      <c r="S187" s="127" t="s">
        <v>5268</v>
      </c>
    </row>
    <row r="188" spans="1:19">
      <c r="A188" s="93" t="s">
        <v>5222</v>
      </c>
      <c r="B188" s="38" t="s">
        <v>3415</v>
      </c>
      <c r="C188" s="38">
        <v>8306007</v>
      </c>
      <c r="D188" s="74">
        <v>17751851016572</v>
      </c>
      <c r="E188" s="38" t="s">
        <v>589</v>
      </c>
      <c r="F188" s="38">
        <v>31</v>
      </c>
      <c r="G188" s="38" t="s">
        <v>9</v>
      </c>
      <c r="H188" s="39" t="str">
        <f>_xlfn.XLOOKUP(CRUCE[[#This Row],[Ubicacion]],Registros[Ubicacion],Registros[Codigo], "")</f>
        <v/>
      </c>
      <c r="I188" s="25" t="str">
        <f>_xlfn.XLOOKUP(CRUCE[[#This Row],[Ubicacion]],Registros[Ubicacion],Registros[Total], "")</f>
        <v/>
      </c>
      <c r="J188" s="79" t="str">
        <f>_xlfn.XLOOKUP(CRUCE[[#This Row],[Ubicacion]],Registros[Ubicacion],Registros[UMA], "")</f>
        <v/>
      </c>
      <c r="K188" s="39" t="str">
        <f>IF(CRUCE[[#This Row],[TOTAL]]="","",CRUCE[[#This Row],[TOTAL]]-CRUCE[[#This Row],[BULTOS]])</f>
        <v/>
      </c>
      <c r="L188" s="38" t="str">
        <f>IF(CRUCE[[#This Row],[TOTAL]]="", "PENDIENTE", IF(CRUCE[[#This Row],[Diferencia]]=0, "CUADRADO", IF(CRUCE[[#This Row],[Diferencia]]&gt;0, "SOBRANTE", "FALTANTE")))</f>
        <v>PENDIENTE</v>
      </c>
      <c r="M188" s="71" t="str">
        <f>IF(CRUCE[[#This Row],[Diferencia]]="","",IF(CRUCE[[#This Row],[Diferencia]]=0,"OK","RECONTEO"))</f>
        <v/>
      </c>
      <c r="N188" s="39" t="str">
        <f>_xlfn.XLOOKUP(CRUCE[[#This Row],[Ubicacion]],Registros[Ubicacion],Registros[Codigo], "")</f>
        <v/>
      </c>
      <c r="O188" s="25"/>
      <c r="P188" s="25"/>
      <c r="Q188" s="39" t="str">
        <f>IF(CRUCE[[#This Row],[TOTAL2]]="", "PENDIENTE", IF(CRUCE[[#This Row],[DIFERENCIA2]]=0, "CUADRADO", IF(CRUCE[[#This Row],[DIFERENCIA2]]&gt;0, "SOBRANTE", "FALTANTE")))</f>
        <v>PENDIENTE</v>
      </c>
      <c r="R188" s="103" t="s">
        <v>5081</v>
      </c>
      <c r="S188" s="127" t="s">
        <v>5269</v>
      </c>
    </row>
    <row r="189" spans="1:19">
      <c r="A189" s="92" t="s">
        <v>5222</v>
      </c>
      <c r="B189" s="39" t="s">
        <v>4523</v>
      </c>
      <c r="C189" s="26"/>
      <c r="D189" s="35"/>
      <c r="E189" s="26"/>
      <c r="F189" s="26"/>
      <c r="G189" s="26"/>
      <c r="H189" s="39" t="str">
        <f>_xlfn.XLOOKUP(CRUCE[[#This Row],[Ubicacion]],Registros[Ubicacion],Registros[Codigo], "")</f>
        <v/>
      </c>
      <c r="I189" s="26" t="str">
        <f>_xlfn.XLOOKUP(CRUCE[[#This Row],[Ubicacion]],Registros[Ubicacion],Registros[Total], "")</f>
        <v/>
      </c>
      <c r="J189" s="26" t="str">
        <f>_xlfn.XLOOKUP(CRUCE[[#This Row],[Ubicacion]],Registros[Ubicacion],Registros[UMA], "")</f>
        <v/>
      </c>
      <c r="K189" s="39" t="str">
        <f>IF(CRUCE[[#This Row],[TOTAL]]="","",CRUCE[[#This Row],[TOTAL]]-CRUCE[[#This Row],[BULTOS]])</f>
        <v/>
      </c>
      <c r="L189" s="39" t="str">
        <f>IF(CRUCE[[#This Row],[TOTAL]]="", "PENDIENTE", IF(CRUCE[[#This Row],[Diferencia]]=0, "CUADRADO", IF(CRUCE[[#This Row],[Diferencia]]&gt;0, "SOBRANTE", "FALTANTE")))</f>
        <v>PENDIENTE</v>
      </c>
      <c r="M189" s="72" t="str">
        <f>IF(CRUCE[[#This Row],[Diferencia]]="","",IF(CRUCE[[#This Row],[Diferencia]]=0,"OK","RECONTEO"))</f>
        <v/>
      </c>
      <c r="N189" s="39" t="str">
        <f>_xlfn.XLOOKUP(CRUCE[[#This Row],[Ubicacion]],Registros[Ubicacion],Registros[Codigo], "")</f>
        <v/>
      </c>
      <c r="O189" s="26"/>
      <c r="P189" s="26"/>
      <c r="Q189" s="39" t="str">
        <f>IF(CRUCE[[#This Row],[TOTAL2]]="", "PENDIENTE", IF(CRUCE[[#This Row],[DIFERENCIA2]]=0, "CUADRADO", IF(CRUCE[[#This Row],[DIFERENCIA2]]&gt;0, "SOBRANTE", "FALTANTE")))</f>
        <v>PENDIENTE</v>
      </c>
      <c r="R189" s="102" t="s">
        <v>5081</v>
      </c>
      <c r="S189" s="127" t="s">
        <v>5270</v>
      </c>
    </row>
    <row r="190" spans="1:19">
      <c r="A190" s="93" t="s">
        <v>5222</v>
      </c>
      <c r="B190" s="38" t="s">
        <v>3418</v>
      </c>
      <c r="C190" s="38">
        <v>8306030</v>
      </c>
      <c r="D190" s="74">
        <v>17750243070727</v>
      </c>
      <c r="E190" s="38" t="s">
        <v>591</v>
      </c>
      <c r="F190" s="38">
        <v>27</v>
      </c>
      <c r="G190" s="38" t="s">
        <v>9</v>
      </c>
      <c r="H190" s="39" t="str">
        <f>_xlfn.XLOOKUP(CRUCE[[#This Row],[Ubicacion]],Registros[Ubicacion],Registros[Codigo], "")</f>
        <v/>
      </c>
      <c r="I190" s="25" t="str">
        <f>_xlfn.XLOOKUP(CRUCE[[#This Row],[Ubicacion]],Registros[Ubicacion],Registros[Total], "")</f>
        <v/>
      </c>
      <c r="J190" s="79" t="str">
        <f>_xlfn.XLOOKUP(CRUCE[[#This Row],[Ubicacion]],Registros[Ubicacion],Registros[UMA], "")</f>
        <v/>
      </c>
      <c r="K190" s="39" t="str">
        <f>IF(CRUCE[[#This Row],[TOTAL]]="","",CRUCE[[#This Row],[TOTAL]]-CRUCE[[#This Row],[BULTOS]])</f>
        <v/>
      </c>
      <c r="L190" s="38" t="str">
        <f>IF(CRUCE[[#This Row],[TOTAL]]="", "PENDIENTE", IF(CRUCE[[#This Row],[Diferencia]]=0, "CUADRADO", IF(CRUCE[[#This Row],[Diferencia]]&gt;0, "SOBRANTE", "FALTANTE")))</f>
        <v>PENDIENTE</v>
      </c>
      <c r="M190" s="71" t="str">
        <f>IF(CRUCE[[#This Row],[Diferencia]]="","",IF(CRUCE[[#This Row],[Diferencia]]=0,"OK","RECONTEO"))</f>
        <v/>
      </c>
      <c r="N190" s="39" t="str">
        <f>_xlfn.XLOOKUP(CRUCE[[#This Row],[Ubicacion]],Registros[Ubicacion],Registros[Codigo], "")</f>
        <v/>
      </c>
      <c r="O190" s="25"/>
      <c r="P190" s="25"/>
      <c r="Q190" s="39" t="str">
        <f>IF(CRUCE[[#This Row],[TOTAL2]]="", "PENDIENTE", IF(CRUCE[[#This Row],[DIFERENCIA2]]=0, "CUADRADO", IF(CRUCE[[#This Row],[DIFERENCIA2]]&gt;0, "SOBRANTE", "FALTANTE")))</f>
        <v>PENDIENTE</v>
      </c>
      <c r="R190" s="103" t="s">
        <v>5081</v>
      </c>
      <c r="S190" s="127" t="s">
        <v>5271</v>
      </c>
    </row>
    <row r="191" spans="1:19">
      <c r="A191" s="92" t="s">
        <v>5222</v>
      </c>
      <c r="B191" s="39" t="s">
        <v>3853</v>
      </c>
      <c r="C191" s="39">
        <v>8400702</v>
      </c>
      <c r="D191" s="73">
        <v>27750243085025</v>
      </c>
      <c r="E191" s="39" t="s">
        <v>2108</v>
      </c>
      <c r="F191" s="39">
        <v>24</v>
      </c>
      <c r="G191" s="39" t="s">
        <v>9</v>
      </c>
      <c r="H191" s="39" t="str">
        <f>_xlfn.XLOOKUP(CRUCE[[#This Row],[Ubicacion]],Registros[Ubicacion],Registros[Codigo], "")</f>
        <v/>
      </c>
      <c r="I191" s="26" t="str">
        <f>_xlfn.XLOOKUP(CRUCE[[#This Row],[Ubicacion]],Registros[Ubicacion],Registros[Total], "")</f>
        <v/>
      </c>
      <c r="J191" s="26" t="str">
        <f>_xlfn.XLOOKUP(CRUCE[[#This Row],[Ubicacion]],Registros[Ubicacion],Registros[UMA], "")</f>
        <v/>
      </c>
      <c r="K191" s="39" t="str">
        <f>IF(CRUCE[[#This Row],[TOTAL]]="","",CRUCE[[#This Row],[TOTAL]]-CRUCE[[#This Row],[BULTOS]])</f>
        <v/>
      </c>
      <c r="L191" s="39" t="str">
        <f>IF(CRUCE[[#This Row],[TOTAL]]="", "PENDIENTE", IF(CRUCE[[#This Row],[Diferencia]]=0, "CUADRADO", IF(CRUCE[[#This Row],[Diferencia]]&gt;0, "SOBRANTE", "FALTANTE")))</f>
        <v>PENDIENTE</v>
      </c>
      <c r="M191" s="72" t="str">
        <f>IF(CRUCE[[#This Row],[Diferencia]]="","",IF(CRUCE[[#This Row],[Diferencia]]=0,"OK","RECONTEO"))</f>
        <v/>
      </c>
      <c r="N191" s="39" t="str">
        <f>_xlfn.XLOOKUP(CRUCE[[#This Row],[Ubicacion]],Registros[Ubicacion],Registros[Codigo], "")</f>
        <v/>
      </c>
      <c r="O191" s="26"/>
      <c r="P191" s="26"/>
      <c r="Q191" s="39" t="str">
        <f>IF(CRUCE[[#This Row],[TOTAL2]]="", "PENDIENTE", IF(CRUCE[[#This Row],[DIFERENCIA2]]=0, "CUADRADO", IF(CRUCE[[#This Row],[DIFERENCIA2]]&gt;0, "SOBRANTE", "FALTANTE")))</f>
        <v>PENDIENTE</v>
      </c>
      <c r="R191" s="102" t="s">
        <v>5081</v>
      </c>
      <c r="S191" s="127" t="s">
        <v>5272</v>
      </c>
    </row>
    <row r="192" spans="1:19">
      <c r="A192" s="93" t="s">
        <v>5222</v>
      </c>
      <c r="B192" s="38" t="s">
        <v>3581</v>
      </c>
      <c r="C192" s="38">
        <v>8316019</v>
      </c>
      <c r="D192" s="74">
        <v>17751851008164</v>
      </c>
      <c r="E192" s="38" t="s">
        <v>901</v>
      </c>
      <c r="F192" s="38">
        <v>16</v>
      </c>
      <c r="G192" s="38" t="s">
        <v>9</v>
      </c>
      <c r="H192" s="39" t="str">
        <f>_xlfn.XLOOKUP(CRUCE[[#This Row],[Ubicacion]],Registros[Ubicacion],Registros[Codigo], "")</f>
        <v/>
      </c>
      <c r="I192" s="25" t="str">
        <f>_xlfn.XLOOKUP(CRUCE[[#This Row],[Ubicacion]],Registros[Ubicacion],Registros[Total], "")</f>
        <v/>
      </c>
      <c r="J192" s="79" t="str">
        <f>_xlfn.XLOOKUP(CRUCE[[#This Row],[Ubicacion]],Registros[Ubicacion],Registros[UMA], "")</f>
        <v/>
      </c>
      <c r="K192" s="39" t="str">
        <f>IF(CRUCE[[#This Row],[TOTAL]]="","",CRUCE[[#This Row],[TOTAL]]-CRUCE[[#This Row],[BULTOS]])</f>
        <v/>
      </c>
      <c r="L192" s="38" t="str">
        <f>IF(CRUCE[[#This Row],[TOTAL]]="", "PENDIENTE", IF(CRUCE[[#This Row],[Diferencia]]=0, "CUADRADO", IF(CRUCE[[#This Row],[Diferencia]]&gt;0, "SOBRANTE", "FALTANTE")))</f>
        <v>PENDIENTE</v>
      </c>
      <c r="M192" s="71" t="str">
        <f>IF(CRUCE[[#This Row],[Diferencia]]="","",IF(CRUCE[[#This Row],[Diferencia]]=0,"OK","RECONTEO"))</f>
        <v/>
      </c>
      <c r="N192" s="39" t="str">
        <f>_xlfn.XLOOKUP(CRUCE[[#This Row],[Ubicacion]],Registros[Ubicacion],Registros[Codigo], "")</f>
        <v/>
      </c>
      <c r="O192" s="25"/>
      <c r="P192" s="25"/>
      <c r="Q192" s="39" t="str">
        <f>IF(CRUCE[[#This Row],[TOTAL2]]="", "PENDIENTE", IF(CRUCE[[#This Row],[DIFERENCIA2]]=0, "CUADRADO", IF(CRUCE[[#This Row],[DIFERENCIA2]]&gt;0, "SOBRANTE", "FALTANTE")))</f>
        <v>PENDIENTE</v>
      </c>
      <c r="R192" s="103" t="s">
        <v>5081</v>
      </c>
      <c r="S192" s="127" t="s">
        <v>5273</v>
      </c>
    </row>
    <row r="193" spans="1:19">
      <c r="A193" s="92" t="s">
        <v>5274</v>
      </c>
      <c r="B193" s="39" t="s">
        <v>4528</v>
      </c>
      <c r="C193" s="26"/>
      <c r="D193" s="35"/>
      <c r="E193" s="26"/>
      <c r="F193" s="26"/>
      <c r="G193" s="26"/>
      <c r="H193" s="39" t="str">
        <f>_xlfn.XLOOKUP(CRUCE[[#This Row],[Ubicacion]],Registros[Ubicacion],Registros[Codigo], "")</f>
        <v/>
      </c>
      <c r="I193" s="26" t="str">
        <f>_xlfn.XLOOKUP(CRUCE[[#This Row],[Ubicacion]],Registros[Ubicacion],Registros[Total], "")</f>
        <v/>
      </c>
      <c r="J193" s="26" t="str">
        <f>_xlfn.XLOOKUP(CRUCE[[#This Row],[Ubicacion]],Registros[Ubicacion],Registros[UMA], "")</f>
        <v/>
      </c>
      <c r="K193" s="39" t="str">
        <f>IF(CRUCE[[#This Row],[TOTAL]]="","",CRUCE[[#This Row],[TOTAL]]-CRUCE[[#This Row],[BULTOS]])</f>
        <v/>
      </c>
      <c r="L193" s="39" t="str">
        <f>IF(CRUCE[[#This Row],[TOTAL]]="", "PENDIENTE", IF(CRUCE[[#This Row],[Diferencia]]=0, "CUADRADO", IF(CRUCE[[#This Row],[Diferencia]]&gt;0, "SOBRANTE", "FALTANTE")))</f>
        <v>PENDIENTE</v>
      </c>
      <c r="M193" s="72" t="str">
        <f>IF(CRUCE[[#This Row],[Diferencia]]="","",IF(CRUCE[[#This Row],[Diferencia]]=0,"OK","RECONTEO"))</f>
        <v/>
      </c>
      <c r="N193" s="39" t="str">
        <f>_xlfn.XLOOKUP(CRUCE[[#This Row],[Ubicacion]],Registros[Ubicacion],Registros[Codigo], "")</f>
        <v/>
      </c>
      <c r="O193" s="26"/>
      <c r="P193" s="26"/>
      <c r="Q193" s="39" t="str">
        <f>IF(CRUCE[[#This Row],[TOTAL2]]="", "PENDIENTE", IF(CRUCE[[#This Row],[DIFERENCIA2]]=0, "CUADRADO", IF(CRUCE[[#This Row],[DIFERENCIA2]]&gt;0, "SOBRANTE", "FALTANTE")))</f>
        <v>PENDIENTE</v>
      </c>
      <c r="R193" s="102" t="s">
        <v>5081</v>
      </c>
      <c r="S193" s="127" t="s">
        <v>5275</v>
      </c>
    </row>
    <row r="194" spans="1:19">
      <c r="A194" s="93" t="s">
        <v>5274</v>
      </c>
      <c r="B194" s="38" t="s">
        <v>4530</v>
      </c>
      <c r="C194" s="25"/>
      <c r="D194" s="34"/>
      <c r="E194" s="25"/>
      <c r="F194" s="25"/>
      <c r="G194" s="25"/>
      <c r="H194" s="39" t="str">
        <f>_xlfn.XLOOKUP(CRUCE[[#This Row],[Ubicacion]],Registros[Ubicacion],Registros[Codigo], "")</f>
        <v/>
      </c>
      <c r="I194" s="25" t="str">
        <f>_xlfn.XLOOKUP(CRUCE[[#This Row],[Ubicacion]],Registros[Ubicacion],Registros[Total], "")</f>
        <v/>
      </c>
      <c r="J194" s="79" t="str">
        <f>_xlfn.XLOOKUP(CRUCE[[#This Row],[Ubicacion]],Registros[Ubicacion],Registros[UMA], "")</f>
        <v/>
      </c>
      <c r="K194" s="39" t="str">
        <f>IF(CRUCE[[#This Row],[TOTAL]]="","",CRUCE[[#This Row],[TOTAL]]-CRUCE[[#This Row],[BULTOS]])</f>
        <v/>
      </c>
      <c r="L194" s="38" t="str">
        <f>IF(CRUCE[[#This Row],[TOTAL]]="", "PENDIENTE", IF(CRUCE[[#This Row],[Diferencia]]=0, "CUADRADO", IF(CRUCE[[#This Row],[Diferencia]]&gt;0, "SOBRANTE", "FALTANTE")))</f>
        <v>PENDIENTE</v>
      </c>
      <c r="M194" s="71" t="str">
        <f>IF(CRUCE[[#This Row],[Diferencia]]="","",IF(CRUCE[[#This Row],[Diferencia]]=0,"OK","RECONTEO"))</f>
        <v/>
      </c>
      <c r="N194" s="39" t="str">
        <f>_xlfn.XLOOKUP(CRUCE[[#This Row],[Ubicacion]],Registros[Ubicacion],Registros[Codigo], "")</f>
        <v/>
      </c>
      <c r="O194" s="25"/>
      <c r="P194" s="25"/>
      <c r="Q194" s="39" t="str">
        <f>IF(CRUCE[[#This Row],[TOTAL2]]="", "PENDIENTE", IF(CRUCE[[#This Row],[DIFERENCIA2]]=0, "CUADRADO", IF(CRUCE[[#This Row],[DIFERENCIA2]]&gt;0, "SOBRANTE", "FALTANTE")))</f>
        <v>PENDIENTE</v>
      </c>
      <c r="R194" s="103" t="s">
        <v>5081</v>
      </c>
      <c r="S194" s="127" t="s">
        <v>5276</v>
      </c>
    </row>
    <row r="195" spans="1:19">
      <c r="A195" s="92" t="s">
        <v>5274</v>
      </c>
      <c r="B195" s="39" t="s">
        <v>3688</v>
      </c>
      <c r="C195" s="39">
        <v>8321111</v>
      </c>
      <c r="D195" s="73">
        <v>17750243073988</v>
      </c>
      <c r="E195" s="39" t="s">
        <v>1385</v>
      </c>
      <c r="F195" s="39">
        <v>89</v>
      </c>
      <c r="G195" s="39" t="s">
        <v>9</v>
      </c>
      <c r="H195" s="39" t="str">
        <f>_xlfn.XLOOKUP(CRUCE[[#This Row],[Ubicacion]],Registros[Ubicacion],Registros[Codigo], "")</f>
        <v/>
      </c>
      <c r="I195" s="39" t="str">
        <f>_xlfn.XLOOKUP(CRUCE[[#This Row],[Ubicacion]],Registros[Ubicacion],Registros[Total], "")</f>
        <v/>
      </c>
      <c r="J195" s="39" t="str">
        <f>_xlfn.XLOOKUP(CRUCE[[#This Row],[Ubicacion]],Registros[Ubicacion],Registros[UMA], "")</f>
        <v/>
      </c>
      <c r="K195" s="39" t="str">
        <f>IF(CRUCE[[#This Row],[TOTAL]]="","",CRUCE[[#This Row],[TOTAL]]-CRUCE[[#This Row],[BULTOS]])</f>
        <v/>
      </c>
      <c r="L195" s="39" t="str">
        <f>IF(CRUCE[[#This Row],[TOTAL]]="", "PENDIENTE", IF(CRUCE[[#This Row],[Diferencia]]=0, "CUADRADO", IF(CRUCE[[#This Row],[Diferencia]]&gt;0, "SOBRANTE", "FALTANTE")))</f>
        <v>PENDIENTE</v>
      </c>
      <c r="M195" s="72" t="str">
        <f>IF(CRUCE[[#This Row],[Diferencia]]="","",IF(CRUCE[[#This Row],[Diferencia]]=0,"OK","RECONTEO"))</f>
        <v/>
      </c>
      <c r="N195" s="39" t="str">
        <f>_xlfn.XLOOKUP(CRUCE[[#This Row],[Ubicacion]],Registros[Ubicacion],Registros[Codigo], "")</f>
        <v/>
      </c>
      <c r="O195" s="39">
        <v>88</v>
      </c>
      <c r="P195" s="39">
        <v>-1</v>
      </c>
      <c r="Q195" s="39" t="str">
        <f>IF(CRUCE[[#This Row],[TOTAL2]]="", "PENDIENTE", IF(CRUCE[[#This Row],[DIFERENCIA2]]=0, "CUADRADO", IF(CRUCE[[#This Row],[DIFERENCIA2]]&gt;0, "SOBRANTE", "FALTANTE")))</f>
        <v>FALTANTE</v>
      </c>
      <c r="R195" s="102" t="s">
        <v>5073</v>
      </c>
      <c r="S195" s="127" t="s">
        <v>5277</v>
      </c>
    </row>
    <row r="196" spans="1:19">
      <c r="A196" s="93" t="s">
        <v>5274</v>
      </c>
      <c r="B196" s="38" t="s">
        <v>3187</v>
      </c>
      <c r="C196" s="38">
        <v>8301104</v>
      </c>
      <c r="D196" s="74">
        <v>17751851014967</v>
      </c>
      <c r="E196" s="38" t="s">
        <v>211</v>
      </c>
      <c r="F196" s="38">
        <v>53</v>
      </c>
      <c r="G196" s="38" t="s">
        <v>9</v>
      </c>
      <c r="H196" s="39" t="str">
        <f>_xlfn.XLOOKUP(CRUCE[[#This Row],[Ubicacion]],Registros[Ubicacion],Registros[Codigo], "")</f>
        <v/>
      </c>
      <c r="I196" s="25" t="str">
        <f>_xlfn.XLOOKUP(CRUCE[[#This Row],[Ubicacion]],Registros[Ubicacion],Registros[Total], "")</f>
        <v/>
      </c>
      <c r="J196" s="25" t="str">
        <f>_xlfn.XLOOKUP(CRUCE[[#This Row],[Ubicacion]],Registros[Ubicacion],Registros[UMA], "")</f>
        <v/>
      </c>
      <c r="K196" s="25" t="str">
        <f>IF(CRUCE[[#This Row],[TOTAL]]="","",CRUCE[[#This Row],[TOTAL]]-CRUCE[[#This Row],[BULTOS]])</f>
        <v/>
      </c>
      <c r="L196" s="38" t="str">
        <f>IF(CRUCE[[#This Row],[TOTAL]]="", "PENDIENTE", IF(CRUCE[[#This Row],[Diferencia]]=0, "CUADRADO", IF(CRUCE[[#This Row],[Diferencia]]&gt;0, "SOBRANTE", "FALTANTE")))</f>
        <v>PENDIENTE</v>
      </c>
      <c r="M196" s="71" t="str">
        <f>IF(CRUCE[[#This Row],[Diferencia]]="","",IF(CRUCE[[#This Row],[Diferencia]]=0,"OK","RECONTEO"))</f>
        <v/>
      </c>
      <c r="N196" s="39" t="str">
        <f>_xlfn.XLOOKUP(CRUCE[[#This Row],[Ubicacion]],Registros[Ubicacion],Registros[Codigo], "")</f>
        <v/>
      </c>
      <c r="O196" s="25"/>
      <c r="P196" s="25"/>
      <c r="Q196" s="39" t="str">
        <f>IF(CRUCE[[#This Row],[TOTAL2]]="", "PENDIENTE", IF(CRUCE[[#This Row],[DIFERENCIA2]]=0, "CUADRADO", IF(CRUCE[[#This Row],[DIFERENCIA2]]&gt;0, "SOBRANTE", "FALTANTE")))</f>
        <v>PENDIENTE</v>
      </c>
      <c r="R196" s="103" t="s">
        <v>5081</v>
      </c>
      <c r="S196" s="127" t="s">
        <v>5278</v>
      </c>
    </row>
    <row r="197" spans="1:19">
      <c r="A197" s="92" t="s">
        <v>5274</v>
      </c>
      <c r="B197" s="39" t="s">
        <v>3207</v>
      </c>
      <c r="C197" s="39">
        <v>8301260</v>
      </c>
      <c r="D197" s="73">
        <v>17751851020470</v>
      </c>
      <c r="E197" s="39" t="s">
        <v>253</v>
      </c>
      <c r="F197" s="39">
        <v>49</v>
      </c>
      <c r="G197" s="39" t="s">
        <v>9</v>
      </c>
      <c r="H197" s="39" t="str">
        <f>_xlfn.XLOOKUP(CRUCE[[#This Row],[Ubicacion]],Registros[Ubicacion],Registros[Codigo], "")</f>
        <v/>
      </c>
      <c r="I197" s="26" t="str">
        <f>_xlfn.XLOOKUP(CRUCE[[#This Row],[Ubicacion]],Registros[Ubicacion],Registros[Total], "")</f>
        <v/>
      </c>
      <c r="J197" s="26" t="str">
        <f>_xlfn.XLOOKUP(CRUCE[[#This Row],[Ubicacion]],Registros[Ubicacion],Registros[UMA], "")</f>
        <v/>
      </c>
      <c r="K197" s="26" t="str">
        <f>IF(CRUCE[[#This Row],[TOTAL]]="","",CRUCE[[#This Row],[TOTAL]]-CRUCE[[#This Row],[BULTOS]])</f>
        <v/>
      </c>
      <c r="L197" s="39" t="str">
        <f>IF(CRUCE[[#This Row],[TOTAL]]="", "PENDIENTE", IF(CRUCE[[#This Row],[Diferencia]]=0, "CUADRADO", IF(CRUCE[[#This Row],[Diferencia]]&gt;0, "SOBRANTE", "FALTANTE")))</f>
        <v>PENDIENTE</v>
      </c>
      <c r="M197" s="72" t="str">
        <f>IF(CRUCE[[#This Row],[Diferencia]]="","",IF(CRUCE[[#This Row],[Diferencia]]=0,"OK","RECONTEO"))</f>
        <v/>
      </c>
      <c r="N197" s="39" t="str">
        <f>_xlfn.XLOOKUP(CRUCE[[#This Row],[Ubicacion]],Registros[Ubicacion],Registros[Codigo], "")</f>
        <v/>
      </c>
      <c r="O197" s="26"/>
      <c r="P197" s="26"/>
      <c r="Q197" s="39" t="str">
        <f>IF(CRUCE[[#This Row],[TOTAL2]]="", "PENDIENTE", IF(CRUCE[[#This Row],[DIFERENCIA2]]=0, "CUADRADO", IF(CRUCE[[#This Row],[DIFERENCIA2]]&gt;0, "SOBRANTE", "FALTANTE")))</f>
        <v>PENDIENTE</v>
      </c>
      <c r="R197" s="102" t="s">
        <v>5081</v>
      </c>
      <c r="S197" s="127" t="s">
        <v>5279</v>
      </c>
    </row>
    <row r="198" spans="1:19">
      <c r="A198" s="93" t="s">
        <v>5274</v>
      </c>
      <c r="B198" s="38" t="s">
        <v>3179</v>
      </c>
      <c r="C198" s="38">
        <v>8301100</v>
      </c>
      <c r="D198" s="74">
        <v>17751851020463</v>
      </c>
      <c r="E198" s="38" t="s">
        <v>203</v>
      </c>
      <c r="F198" s="38">
        <v>45</v>
      </c>
      <c r="G198" s="38" t="s">
        <v>9</v>
      </c>
      <c r="H198" s="39" t="str">
        <f>_xlfn.XLOOKUP(CRUCE[[#This Row],[Ubicacion]],Registros[Ubicacion],Registros[Codigo], "")</f>
        <v/>
      </c>
      <c r="I198" s="25" t="str">
        <f>_xlfn.XLOOKUP(CRUCE[[#This Row],[Ubicacion]],Registros[Ubicacion],Registros[Total], "")</f>
        <v/>
      </c>
      <c r="J198" s="25" t="str">
        <f>_xlfn.XLOOKUP(CRUCE[[#This Row],[Ubicacion]],Registros[Ubicacion],Registros[UMA], "")</f>
        <v/>
      </c>
      <c r="K198" s="25" t="str">
        <f>IF(CRUCE[[#This Row],[TOTAL]]="","",CRUCE[[#This Row],[TOTAL]]-CRUCE[[#This Row],[BULTOS]])</f>
        <v/>
      </c>
      <c r="L198" s="38" t="str">
        <f>IF(CRUCE[[#This Row],[TOTAL]]="", "PENDIENTE", IF(CRUCE[[#This Row],[Diferencia]]=0, "CUADRADO", IF(CRUCE[[#This Row],[Diferencia]]&gt;0, "SOBRANTE", "FALTANTE")))</f>
        <v>PENDIENTE</v>
      </c>
      <c r="M198" s="71" t="str">
        <f>IF(CRUCE[[#This Row],[Diferencia]]="","",IF(CRUCE[[#This Row],[Diferencia]]=0,"OK","RECONTEO"))</f>
        <v/>
      </c>
      <c r="N198" s="39" t="str">
        <f>_xlfn.XLOOKUP(CRUCE[[#This Row],[Ubicacion]],Registros[Ubicacion],Registros[Codigo], "")</f>
        <v/>
      </c>
      <c r="O198" s="25"/>
      <c r="P198" s="25"/>
      <c r="Q198" s="39" t="str">
        <f>IF(CRUCE[[#This Row],[TOTAL2]]="", "PENDIENTE", IF(CRUCE[[#This Row],[DIFERENCIA2]]=0, "CUADRADO", IF(CRUCE[[#This Row],[DIFERENCIA2]]&gt;0, "SOBRANTE", "FALTANTE")))</f>
        <v>PENDIENTE</v>
      </c>
      <c r="R198" s="103" t="s">
        <v>5081</v>
      </c>
      <c r="S198" s="127" t="s">
        <v>5280</v>
      </c>
    </row>
    <row r="199" spans="1:19">
      <c r="A199" s="92" t="s">
        <v>5274</v>
      </c>
      <c r="B199" s="39" t="s">
        <v>3690</v>
      </c>
      <c r="C199" s="39">
        <v>8321113</v>
      </c>
      <c r="D199" s="73">
        <v>17750243074015</v>
      </c>
      <c r="E199" s="39" t="s">
        <v>1389</v>
      </c>
      <c r="F199" s="39">
        <v>41</v>
      </c>
      <c r="G199" s="39" t="s">
        <v>9</v>
      </c>
      <c r="H199" s="39" t="str">
        <f>_xlfn.XLOOKUP(CRUCE[[#This Row],[Ubicacion]],Registros[Ubicacion],Registros[Codigo], "")</f>
        <v/>
      </c>
      <c r="I199" s="26" t="str">
        <f>_xlfn.XLOOKUP(CRUCE[[#This Row],[Ubicacion]],Registros[Ubicacion],Registros[Total], "")</f>
        <v/>
      </c>
      <c r="J199" s="26" t="str">
        <f>_xlfn.XLOOKUP(CRUCE[[#This Row],[Ubicacion]],Registros[Ubicacion],Registros[UMA], "")</f>
        <v/>
      </c>
      <c r="K199" s="26" t="str">
        <f>IF(CRUCE[[#This Row],[TOTAL]]="","",CRUCE[[#This Row],[TOTAL]]-CRUCE[[#This Row],[BULTOS]])</f>
        <v/>
      </c>
      <c r="L199" s="39" t="str">
        <f>IF(CRUCE[[#This Row],[TOTAL]]="", "PENDIENTE", IF(CRUCE[[#This Row],[Diferencia]]=0, "CUADRADO", IF(CRUCE[[#This Row],[Diferencia]]&gt;0, "SOBRANTE", "FALTANTE")))</f>
        <v>PENDIENTE</v>
      </c>
      <c r="M199" s="72" t="str">
        <f>IF(CRUCE[[#This Row],[Diferencia]]="","",IF(CRUCE[[#This Row],[Diferencia]]=0,"OK","RECONTEO"))</f>
        <v/>
      </c>
      <c r="N199" s="39" t="str">
        <f>_xlfn.XLOOKUP(CRUCE[[#This Row],[Ubicacion]],Registros[Ubicacion],Registros[Codigo], "")</f>
        <v/>
      </c>
      <c r="O199" s="26"/>
      <c r="P199" s="26"/>
      <c r="Q199" s="39" t="str">
        <f>IF(CRUCE[[#This Row],[TOTAL2]]="", "PENDIENTE", IF(CRUCE[[#This Row],[DIFERENCIA2]]=0, "CUADRADO", IF(CRUCE[[#This Row],[DIFERENCIA2]]&gt;0, "SOBRANTE", "FALTANTE")))</f>
        <v>PENDIENTE</v>
      </c>
      <c r="R199" s="102" t="s">
        <v>5081</v>
      </c>
      <c r="S199" s="127" t="s">
        <v>5281</v>
      </c>
    </row>
    <row r="200" spans="1:19">
      <c r="A200" s="93" t="s">
        <v>5274</v>
      </c>
      <c r="B200" s="38" t="s">
        <v>3203</v>
      </c>
      <c r="C200" s="38">
        <v>8301256</v>
      </c>
      <c r="D200" s="74">
        <v>17751851014905</v>
      </c>
      <c r="E200" s="38" t="s">
        <v>251</v>
      </c>
      <c r="F200" s="38">
        <v>40</v>
      </c>
      <c r="G200" s="38" t="s">
        <v>9</v>
      </c>
      <c r="H200" s="39" t="str">
        <f>_xlfn.XLOOKUP(CRUCE[[#This Row],[Ubicacion]],Registros[Ubicacion],Registros[Codigo], "")</f>
        <v/>
      </c>
      <c r="I200" s="25" t="str">
        <f>_xlfn.XLOOKUP(CRUCE[[#This Row],[Ubicacion]],Registros[Ubicacion],Registros[Total], "")</f>
        <v/>
      </c>
      <c r="J200" s="25" t="str">
        <f>_xlfn.XLOOKUP(CRUCE[[#This Row],[Ubicacion]],Registros[Ubicacion],Registros[UMA], "")</f>
        <v/>
      </c>
      <c r="K200" s="25" t="str">
        <f>IF(CRUCE[[#This Row],[TOTAL]]="","",CRUCE[[#This Row],[TOTAL]]-CRUCE[[#This Row],[BULTOS]])</f>
        <v/>
      </c>
      <c r="L200" s="38" t="str">
        <f>IF(CRUCE[[#This Row],[TOTAL]]="", "PENDIENTE", IF(CRUCE[[#This Row],[Diferencia]]=0, "CUADRADO", IF(CRUCE[[#This Row],[Diferencia]]&gt;0, "SOBRANTE", "FALTANTE")))</f>
        <v>PENDIENTE</v>
      </c>
      <c r="M200" s="71" t="str">
        <f>IF(CRUCE[[#This Row],[Diferencia]]="","",IF(CRUCE[[#This Row],[Diferencia]]=0,"OK","RECONTEO"))</f>
        <v/>
      </c>
      <c r="N200" s="39" t="str">
        <f>_xlfn.XLOOKUP(CRUCE[[#This Row],[Ubicacion]],Registros[Ubicacion],Registros[Codigo], "")</f>
        <v/>
      </c>
      <c r="O200" s="25"/>
      <c r="P200" s="25"/>
      <c r="Q200" s="39" t="str">
        <f>IF(CRUCE[[#This Row],[TOTAL2]]="", "PENDIENTE", IF(CRUCE[[#This Row],[DIFERENCIA2]]=0, "CUADRADO", IF(CRUCE[[#This Row],[DIFERENCIA2]]&gt;0, "SOBRANTE", "FALTANTE")))</f>
        <v>PENDIENTE</v>
      </c>
      <c r="R200" s="103" t="s">
        <v>5081</v>
      </c>
      <c r="S200" s="127" t="s">
        <v>5282</v>
      </c>
    </row>
    <row r="201" spans="1:19">
      <c r="A201" s="92" t="s">
        <v>5274</v>
      </c>
      <c r="B201" s="39" t="s">
        <v>3183</v>
      </c>
      <c r="C201" s="39">
        <v>8301102</v>
      </c>
      <c r="D201" s="73">
        <v>17751851014929</v>
      </c>
      <c r="E201" s="39" t="s">
        <v>207</v>
      </c>
      <c r="F201" s="39">
        <v>48</v>
      </c>
      <c r="G201" s="39" t="s">
        <v>9</v>
      </c>
      <c r="H201" s="39" t="str">
        <f>_xlfn.XLOOKUP(CRUCE[[#This Row],[Ubicacion]],Registros[Ubicacion],Registros[Codigo], "")</f>
        <v/>
      </c>
      <c r="I201" s="26" t="str">
        <f>_xlfn.XLOOKUP(CRUCE[[#This Row],[Ubicacion]],Registros[Ubicacion],Registros[Total], "")</f>
        <v/>
      </c>
      <c r="J201" s="26" t="str">
        <f>_xlfn.XLOOKUP(CRUCE[[#This Row],[Ubicacion]],Registros[Ubicacion],Registros[UMA], "")</f>
        <v/>
      </c>
      <c r="K201" s="26" t="str">
        <f>IF(CRUCE[[#This Row],[TOTAL]]="","",CRUCE[[#This Row],[TOTAL]]-CRUCE[[#This Row],[BULTOS]])</f>
        <v/>
      </c>
      <c r="L201" s="39" t="str">
        <f>IF(CRUCE[[#This Row],[TOTAL]]="", "PENDIENTE", IF(CRUCE[[#This Row],[Diferencia]]=0, "CUADRADO", IF(CRUCE[[#This Row],[Diferencia]]&gt;0, "SOBRANTE", "FALTANTE")))</f>
        <v>PENDIENTE</v>
      </c>
      <c r="M201" s="72" t="str">
        <f>IF(CRUCE[[#This Row],[Diferencia]]="","",IF(CRUCE[[#This Row],[Diferencia]]=0,"OK","RECONTEO"))</f>
        <v/>
      </c>
      <c r="N201" s="39" t="str">
        <f>_xlfn.XLOOKUP(CRUCE[[#This Row],[Ubicacion]],Registros[Ubicacion],Registros[Codigo], "")</f>
        <v/>
      </c>
      <c r="O201" s="26"/>
      <c r="P201" s="26"/>
      <c r="Q201" s="39" t="str">
        <f>IF(CRUCE[[#This Row],[TOTAL2]]="", "PENDIENTE", IF(CRUCE[[#This Row],[DIFERENCIA2]]=0, "CUADRADO", IF(CRUCE[[#This Row],[DIFERENCIA2]]&gt;0, "SOBRANTE", "FALTANTE")))</f>
        <v>PENDIENTE</v>
      </c>
      <c r="R201" s="102" t="s">
        <v>5081</v>
      </c>
      <c r="S201" s="127" t="s">
        <v>5283</v>
      </c>
    </row>
    <row r="202" spans="1:19">
      <c r="A202" s="93" t="s">
        <v>5274</v>
      </c>
      <c r="B202" s="38" t="s">
        <v>3181</v>
      </c>
      <c r="C202" s="38">
        <v>8301101</v>
      </c>
      <c r="D202" s="74">
        <v>17751851014912</v>
      </c>
      <c r="E202" s="38" t="s">
        <v>205</v>
      </c>
      <c r="F202" s="38">
        <v>68</v>
      </c>
      <c r="G202" s="38" t="s">
        <v>9</v>
      </c>
      <c r="H202" s="39" t="str">
        <f>_xlfn.XLOOKUP(CRUCE[[#This Row],[Ubicacion]],Registros[Ubicacion],Registros[Codigo], "")</f>
        <v/>
      </c>
      <c r="I202" s="25" t="str">
        <f>_xlfn.XLOOKUP(CRUCE[[#This Row],[Ubicacion]],Registros[Ubicacion],Registros[Total], "")</f>
        <v/>
      </c>
      <c r="J202" s="25" t="str">
        <f>_xlfn.XLOOKUP(CRUCE[[#This Row],[Ubicacion]],Registros[Ubicacion],Registros[UMA], "")</f>
        <v/>
      </c>
      <c r="K202" s="25" t="str">
        <f>IF(CRUCE[[#This Row],[TOTAL]]="","",CRUCE[[#This Row],[TOTAL]]-CRUCE[[#This Row],[BULTOS]])</f>
        <v/>
      </c>
      <c r="L202" s="38" t="str">
        <f>IF(CRUCE[[#This Row],[TOTAL]]="", "PENDIENTE", IF(CRUCE[[#This Row],[Diferencia]]=0, "CUADRADO", IF(CRUCE[[#This Row],[Diferencia]]&gt;0, "SOBRANTE", "FALTANTE")))</f>
        <v>PENDIENTE</v>
      </c>
      <c r="M202" s="71" t="str">
        <f>IF(CRUCE[[#This Row],[Diferencia]]="","",IF(CRUCE[[#This Row],[Diferencia]]=0,"OK","RECONTEO"))</f>
        <v/>
      </c>
      <c r="N202" s="39" t="str">
        <f>_xlfn.XLOOKUP(CRUCE[[#This Row],[Ubicacion]],Registros[Ubicacion],Registros[Codigo], "")</f>
        <v/>
      </c>
      <c r="O202" s="25"/>
      <c r="P202" s="25"/>
      <c r="Q202" s="39" t="str">
        <f>IF(CRUCE[[#This Row],[TOTAL2]]="", "PENDIENTE", IF(CRUCE[[#This Row],[DIFERENCIA2]]=0, "CUADRADO", IF(CRUCE[[#This Row],[DIFERENCIA2]]&gt;0, "SOBRANTE", "FALTANTE")))</f>
        <v>PENDIENTE</v>
      </c>
      <c r="R202" s="103" t="s">
        <v>5081</v>
      </c>
      <c r="S202" s="127" t="s">
        <v>5284</v>
      </c>
    </row>
    <row r="203" spans="1:19">
      <c r="A203" s="92" t="s">
        <v>5274</v>
      </c>
      <c r="B203" s="39" t="s">
        <v>3682</v>
      </c>
      <c r="C203" s="39">
        <v>8321105</v>
      </c>
      <c r="D203" s="73">
        <v>17750243073940</v>
      </c>
      <c r="E203" s="39" t="s">
        <v>1375</v>
      </c>
      <c r="F203" s="39">
        <v>262</v>
      </c>
      <c r="G203" s="39" t="s">
        <v>9</v>
      </c>
      <c r="H203" s="39" t="str">
        <f>_xlfn.XLOOKUP(CRUCE[[#This Row],[Ubicacion]],Registros[Ubicacion],Registros[Codigo], "")</f>
        <v/>
      </c>
      <c r="I203" s="26" t="str">
        <f>_xlfn.XLOOKUP(CRUCE[[#This Row],[Ubicacion]],Registros[Ubicacion],Registros[Total], "")</f>
        <v/>
      </c>
      <c r="J203" s="26" t="str">
        <f>_xlfn.XLOOKUP(CRUCE[[#This Row],[Ubicacion]],Registros[Ubicacion],Registros[UMA], "")</f>
        <v/>
      </c>
      <c r="K203" s="26" t="str">
        <f>IF(CRUCE[[#This Row],[TOTAL]]="","",CRUCE[[#This Row],[TOTAL]]-CRUCE[[#This Row],[BULTOS]])</f>
        <v/>
      </c>
      <c r="L203" s="39" t="str">
        <f>IF(CRUCE[[#This Row],[TOTAL]]="", "PENDIENTE", IF(CRUCE[[#This Row],[Diferencia]]=0, "CUADRADO", IF(CRUCE[[#This Row],[Diferencia]]&gt;0, "SOBRANTE", "FALTANTE")))</f>
        <v>PENDIENTE</v>
      </c>
      <c r="M203" s="72" t="str">
        <f>IF(CRUCE[[#This Row],[Diferencia]]="","",IF(CRUCE[[#This Row],[Diferencia]]=0,"OK","RECONTEO"))</f>
        <v/>
      </c>
      <c r="N203" s="39" t="str">
        <f>_xlfn.XLOOKUP(CRUCE[[#This Row],[Ubicacion]],Registros[Ubicacion],Registros[Codigo], "")</f>
        <v/>
      </c>
      <c r="O203" s="26"/>
      <c r="P203" s="26"/>
      <c r="Q203" s="39" t="str">
        <f>IF(CRUCE[[#This Row],[TOTAL2]]="", "PENDIENTE", IF(CRUCE[[#This Row],[DIFERENCIA2]]=0, "CUADRADO", IF(CRUCE[[#This Row],[DIFERENCIA2]]&gt;0, "SOBRANTE", "FALTANTE")))</f>
        <v>PENDIENTE</v>
      </c>
      <c r="R203" s="102" t="s">
        <v>5081</v>
      </c>
      <c r="S203" s="127" t="s">
        <v>5285</v>
      </c>
    </row>
    <row r="204" spans="1:19">
      <c r="A204" s="93" t="s">
        <v>5274</v>
      </c>
      <c r="B204" s="38" t="s">
        <v>4541</v>
      </c>
      <c r="C204" s="25"/>
      <c r="D204" s="34"/>
      <c r="E204" s="25"/>
      <c r="F204" s="25"/>
      <c r="G204" s="25"/>
      <c r="H204" s="39" t="str">
        <f>_xlfn.XLOOKUP(CRUCE[[#This Row],[Ubicacion]],Registros[Ubicacion],Registros[Codigo], "")</f>
        <v/>
      </c>
      <c r="I204" s="25" t="str">
        <f>_xlfn.XLOOKUP(CRUCE[[#This Row],[Ubicacion]],Registros[Ubicacion],Registros[Total], "")</f>
        <v/>
      </c>
      <c r="J204" s="25" t="str">
        <f>_xlfn.XLOOKUP(CRUCE[[#This Row],[Ubicacion]],Registros[Ubicacion],Registros[UMA], "")</f>
        <v/>
      </c>
      <c r="K204" s="25" t="str">
        <f>IF(CRUCE[[#This Row],[TOTAL]]="","",CRUCE[[#This Row],[TOTAL]]-CRUCE[[#This Row],[BULTOS]])</f>
        <v/>
      </c>
      <c r="L204" s="38" t="str">
        <f>IF(CRUCE[[#This Row],[TOTAL]]="", "PENDIENTE", IF(CRUCE[[#This Row],[Diferencia]]=0, "CUADRADO", IF(CRUCE[[#This Row],[Diferencia]]&gt;0, "SOBRANTE", "FALTANTE")))</f>
        <v>PENDIENTE</v>
      </c>
      <c r="M204" s="71" t="str">
        <f>IF(CRUCE[[#This Row],[Diferencia]]="","",IF(CRUCE[[#This Row],[Diferencia]]=0,"OK","RECONTEO"))</f>
        <v/>
      </c>
      <c r="N204" s="39" t="str">
        <f>_xlfn.XLOOKUP(CRUCE[[#This Row],[Ubicacion]],Registros[Ubicacion],Registros[Codigo], "")</f>
        <v/>
      </c>
      <c r="O204" s="25"/>
      <c r="P204" s="25"/>
      <c r="Q204" s="39" t="str">
        <f>IF(CRUCE[[#This Row],[TOTAL2]]="", "PENDIENTE", IF(CRUCE[[#This Row],[DIFERENCIA2]]=0, "CUADRADO", IF(CRUCE[[#This Row],[DIFERENCIA2]]&gt;0, "SOBRANTE", "FALTANTE")))</f>
        <v>PENDIENTE</v>
      </c>
      <c r="R204" s="103" t="s">
        <v>5081</v>
      </c>
      <c r="S204" s="127" t="s">
        <v>5286</v>
      </c>
    </row>
    <row r="205" spans="1:19">
      <c r="A205" s="92" t="s">
        <v>5274</v>
      </c>
      <c r="B205" s="39" t="s">
        <v>3755</v>
      </c>
      <c r="C205" s="39">
        <v>8326124</v>
      </c>
      <c r="D205" s="73">
        <v>27750243067243</v>
      </c>
      <c r="E205" s="39" t="s">
        <v>1680</v>
      </c>
      <c r="F205" s="39">
        <v>5</v>
      </c>
      <c r="G205" s="39" t="s">
        <v>9</v>
      </c>
      <c r="H205" s="39" t="str">
        <f>_xlfn.XLOOKUP(CRUCE[[#This Row],[Ubicacion]],Registros[Ubicacion],Registros[Codigo], "")</f>
        <v/>
      </c>
      <c r="I205" s="26" t="str">
        <f>_xlfn.XLOOKUP(CRUCE[[#This Row],[Ubicacion]],Registros[Ubicacion],Registros[Total], "")</f>
        <v/>
      </c>
      <c r="J205" s="26" t="str">
        <f>_xlfn.XLOOKUP(CRUCE[[#This Row],[Ubicacion]],Registros[Ubicacion],Registros[UMA], "")</f>
        <v/>
      </c>
      <c r="K205" s="26" t="str">
        <f>IF(CRUCE[[#This Row],[TOTAL]]="","",CRUCE[[#This Row],[TOTAL]]-CRUCE[[#This Row],[BULTOS]])</f>
        <v/>
      </c>
      <c r="L205" s="39" t="str">
        <f>IF(CRUCE[[#This Row],[TOTAL]]="", "PENDIENTE", IF(CRUCE[[#This Row],[Diferencia]]=0, "CUADRADO", IF(CRUCE[[#This Row],[Diferencia]]&gt;0, "SOBRANTE", "FALTANTE")))</f>
        <v>PENDIENTE</v>
      </c>
      <c r="M205" s="72" t="str">
        <f>IF(CRUCE[[#This Row],[Diferencia]]="","",IF(CRUCE[[#This Row],[Diferencia]]=0,"OK","RECONTEO"))</f>
        <v/>
      </c>
      <c r="N205" s="39" t="str">
        <f>_xlfn.XLOOKUP(CRUCE[[#This Row],[Ubicacion]],Registros[Ubicacion],Registros[Codigo], "")</f>
        <v/>
      </c>
      <c r="O205" s="26"/>
      <c r="P205" s="26"/>
      <c r="Q205" s="39" t="str">
        <f>IF(CRUCE[[#This Row],[TOTAL2]]="", "PENDIENTE", IF(CRUCE[[#This Row],[DIFERENCIA2]]=0, "CUADRADO", IF(CRUCE[[#This Row],[DIFERENCIA2]]&gt;0, "SOBRANTE", "FALTANTE")))</f>
        <v>PENDIENTE</v>
      </c>
      <c r="R205" s="102" t="s">
        <v>5081</v>
      </c>
      <c r="S205" s="127" t="s">
        <v>5287</v>
      </c>
    </row>
    <row r="206" spans="1:19">
      <c r="A206" s="93" t="s">
        <v>5274</v>
      </c>
      <c r="B206" s="38" t="s">
        <v>3214</v>
      </c>
      <c r="C206" s="38">
        <v>8301272</v>
      </c>
      <c r="D206" s="74">
        <v>17751851029626</v>
      </c>
      <c r="E206" s="38" t="s">
        <v>263</v>
      </c>
      <c r="F206" s="38">
        <v>12</v>
      </c>
      <c r="G206" s="38" t="s">
        <v>9</v>
      </c>
      <c r="H206" s="39" t="str">
        <f>_xlfn.XLOOKUP(CRUCE[[#This Row],[Ubicacion]],Registros[Ubicacion],Registros[Codigo], "")</f>
        <v/>
      </c>
      <c r="I206" s="25" t="str">
        <f>_xlfn.XLOOKUP(CRUCE[[#This Row],[Ubicacion]],Registros[Ubicacion],Registros[Total], "")</f>
        <v/>
      </c>
      <c r="J206" s="25" t="str">
        <f>_xlfn.XLOOKUP(CRUCE[[#This Row],[Ubicacion]],Registros[Ubicacion],Registros[UMA], "")</f>
        <v/>
      </c>
      <c r="K206" s="25" t="str">
        <f>IF(CRUCE[[#This Row],[TOTAL]]="","",CRUCE[[#This Row],[TOTAL]]-CRUCE[[#This Row],[BULTOS]])</f>
        <v/>
      </c>
      <c r="L206" s="38" t="str">
        <f>IF(CRUCE[[#This Row],[TOTAL]]="", "PENDIENTE", IF(CRUCE[[#This Row],[Diferencia]]=0, "CUADRADO", IF(CRUCE[[#This Row],[Diferencia]]&gt;0, "SOBRANTE", "FALTANTE")))</f>
        <v>PENDIENTE</v>
      </c>
      <c r="M206" s="71" t="str">
        <f>IF(CRUCE[[#This Row],[Diferencia]]="","",IF(CRUCE[[#This Row],[Diferencia]]=0,"OK","RECONTEO"))</f>
        <v/>
      </c>
      <c r="N206" s="39" t="str">
        <f>_xlfn.XLOOKUP(CRUCE[[#This Row],[Ubicacion]],Registros[Ubicacion],Registros[Codigo], "")</f>
        <v/>
      </c>
      <c r="O206" s="25"/>
      <c r="P206" s="25"/>
      <c r="Q206" s="39" t="str">
        <f>IF(CRUCE[[#This Row],[TOTAL2]]="", "PENDIENTE", IF(CRUCE[[#This Row],[DIFERENCIA2]]=0, "CUADRADO", IF(CRUCE[[#This Row],[DIFERENCIA2]]&gt;0, "SOBRANTE", "FALTANTE")))</f>
        <v>PENDIENTE</v>
      </c>
      <c r="R206" s="103" t="s">
        <v>5081</v>
      </c>
      <c r="S206" s="127" t="s">
        <v>5288</v>
      </c>
    </row>
    <row r="207" spans="1:19">
      <c r="A207" s="92" t="s">
        <v>5274</v>
      </c>
      <c r="B207" s="39" t="s">
        <v>3217</v>
      </c>
      <c r="C207" s="39">
        <v>8301274</v>
      </c>
      <c r="D207" s="73">
        <v>17751851029602</v>
      </c>
      <c r="E207" s="39" t="s">
        <v>265</v>
      </c>
      <c r="F207" s="39">
        <v>8</v>
      </c>
      <c r="G207" s="39" t="s">
        <v>9</v>
      </c>
      <c r="H207" s="39" t="str">
        <f>_xlfn.XLOOKUP(CRUCE[[#This Row],[Ubicacion]],Registros[Ubicacion],Registros[Codigo], "")</f>
        <v/>
      </c>
      <c r="I207" s="26" t="str">
        <f>_xlfn.XLOOKUP(CRUCE[[#This Row],[Ubicacion]],Registros[Ubicacion],Registros[Total], "")</f>
        <v/>
      </c>
      <c r="J207" s="26" t="str">
        <f>_xlfn.XLOOKUP(CRUCE[[#This Row],[Ubicacion]],Registros[Ubicacion],Registros[UMA], "")</f>
        <v/>
      </c>
      <c r="K207" s="26" t="str">
        <f>IF(CRUCE[[#This Row],[TOTAL]]="","",CRUCE[[#This Row],[TOTAL]]-CRUCE[[#This Row],[BULTOS]])</f>
        <v/>
      </c>
      <c r="L207" s="39" t="str">
        <f>IF(CRUCE[[#This Row],[TOTAL]]="", "PENDIENTE", IF(CRUCE[[#This Row],[Diferencia]]=0, "CUADRADO", IF(CRUCE[[#This Row],[Diferencia]]&gt;0, "SOBRANTE", "FALTANTE")))</f>
        <v>PENDIENTE</v>
      </c>
      <c r="M207" s="72" t="str">
        <f>IF(CRUCE[[#This Row],[Diferencia]]="","",IF(CRUCE[[#This Row],[Diferencia]]=0,"OK","RECONTEO"))</f>
        <v/>
      </c>
      <c r="N207" s="39" t="str">
        <f>_xlfn.XLOOKUP(CRUCE[[#This Row],[Ubicacion]],Registros[Ubicacion],Registros[Codigo], "")</f>
        <v/>
      </c>
      <c r="O207" s="26"/>
      <c r="P207" s="26"/>
      <c r="Q207" s="39" t="str">
        <f>IF(CRUCE[[#This Row],[TOTAL2]]="", "PENDIENTE", IF(CRUCE[[#This Row],[DIFERENCIA2]]=0, "CUADRADO", IF(CRUCE[[#This Row],[DIFERENCIA2]]&gt;0, "SOBRANTE", "FALTANTE")))</f>
        <v>PENDIENTE</v>
      </c>
      <c r="R207" s="102" t="s">
        <v>5081</v>
      </c>
      <c r="S207" s="127" t="s">
        <v>5289</v>
      </c>
    </row>
    <row r="208" spans="1:19">
      <c r="A208" s="93" t="s">
        <v>5274</v>
      </c>
      <c r="B208" s="38" t="s">
        <v>3210</v>
      </c>
      <c r="C208" s="38">
        <v>8301271</v>
      </c>
      <c r="D208" s="74">
        <v>17751851029619</v>
      </c>
      <c r="E208" s="38" t="s">
        <v>261</v>
      </c>
      <c r="F208" s="38">
        <v>11</v>
      </c>
      <c r="G208" s="38" t="s">
        <v>9</v>
      </c>
      <c r="H208" s="39" t="str">
        <f>_xlfn.XLOOKUP(CRUCE[[#This Row],[Ubicacion]],Registros[Ubicacion],Registros[Codigo], "")</f>
        <v/>
      </c>
      <c r="I208" s="25" t="str">
        <f>_xlfn.XLOOKUP(CRUCE[[#This Row],[Ubicacion]],Registros[Ubicacion],Registros[Total], "")</f>
        <v/>
      </c>
      <c r="J208" s="25" t="str">
        <f>_xlfn.XLOOKUP(CRUCE[[#This Row],[Ubicacion]],Registros[Ubicacion],Registros[UMA], "")</f>
        <v/>
      </c>
      <c r="K208" s="25" t="str">
        <f>IF(CRUCE[[#This Row],[TOTAL]]="","",CRUCE[[#This Row],[TOTAL]]-CRUCE[[#This Row],[BULTOS]])</f>
        <v/>
      </c>
      <c r="L208" s="38" t="str">
        <f>IF(CRUCE[[#This Row],[TOTAL]]="", "PENDIENTE", IF(CRUCE[[#This Row],[Diferencia]]=0, "CUADRADO", IF(CRUCE[[#This Row],[Diferencia]]&gt;0, "SOBRANTE", "FALTANTE")))</f>
        <v>PENDIENTE</v>
      </c>
      <c r="M208" s="71" t="str">
        <f>IF(CRUCE[[#This Row],[Diferencia]]="","",IF(CRUCE[[#This Row],[Diferencia]]=0,"OK","RECONTEO"))</f>
        <v/>
      </c>
      <c r="N208" s="39" t="str">
        <f>_xlfn.XLOOKUP(CRUCE[[#This Row],[Ubicacion]],Registros[Ubicacion],Registros[Codigo], "")</f>
        <v/>
      </c>
      <c r="O208" s="25"/>
      <c r="P208" s="25"/>
      <c r="Q208" s="39" t="str">
        <f>IF(CRUCE[[#This Row],[TOTAL2]]="", "PENDIENTE", IF(CRUCE[[#This Row],[DIFERENCIA2]]=0, "CUADRADO", IF(CRUCE[[#This Row],[DIFERENCIA2]]&gt;0, "SOBRANTE", "FALTANTE")))</f>
        <v>PENDIENTE</v>
      </c>
      <c r="R208" s="103" t="s">
        <v>5081</v>
      </c>
      <c r="S208" s="127" t="s">
        <v>5290</v>
      </c>
    </row>
    <row r="209" spans="1:19">
      <c r="A209" s="92" t="s">
        <v>5274</v>
      </c>
      <c r="B209" s="39" t="s">
        <v>3199</v>
      </c>
      <c r="C209" s="39">
        <v>8301109</v>
      </c>
      <c r="D209" s="73">
        <v>17751851015339</v>
      </c>
      <c r="E209" s="39" t="s">
        <v>221</v>
      </c>
      <c r="F209" s="39">
        <v>40</v>
      </c>
      <c r="G209" s="39" t="s">
        <v>9</v>
      </c>
      <c r="H209" s="39" t="str">
        <f>_xlfn.XLOOKUP(CRUCE[[#This Row],[Ubicacion]],Registros[Ubicacion],Registros[Codigo], "")</f>
        <v/>
      </c>
      <c r="I209" s="26" t="str">
        <f>_xlfn.XLOOKUP(CRUCE[[#This Row],[Ubicacion]],Registros[Ubicacion],Registros[Total], "")</f>
        <v/>
      </c>
      <c r="J209" s="26" t="str">
        <f>_xlfn.XLOOKUP(CRUCE[[#This Row],[Ubicacion]],Registros[Ubicacion],Registros[UMA], "")</f>
        <v/>
      </c>
      <c r="K209" s="26" t="str">
        <f>IF(CRUCE[[#This Row],[TOTAL]]="","",CRUCE[[#This Row],[TOTAL]]-CRUCE[[#This Row],[BULTOS]])</f>
        <v/>
      </c>
      <c r="L209" s="39" t="str">
        <f>IF(CRUCE[[#This Row],[TOTAL]]="", "PENDIENTE", IF(CRUCE[[#This Row],[Diferencia]]=0, "CUADRADO", IF(CRUCE[[#This Row],[Diferencia]]&gt;0, "SOBRANTE", "FALTANTE")))</f>
        <v>PENDIENTE</v>
      </c>
      <c r="M209" s="72" t="str">
        <f>IF(CRUCE[[#This Row],[Diferencia]]="","",IF(CRUCE[[#This Row],[Diferencia]]=0,"OK","RECONTEO"))</f>
        <v/>
      </c>
      <c r="N209" s="39" t="str">
        <f>_xlfn.XLOOKUP(CRUCE[[#This Row],[Ubicacion]],Registros[Ubicacion],Registros[Codigo], "")</f>
        <v/>
      </c>
      <c r="O209" s="26"/>
      <c r="P209" s="26"/>
      <c r="Q209" s="39" t="str">
        <f>IF(CRUCE[[#This Row],[TOTAL2]]="", "PENDIENTE", IF(CRUCE[[#This Row],[DIFERENCIA2]]=0, "CUADRADO", IF(CRUCE[[#This Row],[DIFERENCIA2]]&gt;0, "SOBRANTE", "FALTANTE")))</f>
        <v>PENDIENTE</v>
      </c>
      <c r="R209" s="102" t="s">
        <v>5081</v>
      </c>
      <c r="S209" s="127" t="s">
        <v>5291</v>
      </c>
    </row>
    <row r="210" spans="1:19">
      <c r="A210" s="93" t="s">
        <v>5274</v>
      </c>
      <c r="B210" s="38" t="s">
        <v>3191</v>
      </c>
      <c r="C210" s="38">
        <v>8301105</v>
      </c>
      <c r="D210" s="74">
        <v>17751851001011</v>
      </c>
      <c r="E210" s="38" t="s">
        <v>213</v>
      </c>
      <c r="F210" s="38">
        <v>13</v>
      </c>
      <c r="G210" s="38" t="s">
        <v>9</v>
      </c>
      <c r="H210" s="39" t="str">
        <f>_xlfn.XLOOKUP(CRUCE[[#This Row],[Ubicacion]],Registros[Ubicacion],Registros[Codigo], "")</f>
        <v/>
      </c>
      <c r="I210" s="25" t="str">
        <f>_xlfn.XLOOKUP(CRUCE[[#This Row],[Ubicacion]],Registros[Ubicacion],Registros[Total], "")</f>
        <v/>
      </c>
      <c r="J210" s="25" t="str">
        <f>_xlfn.XLOOKUP(CRUCE[[#This Row],[Ubicacion]],Registros[Ubicacion],Registros[UMA], "")</f>
        <v/>
      </c>
      <c r="K210" s="25" t="str">
        <f>IF(CRUCE[[#This Row],[TOTAL]]="","",CRUCE[[#This Row],[TOTAL]]-CRUCE[[#This Row],[BULTOS]])</f>
        <v/>
      </c>
      <c r="L210" s="38" t="str">
        <f>IF(CRUCE[[#This Row],[TOTAL]]="", "PENDIENTE", IF(CRUCE[[#This Row],[Diferencia]]=0, "CUADRADO", IF(CRUCE[[#This Row],[Diferencia]]&gt;0, "SOBRANTE", "FALTANTE")))</f>
        <v>PENDIENTE</v>
      </c>
      <c r="M210" s="71" t="str">
        <f>IF(CRUCE[[#This Row],[Diferencia]]="","",IF(CRUCE[[#This Row],[Diferencia]]=0,"OK","RECONTEO"))</f>
        <v/>
      </c>
      <c r="N210" s="39" t="str">
        <f>_xlfn.XLOOKUP(CRUCE[[#This Row],[Ubicacion]],Registros[Ubicacion],Registros[Codigo], "")</f>
        <v/>
      </c>
      <c r="O210" s="25"/>
      <c r="P210" s="25"/>
      <c r="Q210" s="39" t="str">
        <f>IF(CRUCE[[#This Row],[TOTAL2]]="", "PENDIENTE", IF(CRUCE[[#This Row],[DIFERENCIA2]]=0, "CUADRADO", IF(CRUCE[[#This Row],[DIFERENCIA2]]&gt;0, "SOBRANTE", "FALTANTE")))</f>
        <v>PENDIENTE</v>
      </c>
      <c r="R210" s="103" t="s">
        <v>5081</v>
      </c>
      <c r="S210" s="127" t="s">
        <v>5292</v>
      </c>
    </row>
    <row r="211" spans="1:19">
      <c r="A211" s="92" t="s">
        <v>5274</v>
      </c>
      <c r="B211" s="39" t="s">
        <v>3194</v>
      </c>
      <c r="C211" s="39">
        <v>8301106</v>
      </c>
      <c r="D211" s="73">
        <v>17751851001028</v>
      </c>
      <c r="E211" s="39" t="s">
        <v>215</v>
      </c>
      <c r="F211" s="39">
        <v>139</v>
      </c>
      <c r="G211" s="39" t="s">
        <v>9</v>
      </c>
      <c r="H211" s="39" t="str">
        <f>_xlfn.XLOOKUP(CRUCE[[#This Row],[Ubicacion]],Registros[Ubicacion],Registros[Codigo], "")</f>
        <v/>
      </c>
      <c r="I211" s="26" t="str">
        <f>_xlfn.XLOOKUP(CRUCE[[#This Row],[Ubicacion]],Registros[Ubicacion],Registros[Total], "")</f>
        <v/>
      </c>
      <c r="J211" s="26" t="str">
        <f>_xlfn.XLOOKUP(CRUCE[[#This Row],[Ubicacion]],Registros[Ubicacion],Registros[UMA], "")</f>
        <v/>
      </c>
      <c r="K211" s="26" t="str">
        <f>IF(CRUCE[[#This Row],[TOTAL]]="","",CRUCE[[#This Row],[TOTAL]]-CRUCE[[#This Row],[BULTOS]])</f>
        <v/>
      </c>
      <c r="L211" s="39" t="str">
        <f>IF(CRUCE[[#This Row],[TOTAL]]="", "PENDIENTE", IF(CRUCE[[#This Row],[Diferencia]]=0, "CUADRADO", IF(CRUCE[[#This Row],[Diferencia]]&gt;0, "SOBRANTE", "FALTANTE")))</f>
        <v>PENDIENTE</v>
      </c>
      <c r="M211" s="72" t="str">
        <f>IF(CRUCE[[#This Row],[Diferencia]]="","",IF(CRUCE[[#This Row],[Diferencia]]=0,"OK","RECONTEO"))</f>
        <v/>
      </c>
      <c r="N211" s="39" t="str">
        <f>_xlfn.XLOOKUP(CRUCE[[#This Row],[Ubicacion]],Registros[Ubicacion],Registros[Codigo], "")</f>
        <v/>
      </c>
      <c r="O211" s="26"/>
      <c r="P211" s="26"/>
      <c r="Q211" s="39" t="str">
        <f>IF(CRUCE[[#This Row],[TOTAL2]]="", "PENDIENTE", IF(CRUCE[[#This Row],[DIFERENCIA2]]=0, "CUADRADO", IF(CRUCE[[#This Row],[DIFERENCIA2]]&gt;0, "SOBRANTE", "FALTANTE")))</f>
        <v>PENDIENTE</v>
      </c>
      <c r="R211" s="102" t="s">
        <v>5081</v>
      </c>
      <c r="S211" s="127" t="s">
        <v>5293</v>
      </c>
    </row>
    <row r="212" spans="1:19">
      <c r="A212" s="93" t="s">
        <v>5274</v>
      </c>
      <c r="B212" s="38" t="s">
        <v>3196</v>
      </c>
      <c r="C212" s="38">
        <v>8301108</v>
      </c>
      <c r="D212" s="74">
        <v>17751851015322</v>
      </c>
      <c r="E212" s="38" t="s">
        <v>219</v>
      </c>
      <c r="F212" s="38">
        <v>25</v>
      </c>
      <c r="G212" s="38" t="s">
        <v>9</v>
      </c>
      <c r="H212" s="39" t="str">
        <f>_xlfn.XLOOKUP(CRUCE[[#This Row],[Ubicacion]],Registros[Ubicacion],Registros[Codigo], "")</f>
        <v/>
      </c>
      <c r="I212" s="25" t="str">
        <f>_xlfn.XLOOKUP(CRUCE[[#This Row],[Ubicacion]],Registros[Ubicacion],Registros[Total], "")</f>
        <v/>
      </c>
      <c r="J212" s="25" t="str">
        <f>_xlfn.XLOOKUP(CRUCE[[#This Row],[Ubicacion]],Registros[Ubicacion],Registros[UMA], "")</f>
        <v/>
      </c>
      <c r="K212" s="25" t="str">
        <f>IF(CRUCE[[#This Row],[TOTAL]]="","",CRUCE[[#This Row],[TOTAL]]-CRUCE[[#This Row],[BULTOS]])</f>
        <v/>
      </c>
      <c r="L212" s="38" t="str">
        <f>IF(CRUCE[[#This Row],[TOTAL]]="", "PENDIENTE", IF(CRUCE[[#This Row],[Diferencia]]=0, "CUADRADO", IF(CRUCE[[#This Row],[Diferencia]]&gt;0, "SOBRANTE", "FALTANTE")))</f>
        <v>PENDIENTE</v>
      </c>
      <c r="M212" s="71" t="str">
        <f>IF(CRUCE[[#This Row],[Diferencia]]="","",IF(CRUCE[[#This Row],[Diferencia]]=0,"OK","RECONTEO"))</f>
        <v/>
      </c>
      <c r="N212" s="39" t="str">
        <f>_xlfn.XLOOKUP(CRUCE[[#This Row],[Ubicacion]],Registros[Ubicacion],Registros[Codigo], "")</f>
        <v/>
      </c>
      <c r="O212" s="25"/>
      <c r="P212" s="25"/>
      <c r="Q212" s="39" t="str">
        <f>IF(CRUCE[[#This Row],[TOTAL2]]="", "PENDIENTE", IF(CRUCE[[#This Row],[DIFERENCIA2]]=0, "CUADRADO", IF(CRUCE[[#This Row],[DIFERENCIA2]]&gt;0, "SOBRANTE", "FALTANTE")))</f>
        <v>PENDIENTE</v>
      </c>
      <c r="R212" s="103" t="s">
        <v>5081</v>
      </c>
      <c r="S212" s="127" t="s">
        <v>5294</v>
      </c>
    </row>
    <row r="213" spans="1:19">
      <c r="A213" s="92" t="s">
        <v>5274</v>
      </c>
      <c r="B213" s="39" t="s">
        <v>4551</v>
      </c>
      <c r="C213" s="26"/>
      <c r="D213" s="35"/>
      <c r="E213" s="26"/>
      <c r="F213" s="26"/>
      <c r="G213" s="26"/>
      <c r="H213" s="39" t="str">
        <f>_xlfn.XLOOKUP(CRUCE[[#This Row],[Ubicacion]],Registros[Ubicacion],Registros[Codigo], "")</f>
        <v/>
      </c>
      <c r="I213" s="26" t="str">
        <f>_xlfn.XLOOKUP(CRUCE[[#This Row],[Ubicacion]],Registros[Ubicacion],Registros[Total], "")</f>
        <v/>
      </c>
      <c r="J213" s="26" t="str">
        <f>_xlfn.XLOOKUP(CRUCE[[#This Row],[Ubicacion]],Registros[Ubicacion],Registros[UMA], "")</f>
        <v/>
      </c>
      <c r="K213" s="26" t="str">
        <f>IF(CRUCE[[#This Row],[TOTAL]]="","",CRUCE[[#This Row],[TOTAL]]-CRUCE[[#This Row],[BULTOS]])</f>
        <v/>
      </c>
      <c r="L213" s="39" t="str">
        <f>IF(CRUCE[[#This Row],[TOTAL]]="", "PENDIENTE", IF(CRUCE[[#This Row],[Diferencia]]=0, "CUADRADO", IF(CRUCE[[#This Row],[Diferencia]]&gt;0, "SOBRANTE", "FALTANTE")))</f>
        <v>PENDIENTE</v>
      </c>
      <c r="M213" s="72" t="str">
        <f>IF(CRUCE[[#This Row],[Diferencia]]="","",IF(CRUCE[[#This Row],[Diferencia]]=0,"OK","RECONTEO"))</f>
        <v/>
      </c>
      <c r="N213" s="39" t="str">
        <f>_xlfn.XLOOKUP(CRUCE[[#This Row],[Ubicacion]],Registros[Ubicacion],Registros[Codigo], "")</f>
        <v/>
      </c>
      <c r="O213" s="26"/>
      <c r="P213" s="26"/>
      <c r="Q213" s="39" t="str">
        <f>IF(CRUCE[[#This Row],[TOTAL2]]="", "PENDIENTE", IF(CRUCE[[#This Row],[DIFERENCIA2]]=0, "CUADRADO", IF(CRUCE[[#This Row],[DIFERENCIA2]]&gt;0, "SOBRANTE", "FALTANTE")))</f>
        <v>PENDIENTE</v>
      </c>
      <c r="R213" s="102" t="s">
        <v>5081</v>
      </c>
      <c r="S213" s="127" t="s">
        <v>5295</v>
      </c>
    </row>
    <row r="214" spans="1:19">
      <c r="A214" s="93" t="s">
        <v>5274</v>
      </c>
      <c r="B214" s="38" t="s">
        <v>3696</v>
      </c>
      <c r="C214" s="38">
        <v>8321123</v>
      </c>
      <c r="D214" s="74">
        <v>17750243073018</v>
      </c>
      <c r="E214" s="38" t="s">
        <v>1403</v>
      </c>
      <c r="F214" s="38">
        <v>102</v>
      </c>
      <c r="G214" s="38" t="s">
        <v>9</v>
      </c>
      <c r="H214" s="39" t="str">
        <f>_xlfn.XLOOKUP(CRUCE[[#This Row],[Ubicacion]],Registros[Ubicacion],Registros[Codigo], "")</f>
        <v/>
      </c>
      <c r="I214" s="25" t="str">
        <f>_xlfn.XLOOKUP(CRUCE[[#This Row],[Ubicacion]],Registros[Ubicacion],Registros[Total], "")</f>
        <v/>
      </c>
      <c r="J214" s="25" t="str">
        <f>_xlfn.XLOOKUP(CRUCE[[#This Row],[Ubicacion]],Registros[Ubicacion],Registros[UMA], "")</f>
        <v/>
      </c>
      <c r="K214" s="25" t="str">
        <f>IF(CRUCE[[#This Row],[TOTAL]]="","",CRUCE[[#This Row],[TOTAL]]-CRUCE[[#This Row],[BULTOS]])</f>
        <v/>
      </c>
      <c r="L214" s="38" t="str">
        <f>IF(CRUCE[[#This Row],[TOTAL]]="", "PENDIENTE", IF(CRUCE[[#This Row],[Diferencia]]=0, "CUADRADO", IF(CRUCE[[#This Row],[Diferencia]]&gt;0, "SOBRANTE", "FALTANTE")))</f>
        <v>PENDIENTE</v>
      </c>
      <c r="M214" s="71" t="str">
        <f>IF(CRUCE[[#This Row],[Diferencia]]="","",IF(CRUCE[[#This Row],[Diferencia]]=0,"OK","RECONTEO"))</f>
        <v/>
      </c>
      <c r="N214" s="39" t="str">
        <f>_xlfn.XLOOKUP(CRUCE[[#This Row],[Ubicacion]],Registros[Ubicacion],Registros[Codigo], "")</f>
        <v/>
      </c>
      <c r="O214" s="25"/>
      <c r="P214" s="25"/>
      <c r="Q214" s="39" t="str">
        <f>IF(CRUCE[[#This Row],[TOTAL2]]="", "PENDIENTE", IF(CRUCE[[#This Row],[DIFERENCIA2]]=0, "CUADRADO", IF(CRUCE[[#This Row],[DIFERENCIA2]]&gt;0, "SOBRANTE", "FALTANTE")))</f>
        <v>PENDIENTE</v>
      </c>
      <c r="R214" s="103" t="s">
        <v>5081</v>
      </c>
      <c r="S214" s="127" t="s">
        <v>5296</v>
      </c>
    </row>
    <row r="215" spans="1:19">
      <c r="A215" s="92" t="s">
        <v>5274</v>
      </c>
      <c r="B215" s="39" t="s">
        <v>3704</v>
      </c>
      <c r="C215" s="39">
        <v>8321177</v>
      </c>
      <c r="D215" s="73">
        <v>17750243078617</v>
      </c>
      <c r="E215" s="39" t="s">
        <v>1447</v>
      </c>
      <c r="F215" s="39">
        <v>49</v>
      </c>
      <c r="G215" s="39" t="s">
        <v>9</v>
      </c>
      <c r="H215" s="39" t="str">
        <f>_xlfn.XLOOKUP(CRUCE[[#This Row],[Ubicacion]],Registros[Ubicacion],Registros[Codigo], "")</f>
        <v/>
      </c>
      <c r="I215" s="26" t="str">
        <f>_xlfn.XLOOKUP(CRUCE[[#This Row],[Ubicacion]],Registros[Ubicacion],Registros[Total], "")</f>
        <v/>
      </c>
      <c r="J215" s="26" t="str">
        <f>_xlfn.XLOOKUP(CRUCE[[#This Row],[Ubicacion]],Registros[Ubicacion],Registros[UMA], "")</f>
        <v/>
      </c>
      <c r="K215" s="26" t="str">
        <f>IF(CRUCE[[#This Row],[TOTAL]]="","",CRUCE[[#This Row],[TOTAL]]-CRUCE[[#This Row],[BULTOS]])</f>
        <v/>
      </c>
      <c r="L215" s="39" t="str">
        <f>IF(CRUCE[[#This Row],[TOTAL]]="", "PENDIENTE", IF(CRUCE[[#This Row],[Diferencia]]=0, "CUADRADO", IF(CRUCE[[#This Row],[Diferencia]]&gt;0, "SOBRANTE", "FALTANTE")))</f>
        <v>PENDIENTE</v>
      </c>
      <c r="M215" s="72" t="str">
        <f>IF(CRUCE[[#This Row],[Diferencia]]="","",IF(CRUCE[[#This Row],[Diferencia]]=0,"OK","RECONTEO"))</f>
        <v/>
      </c>
      <c r="N215" s="39" t="str">
        <f>_xlfn.XLOOKUP(CRUCE[[#This Row],[Ubicacion]],Registros[Ubicacion],Registros[Codigo], "")</f>
        <v/>
      </c>
      <c r="O215" s="26"/>
      <c r="P215" s="26"/>
      <c r="Q215" s="39" t="str">
        <f>IF(CRUCE[[#This Row],[TOTAL2]]="", "PENDIENTE", IF(CRUCE[[#This Row],[DIFERENCIA2]]=0, "CUADRADO", IF(CRUCE[[#This Row],[DIFERENCIA2]]&gt;0, "SOBRANTE", "FALTANTE")))</f>
        <v>PENDIENTE</v>
      </c>
      <c r="R215" s="102" t="s">
        <v>5081</v>
      </c>
      <c r="S215" s="127" t="s">
        <v>5297</v>
      </c>
    </row>
    <row r="216" spans="1:19">
      <c r="A216" s="93" t="s">
        <v>5274</v>
      </c>
      <c r="B216" s="38" t="s">
        <v>3693</v>
      </c>
      <c r="C216" s="38">
        <v>8321122</v>
      </c>
      <c r="D216" s="74">
        <v>17750243073001</v>
      </c>
      <c r="E216" s="38" t="s">
        <v>1401</v>
      </c>
      <c r="F216" s="38">
        <v>32</v>
      </c>
      <c r="G216" s="38" t="s">
        <v>9</v>
      </c>
      <c r="H216" s="39" t="str">
        <f>_xlfn.XLOOKUP(CRUCE[[#This Row],[Ubicacion]],Registros[Ubicacion],Registros[Codigo], "")</f>
        <v/>
      </c>
      <c r="I216" s="25" t="str">
        <f>_xlfn.XLOOKUP(CRUCE[[#This Row],[Ubicacion]],Registros[Ubicacion],Registros[Total], "")</f>
        <v/>
      </c>
      <c r="J216" s="25" t="str">
        <f>_xlfn.XLOOKUP(CRUCE[[#This Row],[Ubicacion]],Registros[Ubicacion],Registros[UMA], "")</f>
        <v/>
      </c>
      <c r="K216" s="25" t="str">
        <f>IF(CRUCE[[#This Row],[TOTAL]]="","",CRUCE[[#This Row],[TOTAL]]-CRUCE[[#This Row],[BULTOS]])</f>
        <v/>
      </c>
      <c r="L216" s="38" t="str">
        <f>IF(CRUCE[[#This Row],[TOTAL]]="", "PENDIENTE", IF(CRUCE[[#This Row],[Diferencia]]=0, "CUADRADO", IF(CRUCE[[#This Row],[Diferencia]]&gt;0, "SOBRANTE", "FALTANTE")))</f>
        <v>PENDIENTE</v>
      </c>
      <c r="M216" s="71" t="str">
        <f>IF(CRUCE[[#This Row],[Diferencia]]="","",IF(CRUCE[[#This Row],[Diferencia]]=0,"OK","RECONTEO"))</f>
        <v/>
      </c>
      <c r="N216" s="39" t="str">
        <f>_xlfn.XLOOKUP(CRUCE[[#This Row],[Ubicacion]],Registros[Ubicacion],Registros[Codigo], "")</f>
        <v/>
      </c>
      <c r="O216" s="25"/>
      <c r="P216" s="25"/>
      <c r="Q216" s="39" t="str">
        <f>IF(CRUCE[[#This Row],[TOTAL2]]="", "PENDIENTE", IF(CRUCE[[#This Row],[DIFERENCIA2]]=0, "CUADRADO", IF(CRUCE[[#This Row],[DIFERENCIA2]]&gt;0, "SOBRANTE", "FALTANTE")))</f>
        <v>PENDIENTE</v>
      </c>
      <c r="R216" s="103" t="s">
        <v>5081</v>
      </c>
      <c r="S216" s="127" t="s">
        <v>5298</v>
      </c>
    </row>
    <row r="217" spans="1:19">
      <c r="A217" s="92" t="s">
        <v>5274</v>
      </c>
      <c r="B217" s="39" t="s">
        <v>3678</v>
      </c>
      <c r="C217" s="39">
        <v>8321101</v>
      </c>
      <c r="D217" s="73">
        <v>17750243073919</v>
      </c>
      <c r="E217" s="39" t="s">
        <v>3679</v>
      </c>
      <c r="F217" s="39">
        <v>65</v>
      </c>
      <c r="G217" s="39" t="s">
        <v>9</v>
      </c>
      <c r="H217" s="39" t="str">
        <f>_xlfn.XLOOKUP(CRUCE[[#This Row],[Ubicacion]],Registros[Ubicacion],Registros[Codigo], "")</f>
        <v/>
      </c>
      <c r="I217" s="26" t="str">
        <f>_xlfn.XLOOKUP(CRUCE[[#This Row],[Ubicacion]],Registros[Ubicacion],Registros[Total], "")</f>
        <v/>
      </c>
      <c r="J217" s="26" t="str">
        <f>_xlfn.XLOOKUP(CRUCE[[#This Row],[Ubicacion]],Registros[Ubicacion],Registros[UMA], "")</f>
        <v/>
      </c>
      <c r="K217" s="26" t="str">
        <f>IF(CRUCE[[#This Row],[TOTAL]]="","",CRUCE[[#This Row],[TOTAL]]-CRUCE[[#This Row],[BULTOS]])</f>
        <v/>
      </c>
      <c r="L217" s="39" t="str">
        <f>IF(CRUCE[[#This Row],[TOTAL]]="", "PENDIENTE", IF(CRUCE[[#This Row],[Diferencia]]=0, "CUADRADO", IF(CRUCE[[#This Row],[Diferencia]]&gt;0, "SOBRANTE", "FALTANTE")))</f>
        <v>PENDIENTE</v>
      </c>
      <c r="M217" s="72" t="str">
        <f>IF(CRUCE[[#This Row],[Diferencia]]="","",IF(CRUCE[[#This Row],[Diferencia]]=0,"OK","RECONTEO"))</f>
        <v/>
      </c>
      <c r="N217" s="39" t="str">
        <f>_xlfn.XLOOKUP(CRUCE[[#This Row],[Ubicacion]],Registros[Ubicacion],Registros[Codigo], "")</f>
        <v/>
      </c>
      <c r="O217" s="26"/>
      <c r="P217" s="26"/>
      <c r="Q217" s="39" t="str">
        <f>IF(CRUCE[[#This Row],[TOTAL2]]="", "PENDIENTE", IF(CRUCE[[#This Row],[DIFERENCIA2]]=0, "CUADRADO", IF(CRUCE[[#This Row],[DIFERENCIA2]]&gt;0, "SOBRANTE", "FALTANTE")))</f>
        <v>PENDIENTE</v>
      </c>
      <c r="R217" s="102" t="s">
        <v>5081</v>
      </c>
      <c r="S217" s="127" t="s">
        <v>5299</v>
      </c>
    </row>
    <row r="218" spans="1:19">
      <c r="A218" s="93" t="s">
        <v>5274</v>
      </c>
      <c r="B218" s="38" t="s">
        <v>3698</v>
      </c>
      <c r="C218" s="38">
        <v>8321150</v>
      </c>
      <c r="D218" s="74">
        <v>17750243076491</v>
      </c>
      <c r="E218" s="38" t="s">
        <v>1415</v>
      </c>
      <c r="F218" s="38">
        <v>16</v>
      </c>
      <c r="G218" s="38" t="s">
        <v>9</v>
      </c>
      <c r="H218" s="39" t="str">
        <f>_xlfn.XLOOKUP(CRUCE[[#This Row],[Ubicacion]],Registros[Ubicacion],Registros[Codigo], "")</f>
        <v/>
      </c>
      <c r="I218" s="25" t="str">
        <f>_xlfn.XLOOKUP(CRUCE[[#This Row],[Ubicacion]],Registros[Ubicacion],Registros[Total], "")</f>
        <v/>
      </c>
      <c r="J218" s="25" t="str">
        <f>_xlfn.XLOOKUP(CRUCE[[#This Row],[Ubicacion]],Registros[Ubicacion],Registros[UMA], "")</f>
        <v/>
      </c>
      <c r="K218" s="25" t="str">
        <f>IF(CRUCE[[#This Row],[TOTAL]]="","",CRUCE[[#This Row],[TOTAL]]-CRUCE[[#This Row],[BULTOS]])</f>
        <v/>
      </c>
      <c r="L218" s="38" t="str">
        <f>IF(CRUCE[[#This Row],[TOTAL]]="", "PENDIENTE", IF(CRUCE[[#This Row],[Diferencia]]=0, "CUADRADO", IF(CRUCE[[#This Row],[Diferencia]]&gt;0, "SOBRANTE", "FALTANTE")))</f>
        <v>PENDIENTE</v>
      </c>
      <c r="M218" s="71" t="str">
        <f>IF(CRUCE[[#This Row],[Diferencia]]="","",IF(CRUCE[[#This Row],[Diferencia]]=0,"OK","RECONTEO"))</f>
        <v/>
      </c>
      <c r="N218" s="39" t="str">
        <f>_xlfn.XLOOKUP(CRUCE[[#This Row],[Ubicacion]],Registros[Ubicacion],Registros[Codigo], "")</f>
        <v/>
      </c>
      <c r="O218" s="25"/>
      <c r="P218" s="25"/>
      <c r="Q218" s="39" t="str">
        <f>IF(CRUCE[[#This Row],[TOTAL2]]="", "PENDIENTE", IF(CRUCE[[#This Row],[DIFERENCIA2]]=0, "CUADRADO", IF(CRUCE[[#This Row],[DIFERENCIA2]]&gt;0, "SOBRANTE", "FALTANTE")))</f>
        <v>PENDIENTE</v>
      </c>
      <c r="R218" s="103" t="s">
        <v>5081</v>
      </c>
      <c r="S218" s="127" t="s">
        <v>5300</v>
      </c>
    </row>
    <row r="219" spans="1:19">
      <c r="A219" s="92" t="s">
        <v>5274</v>
      </c>
      <c r="B219" s="39" t="s">
        <v>3719</v>
      </c>
      <c r="C219" s="39">
        <v>8321219</v>
      </c>
      <c r="D219" s="73">
        <v>17750243083130</v>
      </c>
      <c r="E219" s="39" t="s">
        <v>1491</v>
      </c>
      <c r="F219" s="39">
        <v>20</v>
      </c>
      <c r="G219" s="39" t="s">
        <v>9</v>
      </c>
      <c r="H219" s="39" t="str">
        <f>_xlfn.XLOOKUP(CRUCE[[#This Row],[Ubicacion]],Registros[Ubicacion],Registros[Codigo], "")</f>
        <v/>
      </c>
      <c r="I219" s="26" t="str">
        <f>_xlfn.XLOOKUP(CRUCE[[#This Row],[Ubicacion]],Registros[Ubicacion],Registros[Total], "")</f>
        <v/>
      </c>
      <c r="J219" s="26" t="str">
        <f>_xlfn.XLOOKUP(CRUCE[[#This Row],[Ubicacion]],Registros[Ubicacion],Registros[UMA], "")</f>
        <v/>
      </c>
      <c r="K219" s="26" t="str">
        <f>IF(CRUCE[[#This Row],[TOTAL]]="","",CRUCE[[#This Row],[TOTAL]]-CRUCE[[#This Row],[BULTOS]])</f>
        <v/>
      </c>
      <c r="L219" s="39" t="str">
        <f>IF(CRUCE[[#This Row],[TOTAL]]="", "PENDIENTE", IF(CRUCE[[#This Row],[Diferencia]]=0, "CUADRADO", IF(CRUCE[[#This Row],[Diferencia]]&gt;0, "SOBRANTE", "FALTANTE")))</f>
        <v>PENDIENTE</v>
      </c>
      <c r="M219" s="72" t="str">
        <f>IF(CRUCE[[#This Row],[Diferencia]]="","",IF(CRUCE[[#This Row],[Diferencia]]=0,"OK","RECONTEO"))</f>
        <v/>
      </c>
      <c r="N219" s="39" t="str">
        <f>_xlfn.XLOOKUP(CRUCE[[#This Row],[Ubicacion]],Registros[Ubicacion],Registros[Codigo], "")</f>
        <v/>
      </c>
      <c r="O219" s="26"/>
      <c r="P219" s="26"/>
      <c r="Q219" s="39" t="str">
        <f>IF(CRUCE[[#This Row],[TOTAL2]]="", "PENDIENTE", IF(CRUCE[[#This Row],[DIFERENCIA2]]=0, "CUADRADO", IF(CRUCE[[#This Row],[DIFERENCIA2]]&gt;0, "SOBRANTE", "FALTANTE")))</f>
        <v>PENDIENTE</v>
      </c>
      <c r="R219" s="102" t="s">
        <v>5081</v>
      </c>
      <c r="S219" s="127" t="s">
        <v>5301</v>
      </c>
    </row>
    <row r="220" spans="1:19">
      <c r="A220" s="93" t="s">
        <v>5274</v>
      </c>
      <c r="B220" s="38" t="s">
        <v>3707</v>
      </c>
      <c r="C220" s="38">
        <v>8321182</v>
      </c>
      <c r="D220" s="74">
        <v>17750243078761</v>
      </c>
      <c r="E220" s="38" t="s">
        <v>1457</v>
      </c>
      <c r="F220" s="38">
        <v>59</v>
      </c>
      <c r="G220" s="38" t="s">
        <v>9</v>
      </c>
      <c r="H220" s="39" t="str">
        <f>_xlfn.XLOOKUP(CRUCE[[#This Row],[Ubicacion]],Registros[Ubicacion],Registros[Codigo], "")</f>
        <v/>
      </c>
      <c r="I220" s="25" t="str">
        <f>_xlfn.XLOOKUP(CRUCE[[#This Row],[Ubicacion]],Registros[Ubicacion],Registros[Total], "")</f>
        <v/>
      </c>
      <c r="J220" s="25" t="str">
        <f>_xlfn.XLOOKUP(CRUCE[[#This Row],[Ubicacion]],Registros[Ubicacion],Registros[UMA], "")</f>
        <v/>
      </c>
      <c r="K220" s="25" t="str">
        <f>IF(CRUCE[[#This Row],[TOTAL]]="","",CRUCE[[#This Row],[TOTAL]]-CRUCE[[#This Row],[BULTOS]])</f>
        <v/>
      </c>
      <c r="L220" s="38" t="str">
        <f>IF(CRUCE[[#This Row],[TOTAL]]="", "PENDIENTE", IF(CRUCE[[#This Row],[Diferencia]]=0, "CUADRADO", IF(CRUCE[[#This Row],[Diferencia]]&gt;0, "SOBRANTE", "FALTANTE")))</f>
        <v>PENDIENTE</v>
      </c>
      <c r="M220" s="71" t="str">
        <f>IF(CRUCE[[#This Row],[Diferencia]]="","",IF(CRUCE[[#This Row],[Diferencia]]=0,"OK","RECONTEO"))</f>
        <v/>
      </c>
      <c r="N220" s="39" t="str">
        <f>_xlfn.XLOOKUP(CRUCE[[#This Row],[Ubicacion]],Registros[Ubicacion],Registros[Codigo], "")</f>
        <v/>
      </c>
      <c r="O220" s="25"/>
      <c r="P220" s="25"/>
      <c r="Q220" s="39" t="str">
        <f>IF(CRUCE[[#This Row],[TOTAL2]]="", "PENDIENTE", IF(CRUCE[[#This Row],[DIFERENCIA2]]=0, "CUADRADO", IF(CRUCE[[#This Row],[DIFERENCIA2]]&gt;0, "SOBRANTE", "FALTANTE")))</f>
        <v>PENDIENTE</v>
      </c>
      <c r="R220" s="103" t="s">
        <v>5081</v>
      </c>
      <c r="S220" s="127" t="s">
        <v>5302</v>
      </c>
    </row>
    <row r="221" spans="1:19">
      <c r="A221" s="92" t="s">
        <v>5274</v>
      </c>
      <c r="B221" s="39" t="s">
        <v>4560</v>
      </c>
      <c r="C221" s="26"/>
      <c r="D221" s="35"/>
      <c r="E221" s="26"/>
      <c r="F221" s="26"/>
      <c r="G221" s="26"/>
      <c r="H221" s="39" t="str">
        <f>_xlfn.XLOOKUP(CRUCE[[#This Row],[Ubicacion]],Registros[Ubicacion],Registros[Codigo], "")</f>
        <v/>
      </c>
      <c r="I221" s="26" t="str">
        <f>_xlfn.XLOOKUP(CRUCE[[#This Row],[Ubicacion]],Registros[Ubicacion],Registros[Total], "")</f>
        <v/>
      </c>
      <c r="J221" s="26" t="str">
        <f>_xlfn.XLOOKUP(CRUCE[[#This Row],[Ubicacion]],Registros[Ubicacion],Registros[UMA], "")</f>
        <v/>
      </c>
      <c r="K221" s="26" t="str">
        <f>IF(CRUCE[[#This Row],[TOTAL]]="","",CRUCE[[#This Row],[TOTAL]]-CRUCE[[#This Row],[BULTOS]])</f>
        <v/>
      </c>
      <c r="L221" s="39" t="str">
        <f>IF(CRUCE[[#This Row],[TOTAL]]="", "PENDIENTE", IF(CRUCE[[#This Row],[Diferencia]]=0, "CUADRADO", IF(CRUCE[[#This Row],[Diferencia]]&gt;0, "SOBRANTE", "FALTANTE")))</f>
        <v>PENDIENTE</v>
      </c>
      <c r="M221" s="72" t="str">
        <f>IF(CRUCE[[#This Row],[Diferencia]]="","",IF(CRUCE[[#This Row],[Diferencia]]=0,"OK","RECONTEO"))</f>
        <v/>
      </c>
      <c r="N221" s="39" t="str">
        <f>_xlfn.XLOOKUP(CRUCE[[#This Row],[Ubicacion]],Registros[Ubicacion],Registros[Codigo], "")</f>
        <v/>
      </c>
      <c r="O221" s="26"/>
      <c r="P221" s="26"/>
      <c r="Q221" s="39" t="str">
        <f>IF(CRUCE[[#This Row],[TOTAL2]]="", "PENDIENTE", IF(CRUCE[[#This Row],[DIFERENCIA2]]=0, "CUADRADO", IF(CRUCE[[#This Row],[DIFERENCIA2]]&gt;0, "SOBRANTE", "FALTANTE")))</f>
        <v>PENDIENTE</v>
      </c>
      <c r="R221" s="102" t="s">
        <v>5081</v>
      </c>
      <c r="S221" s="127" t="s">
        <v>5303</v>
      </c>
    </row>
    <row r="222" spans="1:19">
      <c r="A222" s="93" t="s">
        <v>5274</v>
      </c>
      <c r="B222" s="38" t="s">
        <v>3710</v>
      </c>
      <c r="C222" s="38">
        <v>8321199</v>
      </c>
      <c r="D222" s="74">
        <v>17750243081976</v>
      </c>
      <c r="E222" s="38" t="s">
        <v>3711</v>
      </c>
      <c r="F222" s="38">
        <v>22</v>
      </c>
      <c r="G222" s="38" t="s">
        <v>9</v>
      </c>
      <c r="H222" s="39" t="str">
        <f>_xlfn.XLOOKUP(CRUCE[[#This Row],[Ubicacion]],Registros[Ubicacion],Registros[Codigo], "")</f>
        <v/>
      </c>
      <c r="I222" s="25" t="str">
        <f>_xlfn.XLOOKUP(CRUCE[[#This Row],[Ubicacion]],Registros[Ubicacion],Registros[Total], "")</f>
        <v/>
      </c>
      <c r="J222" s="25" t="str">
        <f>_xlfn.XLOOKUP(CRUCE[[#This Row],[Ubicacion]],Registros[Ubicacion],Registros[UMA], "")</f>
        <v/>
      </c>
      <c r="K222" s="25" t="str">
        <f>IF(CRUCE[[#This Row],[TOTAL]]="","",CRUCE[[#This Row],[TOTAL]]-CRUCE[[#This Row],[BULTOS]])</f>
        <v/>
      </c>
      <c r="L222" s="38" t="str">
        <f>IF(CRUCE[[#This Row],[TOTAL]]="", "PENDIENTE", IF(CRUCE[[#This Row],[Diferencia]]=0, "CUADRADO", IF(CRUCE[[#This Row],[Diferencia]]&gt;0, "SOBRANTE", "FALTANTE")))</f>
        <v>PENDIENTE</v>
      </c>
      <c r="M222" s="71" t="str">
        <f>IF(CRUCE[[#This Row],[Diferencia]]="","",IF(CRUCE[[#This Row],[Diferencia]]=0,"OK","RECONTEO"))</f>
        <v/>
      </c>
      <c r="N222" s="39" t="str">
        <f>_xlfn.XLOOKUP(CRUCE[[#This Row],[Ubicacion]],Registros[Ubicacion],Registros[Codigo], "")</f>
        <v/>
      </c>
      <c r="O222" s="25"/>
      <c r="P222" s="25"/>
      <c r="Q222" s="39" t="str">
        <f>IF(CRUCE[[#This Row],[TOTAL2]]="", "PENDIENTE", IF(CRUCE[[#This Row],[DIFERENCIA2]]=0, "CUADRADO", IF(CRUCE[[#This Row],[DIFERENCIA2]]&gt;0, "SOBRANTE", "FALTANTE")))</f>
        <v>PENDIENTE</v>
      </c>
      <c r="R222" s="103" t="s">
        <v>5081</v>
      </c>
      <c r="S222" s="127" t="s">
        <v>5304</v>
      </c>
    </row>
    <row r="223" spans="1:19">
      <c r="A223" s="92" t="s">
        <v>5274</v>
      </c>
      <c r="B223" s="39" t="s">
        <v>3713</v>
      </c>
      <c r="C223" s="39">
        <v>8321201</v>
      </c>
      <c r="D223" s="73">
        <v>17750243081990</v>
      </c>
      <c r="E223" s="39" t="s">
        <v>3714</v>
      </c>
      <c r="F223" s="39">
        <v>1</v>
      </c>
      <c r="G223" s="39" t="s">
        <v>9</v>
      </c>
      <c r="H223" s="39" t="str">
        <f>_xlfn.XLOOKUP(CRUCE[[#This Row],[Ubicacion]],Registros[Ubicacion],Registros[Codigo], "")</f>
        <v/>
      </c>
      <c r="I223" s="26" t="str">
        <f>_xlfn.XLOOKUP(CRUCE[[#This Row],[Ubicacion]],Registros[Ubicacion],Registros[Total], "")</f>
        <v/>
      </c>
      <c r="J223" s="26" t="str">
        <f>_xlfn.XLOOKUP(CRUCE[[#This Row],[Ubicacion]],Registros[Ubicacion],Registros[UMA], "")</f>
        <v/>
      </c>
      <c r="K223" s="26" t="str">
        <f>IF(CRUCE[[#This Row],[TOTAL]]="","",CRUCE[[#This Row],[TOTAL]]-CRUCE[[#This Row],[BULTOS]])</f>
        <v/>
      </c>
      <c r="L223" s="39" t="str">
        <f>IF(CRUCE[[#This Row],[TOTAL]]="", "PENDIENTE", IF(CRUCE[[#This Row],[Diferencia]]=0, "CUADRADO", IF(CRUCE[[#This Row],[Diferencia]]&gt;0, "SOBRANTE", "FALTANTE")))</f>
        <v>PENDIENTE</v>
      </c>
      <c r="M223" s="72" t="str">
        <f>IF(CRUCE[[#This Row],[Diferencia]]="","",IF(CRUCE[[#This Row],[Diferencia]]=0,"OK","RECONTEO"))</f>
        <v/>
      </c>
      <c r="N223" s="39" t="str">
        <f>_xlfn.XLOOKUP(CRUCE[[#This Row],[Ubicacion]],Registros[Ubicacion],Registros[Codigo], "")</f>
        <v/>
      </c>
      <c r="O223" s="26"/>
      <c r="P223" s="26"/>
      <c r="Q223" s="39" t="str">
        <f>IF(CRUCE[[#This Row],[TOTAL2]]="", "PENDIENTE", IF(CRUCE[[#This Row],[DIFERENCIA2]]=0, "CUADRADO", IF(CRUCE[[#This Row],[DIFERENCIA2]]&gt;0, "SOBRANTE", "FALTANTE")))</f>
        <v>PENDIENTE</v>
      </c>
      <c r="R223" s="102" t="s">
        <v>5081</v>
      </c>
      <c r="S223" s="129" t="s">
        <v>5305</v>
      </c>
    </row>
    <row r="224" spans="1:19">
      <c r="A224" s="93" t="s">
        <v>5274</v>
      </c>
      <c r="B224" s="38" t="s">
        <v>3716</v>
      </c>
      <c r="C224" s="38">
        <v>8321203</v>
      </c>
      <c r="D224" s="74">
        <v>17750243082010</v>
      </c>
      <c r="E224" s="38" t="s">
        <v>3717</v>
      </c>
      <c r="F224" s="38">
        <v>31</v>
      </c>
      <c r="G224" s="38" t="s">
        <v>9</v>
      </c>
      <c r="H224" s="39" t="str">
        <f>_xlfn.XLOOKUP(CRUCE[[#This Row],[Ubicacion]],Registros[Ubicacion],Registros[Codigo], "")</f>
        <v/>
      </c>
      <c r="I224" s="25" t="str">
        <f>_xlfn.XLOOKUP(CRUCE[[#This Row],[Ubicacion]],Registros[Ubicacion],Registros[Total], "")</f>
        <v/>
      </c>
      <c r="J224" s="25" t="str">
        <f>_xlfn.XLOOKUP(CRUCE[[#This Row],[Ubicacion]],Registros[Ubicacion],Registros[UMA], "")</f>
        <v/>
      </c>
      <c r="K224" s="25" t="str">
        <f>IF(CRUCE[[#This Row],[TOTAL]]="","",CRUCE[[#This Row],[TOTAL]]-CRUCE[[#This Row],[BULTOS]])</f>
        <v/>
      </c>
      <c r="L224" s="38" t="str">
        <f>IF(CRUCE[[#This Row],[TOTAL]]="", "PENDIENTE", IF(CRUCE[[#This Row],[Diferencia]]=0, "CUADRADO", IF(CRUCE[[#This Row],[Diferencia]]&gt;0, "SOBRANTE", "FALTANTE")))</f>
        <v>PENDIENTE</v>
      </c>
      <c r="M224" s="71" t="str">
        <f>IF(CRUCE[[#This Row],[Diferencia]]="","",IF(CRUCE[[#This Row],[Diferencia]]=0,"OK","RECONTEO"))</f>
        <v/>
      </c>
      <c r="N224" s="39" t="str">
        <f>_xlfn.XLOOKUP(CRUCE[[#This Row],[Ubicacion]],Registros[Ubicacion],Registros[Codigo], "")</f>
        <v/>
      </c>
      <c r="O224" s="25"/>
      <c r="P224" s="25"/>
      <c r="Q224" s="39" t="str">
        <f>IF(CRUCE[[#This Row],[TOTAL2]]="", "PENDIENTE", IF(CRUCE[[#This Row],[DIFERENCIA2]]=0, "CUADRADO", IF(CRUCE[[#This Row],[DIFERENCIA2]]&gt;0, "SOBRANTE", "FALTANTE")))</f>
        <v>PENDIENTE</v>
      </c>
      <c r="R224" s="103" t="s">
        <v>5081</v>
      </c>
      <c r="S224" s="127" t="s">
        <v>5306</v>
      </c>
    </row>
    <row r="225" spans="1:19">
      <c r="A225" s="92" t="s">
        <v>5274</v>
      </c>
      <c r="B225" s="39" t="s">
        <v>3701</v>
      </c>
      <c r="C225" s="39">
        <v>8321163</v>
      </c>
      <c r="D225" s="73">
        <v>17750243077436</v>
      </c>
      <c r="E225" s="39" t="s">
        <v>1427</v>
      </c>
      <c r="F225" s="39">
        <v>14</v>
      </c>
      <c r="G225" s="39" t="s">
        <v>9</v>
      </c>
      <c r="H225" s="39" t="str">
        <f>_xlfn.XLOOKUP(CRUCE[[#This Row],[Ubicacion]],Registros[Ubicacion],Registros[Codigo], "")</f>
        <v/>
      </c>
      <c r="I225" s="26" t="str">
        <f>_xlfn.XLOOKUP(CRUCE[[#This Row],[Ubicacion]],Registros[Ubicacion],Registros[Total], "")</f>
        <v/>
      </c>
      <c r="J225" s="26" t="str">
        <f>_xlfn.XLOOKUP(CRUCE[[#This Row],[Ubicacion]],Registros[Ubicacion],Registros[UMA], "")</f>
        <v/>
      </c>
      <c r="K225" s="26" t="str">
        <f>IF(CRUCE[[#This Row],[TOTAL]]="","",CRUCE[[#This Row],[TOTAL]]-CRUCE[[#This Row],[BULTOS]])</f>
        <v/>
      </c>
      <c r="L225" s="39" t="str">
        <f>IF(CRUCE[[#This Row],[TOTAL]]="", "PENDIENTE", IF(CRUCE[[#This Row],[Diferencia]]=0, "CUADRADO", IF(CRUCE[[#This Row],[Diferencia]]&gt;0, "SOBRANTE", "FALTANTE")))</f>
        <v>PENDIENTE</v>
      </c>
      <c r="M225" s="72" t="str">
        <f>IF(CRUCE[[#This Row],[Diferencia]]="","",IF(CRUCE[[#This Row],[Diferencia]]=0,"OK","RECONTEO"))</f>
        <v/>
      </c>
      <c r="N225" s="39" t="str">
        <f>_xlfn.XLOOKUP(CRUCE[[#This Row],[Ubicacion]],Registros[Ubicacion],Registros[Codigo], "")</f>
        <v/>
      </c>
      <c r="O225" s="26"/>
      <c r="P225" s="26"/>
      <c r="Q225" s="39" t="str">
        <f>IF(CRUCE[[#This Row],[TOTAL2]]="", "PENDIENTE", IF(CRUCE[[#This Row],[DIFERENCIA2]]=0, "CUADRADO", IF(CRUCE[[#This Row],[DIFERENCIA2]]&gt;0, "SOBRANTE", "FALTANTE")))</f>
        <v>PENDIENTE</v>
      </c>
      <c r="R225" s="102" t="s">
        <v>5081</v>
      </c>
      <c r="S225" s="127" t="s">
        <v>5307</v>
      </c>
    </row>
    <row r="226" spans="1:19">
      <c r="A226" s="93" t="s">
        <v>5274</v>
      </c>
      <c r="B226" s="38" t="s">
        <v>3685</v>
      </c>
      <c r="C226" s="38">
        <v>8321108</v>
      </c>
      <c r="D226" s="74">
        <v>17750243073971</v>
      </c>
      <c r="E226" s="38" t="s">
        <v>1381</v>
      </c>
      <c r="F226" s="38">
        <v>1</v>
      </c>
      <c r="G226" s="38" t="s">
        <v>9</v>
      </c>
      <c r="H226" s="39" t="str">
        <f>_xlfn.XLOOKUP(CRUCE[[#This Row],[Ubicacion]],Registros[Ubicacion],Registros[Codigo], "")</f>
        <v/>
      </c>
      <c r="I226" s="25" t="str">
        <f>_xlfn.XLOOKUP(CRUCE[[#This Row],[Ubicacion]],Registros[Ubicacion],Registros[Total], "")</f>
        <v/>
      </c>
      <c r="J226" s="25" t="str">
        <f>_xlfn.XLOOKUP(CRUCE[[#This Row],[Ubicacion]],Registros[Ubicacion],Registros[UMA], "")</f>
        <v/>
      </c>
      <c r="K226" s="25" t="str">
        <f>IF(CRUCE[[#This Row],[TOTAL]]="","",CRUCE[[#This Row],[TOTAL]]-CRUCE[[#This Row],[BULTOS]])</f>
        <v/>
      </c>
      <c r="L226" s="38" t="str">
        <f>IF(CRUCE[[#This Row],[TOTAL]]="", "PENDIENTE", IF(CRUCE[[#This Row],[Diferencia]]=0, "CUADRADO", IF(CRUCE[[#This Row],[Diferencia]]&gt;0, "SOBRANTE", "FALTANTE")))</f>
        <v>PENDIENTE</v>
      </c>
      <c r="M226" s="71" t="str">
        <f>IF(CRUCE[[#This Row],[Diferencia]]="","",IF(CRUCE[[#This Row],[Diferencia]]=0,"OK","RECONTEO"))</f>
        <v/>
      </c>
      <c r="N226" s="39" t="str">
        <f>_xlfn.XLOOKUP(CRUCE[[#This Row],[Ubicacion]],Registros[Ubicacion],Registros[Codigo], "")</f>
        <v/>
      </c>
      <c r="O226" s="25"/>
      <c r="P226" s="25"/>
      <c r="Q226" s="39" t="str">
        <f>IF(CRUCE[[#This Row],[TOTAL2]]="", "PENDIENTE", IF(CRUCE[[#This Row],[DIFERENCIA2]]=0, "CUADRADO", IF(CRUCE[[#This Row],[DIFERENCIA2]]&gt;0, "SOBRANTE", "FALTANTE")))</f>
        <v>PENDIENTE</v>
      </c>
      <c r="R226" s="103" t="s">
        <v>5081</v>
      </c>
      <c r="S226" s="127" t="s">
        <v>5308</v>
      </c>
    </row>
    <row r="227" spans="1:19">
      <c r="A227" s="92" t="s">
        <v>5274</v>
      </c>
      <c r="B227" s="39" t="s">
        <v>4567</v>
      </c>
      <c r="C227" s="26"/>
      <c r="D227" s="35"/>
      <c r="E227" s="26"/>
      <c r="F227" s="26"/>
      <c r="G227" s="26"/>
      <c r="H227" s="39" t="str">
        <f>_xlfn.XLOOKUP(CRUCE[[#This Row],[Ubicacion]],Registros[Ubicacion],Registros[Codigo], "")</f>
        <v/>
      </c>
      <c r="I227" s="26" t="str">
        <f>_xlfn.XLOOKUP(CRUCE[[#This Row],[Ubicacion]],Registros[Ubicacion],Registros[Total], "")</f>
        <v/>
      </c>
      <c r="J227" s="26" t="str">
        <f>_xlfn.XLOOKUP(CRUCE[[#This Row],[Ubicacion]],Registros[Ubicacion],Registros[UMA], "")</f>
        <v/>
      </c>
      <c r="K227" s="26" t="str">
        <f>IF(CRUCE[[#This Row],[TOTAL]]="","",CRUCE[[#This Row],[TOTAL]]-CRUCE[[#This Row],[BULTOS]])</f>
        <v/>
      </c>
      <c r="L227" s="39" t="str">
        <f>IF(CRUCE[[#This Row],[TOTAL]]="", "PENDIENTE", IF(CRUCE[[#This Row],[Diferencia]]=0, "CUADRADO", IF(CRUCE[[#This Row],[Diferencia]]&gt;0, "SOBRANTE", "FALTANTE")))</f>
        <v>PENDIENTE</v>
      </c>
      <c r="M227" s="72" t="str">
        <f>IF(CRUCE[[#This Row],[Diferencia]]="","",IF(CRUCE[[#This Row],[Diferencia]]=0,"OK","RECONTEO"))</f>
        <v/>
      </c>
      <c r="N227" s="39" t="str">
        <f>_xlfn.XLOOKUP(CRUCE[[#This Row],[Ubicacion]],Registros[Ubicacion],Registros[Codigo], "")</f>
        <v/>
      </c>
      <c r="O227" s="26"/>
      <c r="P227" s="26"/>
      <c r="Q227" s="39" t="str">
        <f>IF(CRUCE[[#This Row],[TOTAL2]]="", "PENDIENTE", IF(CRUCE[[#This Row],[DIFERENCIA2]]=0, "CUADRADO", IF(CRUCE[[#This Row],[DIFERENCIA2]]&gt;0, "SOBRANTE", "FALTANTE")))</f>
        <v>PENDIENTE</v>
      </c>
      <c r="R227" s="102" t="s">
        <v>5081</v>
      </c>
      <c r="S227" s="127" t="s">
        <v>5309</v>
      </c>
    </row>
    <row r="228" spans="1:19">
      <c r="A228" s="93" t="s">
        <v>5274</v>
      </c>
      <c r="B228" s="38" t="s">
        <v>3270</v>
      </c>
      <c r="C228" s="38">
        <v>8304022</v>
      </c>
      <c r="D228" s="74">
        <v>17751851020241</v>
      </c>
      <c r="E228" s="38" t="s">
        <v>352</v>
      </c>
      <c r="F228" s="38">
        <v>27</v>
      </c>
      <c r="G228" s="38" t="s">
        <v>9</v>
      </c>
      <c r="H228" s="39" t="str">
        <f>_xlfn.XLOOKUP(CRUCE[[#This Row],[Ubicacion]],Registros[Ubicacion],Registros[Codigo], "")</f>
        <v/>
      </c>
      <c r="I228" s="25" t="str">
        <f>_xlfn.XLOOKUP(CRUCE[[#This Row],[Ubicacion]],Registros[Ubicacion],Registros[Total], "")</f>
        <v/>
      </c>
      <c r="J228" s="25" t="str">
        <f>_xlfn.XLOOKUP(CRUCE[[#This Row],[Ubicacion]],Registros[Ubicacion],Registros[UMA], "")</f>
        <v/>
      </c>
      <c r="K228" s="25" t="str">
        <f>IF(CRUCE[[#This Row],[TOTAL]]="","",CRUCE[[#This Row],[TOTAL]]-CRUCE[[#This Row],[BULTOS]])</f>
        <v/>
      </c>
      <c r="L228" s="38" t="str">
        <f>IF(CRUCE[[#This Row],[TOTAL]]="", "PENDIENTE", IF(CRUCE[[#This Row],[Diferencia]]=0, "CUADRADO", IF(CRUCE[[#This Row],[Diferencia]]&gt;0, "SOBRANTE", "FALTANTE")))</f>
        <v>PENDIENTE</v>
      </c>
      <c r="M228" s="71" t="str">
        <f>IF(CRUCE[[#This Row],[Diferencia]]="","",IF(CRUCE[[#This Row],[Diferencia]]=0,"OK","RECONTEO"))</f>
        <v/>
      </c>
      <c r="N228" s="39" t="str">
        <f>_xlfn.XLOOKUP(CRUCE[[#This Row],[Ubicacion]],Registros[Ubicacion],Registros[Codigo], "")</f>
        <v/>
      </c>
      <c r="O228" s="25"/>
      <c r="P228" s="25"/>
      <c r="Q228" s="39" t="str">
        <f>IF(CRUCE[[#This Row],[TOTAL2]]="", "PENDIENTE", IF(CRUCE[[#This Row],[DIFERENCIA2]]=0, "CUADRADO", IF(CRUCE[[#This Row],[DIFERENCIA2]]&gt;0, "SOBRANTE", "FALTANTE")))</f>
        <v>PENDIENTE</v>
      </c>
      <c r="R228" s="103" t="s">
        <v>5081</v>
      </c>
      <c r="S228" s="127" t="s">
        <v>5310</v>
      </c>
    </row>
    <row r="229" spans="1:19">
      <c r="A229" s="92" t="s">
        <v>5274</v>
      </c>
      <c r="B229" s="39" t="s">
        <v>3266</v>
      </c>
      <c r="C229" s="39">
        <v>8304020</v>
      </c>
      <c r="D229" s="73">
        <v>17751851020227</v>
      </c>
      <c r="E229" s="39" t="s">
        <v>348</v>
      </c>
      <c r="F229" s="39">
        <v>2</v>
      </c>
      <c r="G229" s="39" t="s">
        <v>9</v>
      </c>
      <c r="H229" s="39" t="str">
        <f>_xlfn.XLOOKUP(CRUCE[[#This Row],[Ubicacion]],Registros[Ubicacion],Registros[Codigo], "")</f>
        <v/>
      </c>
      <c r="I229" s="26" t="str">
        <f>_xlfn.XLOOKUP(CRUCE[[#This Row],[Ubicacion]],Registros[Ubicacion],Registros[Total], "")</f>
        <v/>
      </c>
      <c r="J229" s="26" t="str">
        <f>_xlfn.XLOOKUP(CRUCE[[#This Row],[Ubicacion]],Registros[Ubicacion],Registros[UMA], "")</f>
        <v/>
      </c>
      <c r="K229" s="26" t="str">
        <f>IF(CRUCE[[#This Row],[TOTAL]]="","",CRUCE[[#This Row],[TOTAL]]-CRUCE[[#This Row],[BULTOS]])</f>
        <v/>
      </c>
      <c r="L229" s="39" t="str">
        <f>IF(CRUCE[[#This Row],[TOTAL]]="", "PENDIENTE", IF(CRUCE[[#This Row],[Diferencia]]=0, "CUADRADO", IF(CRUCE[[#This Row],[Diferencia]]&gt;0, "SOBRANTE", "FALTANTE")))</f>
        <v>PENDIENTE</v>
      </c>
      <c r="M229" s="72" t="str">
        <f>IF(CRUCE[[#This Row],[Diferencia]]="","",IF(CRUCE[[#This Row],[Diferencia]]=0,"OK","RECONTEO"))</f>
        <v/>
      </c>
      <c r="N229" s="39" t="str">
        <f>_xlfn.XLOOKUP(CRUCE[[#This Row],[Ubicacion]],Registros[Ubicacion],Registros[Codigo], "")</f>
        <v/>
      </c>
      <c r="O229" s="26"/>
      <c r="P229" s="26"/>
      <c r="Q229" s="39" t="str">
        <f>IF(CRUCE[[#This Row],[TOTAL2]]="", "PENDIENTE", IF(CRUCE[[#This Row],[DIFERENCIA2]]=0, "CUADRADO", IF(CRUCE[[#This Row],[DIFERENCIA2]]&gt;0, "SOBRANTE", "FALTANTE")))</f>
        <v>PENDIENTE</v>
      </c>
      <c r="R229" s="102" t="s">
        <v>5081</v>
      </c>
      <c r="S229" s="127" t="s">
        <v>5311</v>
      </c>
    </row>
    <row r="230" spans="1:19">
      <c r="A230" s="93" t="s">
        <v>5274</v>
      </c>
      <c r="B230" s="38" t="s">
        <v>3759</v>
      </c>
      <c r="C230" s="38">
        <v>8400460</v>
      </c>
      <c r="D230" s="74">
        <v>17750243079522</v>
      </c>
      <c r="E230" s="38" t="s">
        <v>1866</v>
      </c>
      <c r="F230" s="38">
        <v>33</v>
      </c>
      <c r="G230" s="38" t="s">
        <v>9</v>
      </c>
      <c r="H230" s="39" t="str">
        <f>_xlfn.XLOOKUP(CRUCE[[#This Row],[Ubicacion]],Registros[Ubicacion],Registros[Codigo], "")</f>
        <v/>
      </c>
      <c r="I230" s="25" t="str">
        <f>_xlfn.XLOOKUP(CRUCE[[#This Row],[Ubicacion]],Registros[Ubicacion],Registros[Total], "")</f>
        <v/>
      </c>
      <c r="J230" s="25" t="str">
        <f>_xlfn.XLOOKUP(CRUCE[[#This Row],[Ubicacion]],Registros[Ubicacion],Registros[UMA], "")</f>
        <v/>
      </c>
      <c r="K230" s="25" t="str">
        <f>IF(CRUCE[[#This Row],[TOTAL]]="","",CRUCE[[#This Row],[TOTAL]]-CRUCE[[#This Row],[BULTOS]])</f>
        <v/>
      </c>
      <c r="L230" s="38" t="str">
        <f>IF(CRUCE[[#This Row],[TOTAL]]="", "PENDIENTE", IF(CRUCE[[#This Row],[Diferencia]]=0, "CUADRADO", IF(CRUCE[[#This Row],[Diferencia]]&gt;0, "SOBRANTE", "FALTANTE")))</f>
        <v>PENDIENTE</v>
      </c>
      <c r="M230" s="71" t="str">
        <f>IF(CRUCE[[#This Row],[Diferencia]]="","",IF(CRUCE[[#This Row],[Diferencia]]=0,"OK","RECONTEO"))</f>
        <v/>
      </c>
      <c r="N230" s="39" t="str">
        <f>_xlfn.XLOOKUP(CRUCE[[#This Row],[Ubicacion]],Registros[Ubicacion],Registros[Codigo], "")</f>
        <v/>
      </c>
      <c r="O230" s="25"/>
      <c r="P230" s="25"/>
      <c r="Q230" s="39" t="str">
        <f>IF(CRUCE[[#This Row],[TOTAL2]]="", "PENDIENTE", IF(CRUCE[[#This Row],[DIFERENCIA2]]=0, "CUADRADO", IF(CRUCE[[#This Row],[DIFERENCIA2]]&gt;0, "SOBRANTE", "FALTANTE")))</f>
        <v>PENDIENTE</v>
      </c>
      <c r="R230" s="103" t="s">
        <v>5081</v>
      </c>
      <c r="S230" s="127" t="s">
        <v>5312</v>
      </c>
    </row>
    <row r="231" spans="1:19">
      <c r="A231" s="92" t="s">
        <v>5274</v>
      </c>
      <c r="B231" s="39" t="s">
        <v>3221</v>
      </c>
      <c r="C231" s="39">
        <v>8303003</v>
      </c>
      <c r="D231" s="73">
        <v>17751851021385</v>
      </c>
      <c r="E231" s="39" t="s">
        <v>277</v>
      </c>
      <c r="F231" s="39">
        <v>27</v>
      </c>
      <c r="G231" s="39" t="s">
        <v>9</v>
      </c>
      <c r="H231" s="39" t="str">
        <f>_xlfn.XLOOKUP(CRUCE[[#This Row],[Ubicacion]],Registros[Ubicacion],Registros[Codigo], "")</f>
        <v/>
      </c>
      <c r="I231" s="26" t="str">
        <f>_xlfn.XLOOKUP(CRUCE[[#This Row],[Ubicacion]],Registros[Ubicacion],Registros[Total], "")</f>
        <v/>
      </c>
      <c r="J231" s="26" t="str">
        <f>_xlfn.XLOOKUP(CRUCE[[#This Row],[Ubicacion]],Registros[Ubicacion],Registros[UMA], "")</f>
        <v/>
      </c>
      <c r="K231" s="26" t="str">
        <f>IF(CRUCE[[#This Row],[TOTAL]]="","",CRUCE[[#This Row],[TOTAL]]-CRUCE[[#This Row],[BULTOS]])</f>
        <v/>
      </c>
      <c r="L231" s="39" t="str">
        <f>IF(CRUCE[[#This Row],[TOTAL]]="", "PENDIENTE", IF(CRUCE[[#This Row],[Diferencia]]=0, "CUADRADO", IF(CRUCE[[#This Row],[Diferencia]]&gt;0, "SOBRANTE", "FALTANTE")))</f>
        <v>PENDIENTE</v>
      </c>
      <c r="M231" s="72" t="str">
        <f>IF(CRUCE[[#This Row],[Diferencia]]="","",IF(CRUCE[[#This Row],[Diferencia]]=0,"OK","RECONTEO"))</f>
        <v/>
      </c>
      <c r="N231" s="39" t="str">
        <f>_xlfn.XLOOKUP(CRUCE[[#This Row],[Ubicacion]],Registros[Ubicacion],Registros[Codigo], "")</f>
        <v/>
      </c>
      <c r="O231" s="26"/>
      <c r="P231" s="26"/>
      <c r="Q231" s="39" t="str">
        <f>IF(CRUCE[[#This Row],[TOTAL2]]="", "PENDIENTE", IF(CRUCE[[#This Row],[DIFERENCIA2]]=0, "CUADRADO", IF(CRUCE[[#This Row],[DIFERENCIA2]]&gt;0, "SOBRANTE", "FALTANTE")))</f>
        <v>PENDIENTE</v>
      </c>
      <c r="R231" s="102" t="s">
        <v>5081</v>
      </c>
      <c r="S231" s="127" t="s">
        <v>5313</v>
      </c>
    </row>
    <row r="232" spans="1:19">
      <c r="A232" s="93" t="s">
        <v>5274</v>
      </c>
      <c r="B232" s="38" t="s">
        <v>3762</v>
      </c>
      <c r="C232" s="38">
        <v>8400461</v>
      </c>
      <c r="D232" s="74">
        <v>17750243079539</v>
      </c>
      <c r="E232" s="38" t="s">
        <v>1868</v>
      </c>
      <c r="F232" s="38">
        <v>40</v>
      </c>
      <c r="G232" s="38" t="s">
        <v>9</v>
      </c>
      <c r="H232" s="39" t="str">
        <f>_xlfn.XLOOKUP(CRUCE[[#This Row],[Ubicacion]],Registros[Ubicacion],Registros[Codigo], "")</f>
        <v/>
      </c>
      <c r="I232" s="25" t="str">
        <f>_xlfn.XLOOKUP(CRUCE[[#This Row],[Ubicacion]],Registros[Ubicacion],Registros[Total], "")</f>
        <v/>
      </c>
      <c r="J232" s="25" t="str">
        <f>_xlfn.XLOOKUP(CRUCE[[#This Row],[Ubicacion]],Registros[Ubicacion],Registros[UMA], "")</f>
        <v/>
      </c>
      <c r="K232" s="25" t="str">
        <f>IF(CRUCE[[#This Row],[TOTAL]]="","",CRUCE[[#This Row],[TOTAL]]-CRUCE[[#This Row],[BULTOS]])</f>
        <v/>
      </c>
      <c r="L232" s="38" t="str">
        <f>IF(CRUCE[[#This Row],[TOTAL]]="", "PENDIENTE", IF(CRUCE[[#This Row],[Diferencia]]=0, "CUADRADO", IF(CRUCE[[#This Row],[Diferencia]]&gt;0, "SOBRANTE", "FALTANTE")))</f>
        <v>PENDIENTE</v>
      </c>
      <c r="M232" s="71" t="str">
        <f>IF(CRUCE[[#This Row],[Diferencia]]="","",IF(CRUCE[[#This Row],[Diferencia]]=0,"OK","RECONTEO"))</f>
        <v/>
      </c>
      <c r="N232" s="39" t="str">
        <f>_xlfn.XLOOKUP(CRUCE[[#This Row],[Ubicacion]],Registros[Ubicacion],Registros[Codigo], "")</f>
        <v/>
      </c>
      <c r="O232" s="25"/>
      <c r="P232" s="25"/>
      <c r="Q232" s="39" t="str">
        <f>IF(CRUCE[[#This Row],[TOTAL2]]="", "PENDIENTE", IF(CRUCE[[#This Row],[DIFERENCIA2]]=0, "CUADRADO", IF(CRUCE[[#This Row],[DIFERENCIA2]]&gt;0, "SOBRANTE", "FALTANTE")))</f>
        <v>PENDIENTE</v>
      </c>
      <c r="R232" s="103" t="s">
        <v>5081</v>
      </c>
      <c r="S232" s="127" t="s">
        <v>5314</v>
      </c>
    </row>
    <row r="233" spans="1:19">
      <c r="A233" s="92" t="s">
        <v>5274</v>
      </c>
      <c r="B233" s="39" t="s">
        <v>4574</v>
      </c>
      <c r="C233" s="26"/>
      <c r="D233" s="35"/>
      <c r="E233" s="26"/>
      <c r="F233" s="26"/>
      <c r="G233" s="26"/>
      <c r="H233" s="39" t="str">
        <f>_xlfn.XLOOKUP(CRUCE[[#This Row],[Ubicacion]],Registros[Ubicacion],Registros[Codigo], "")</f>
        <v/>
      </c>
      <c r="I233" s="26" t="str">
        <f>_xlfn.XLOOKUP(CRUCE[[#This Row],[Ubicacion]],Registros[Ubicacion],Registros[Total], "")</f>
        <v/>
      </c>
      <c r="J233" s="26" t="str">
        <f>_xlfn.XLOOKUP(CRUCE[[#This Row],[Ubicacion]],Registros[Ubicacion],Registros[UMA], "")</f>
        <v/>
      </c>
      <c r="K233" s="26" t="str">
        <f>IF(CRUCE[[#This Row],[TOTAL]]="","",CRUCE[[#This Row],[TOTAL]]-CRUCE[[#This Row],[BULTOS]])</f>
        <v/>
      </c>
      <c r="L233" s="39" t="str">
        <f>IF(CRUCE[[#This Row],[TOTAL]]="", "PENDIENTE", IF(CRUCE[[#This Row],[Diferencia]]=0, "CUADRADO", IF(CRUCE[[#This Row],[Diferencia]]&gt;0, "SOBRANTE", "FALTANTE")))</f>
        <v>PENDIENTE</v>
      </c>
      <c r="M233" s="72" t="str">
        <f>IF(CRUCE[[#This Row],[Diferencia]]="","",IF(CRUCE[[#This Row],[Diferencia]]=0,"OK","RECONTEO"))</f>
        <v/>
      </c>
      <c r="N233" s="39" t="str">
        <f>_xlfn.XLOOKUP(CRUCE[[#This Row],[Ubicacion]],Registros[Ubicacion],Registros[Codigo], "")</f>
        <v/>
      </c>
      <c r="O233" s="26"/>
      <c r="P233" s="26"/>
      <c r="Q233" s="39" t="str">
        <f>IF(CRUCE[[#This Row],[TOTAL2]]="", "PENDIENTE", IF(CRUCE[[#This Row],[DIFERENCIA2]]=0, "CUADRADO", IF(CRUCE[[#This Row],[DIFERENCIA2]]&gt;0, "SOBRANTE", "FALTANTE")))</f>
        <v>PENDIENTE</v>
      </c>
      <c r="R233" s="102" t="s">
        <v>5081</v>
      </c>
      <c r="S233" s="127" t="s">
        <v>5315</v>
      </c>
    </row>
    <row r="234" spans="1:19">
      <c r="A234" s="93" t="s">
        <v>5274</v>
      </c>
      <c r="B234" s="38" t="s">
        <v>3225</v>
      </c>
      <c r="C234" s="38">
        <v>8303004</v>
      </c>
      <c r="D234" s="74">
        <v>17751851021392</v>
      </c>
      <c r="E234" s="38" t="s">
        <v>279</v>
      </c>
      <c r="F234" s="38">
        <v>2</v>
      </c>
      <c r="G234" s="38" t="s">
        <v>9</v>
      </c>
      <c r="H234" s="39" t="str">
        <f>_xlfn.XLOOKUP(CRUCE[[#This Row],[Ubicacion]],Registros[Ubicacion],Registros[Codigo], "")</f>
        <v/>
      </c>
      <c r="I234" s="25" t="str">
        <f>_xlfn.XLOOKUP(CRUCE[[#This Row],[Ubicacion]],Registros[Ubicacion],Registros[Total], "")</f>
        <v/>
      </c>
      <c r="J234" s="25" t="str">
        <f>_xlfn.XLOOKUP(CRUCE[[#This Row],[Ubicacion]],Registros[Ubicacion],Registros[UMA], "")</f>
        <v/>
      </c>
      <c r="K234" s="25" t="str">
        <f>IF(CRUCE[[#This Row],[TOTAL]]="","",CRUCE[[#This Row],[TOTAL]]-CRUCE[[#This Row],[BULTOS]])</f>
        <v/>
      </c>
      <c r="L234" s="38" t="str">
        <f>IF(CRUCE[[#This Row],[TOTAL]]="", "PENDIENTE", IF(CRUCE[[#This Row],[Diferencia]]=0, "CUADRADO", IF(CRUCE[[#This Row],[Diferencia]]&gt;0, "SOBRANTE", "FALTANTE")))</f>
        <v>PENDIENTE</v>
      </c>
      <c r="M234" s="71" t="str">
        <f>IF(CRUCE[[#This Row],[Diferencia]]="","",IF(CRUCE[[#This Row],[Diferencia]]=0,"OK","RECONTEO"))</f>
        <v/>
      </c>
      <c r="N234" s="39" t="str">
        <f>_xlfn.XLOOKUP(CRUCE[[#This Row],[Ubicacion]],Registros[Ubicacion],Registros[Codigo], "")</f>
        <v/>
      </c>
      <c r="O234" s="25"/>
      <c r="P234" s="25"/>
      <c r="Q234" s="39" t="str">
        <f>IF(CRUCE[[#This Row],[TOTAL2]]="", "PENDIENTE", IF(CRUCE[[#This Row],[DIFERENCIA2]]=0, "CUADRADO", IF(CRUCE[[#This Row],[DIFERENCIA2]]&gt;0, "SOBRANTE", "FALTANTE")))</f>
        <v>PENDIENTE</v>
      </c>
      <c r="R234" s="103" t="s">
        <v>5081</v>
      </c>
      <c r="S234" s="127" t="s">
        <v>5316</v>
      </c>
    </row>
    <row r="235" spans="1:19">
      <c r="A235" s="92" t="s">
        <v>5274</v>
      </c>
      <c r="B235" s="39" t="s">
        <v>3219</v>
      </c>
      <c r="C235" s="39">
        <v>8303001</v>
      </c>
      <c r="D235" s="73">
        <v>17751851021361</v>
      </c>
      <c r="E235" s="39" t="s">
        <v>275</v>
      </c>
      <c r="F235" s="39">
        <v>33</v>
      </c>
      <c r="G235" s="39" t="s">
        <v>9</v>
      </c>
      <c r="H235" s="39" t="str">
        <f>_xlfn.XLOOKUP(CRUCE[[#This Row],[Ubicacion]],Registros[Ubicacion],Registros[Codigo], "")</f>
        <v/>
      </c>
      <c r="I235" s="26" t="str">
        <f>_xlfn.XLOOKUP(CRUCE[[#This Row],[Ubicacion]],Registros[Ubicacion],Registros[Total], "")</f>
        <v/>
      </c>
      <c r="J235" s="26" t="str">
        <f>_xlfn.XLOOKUP(CRUCE[[#This Row],[Ubicacion]],Registros[Ubicacion],Registros[UMA], "")</f>
        <v/>
      </c>
      <c r="K235" s="26" t="str">
        <f>IF(CRUCE[[#This Row],[TOTAL]]="","",CRUCE[[#This Row],[TOTAL]]-CRUCE[[#This Row],[BULTOS]])</f>
        <v/>
      </c>
      <c r="L235" s="39" t="str">
        <f>IF(CRUCE[[#This Row],[TOTAL]]="", "PENDIENTE", IF(CRUCE[[#This Row],[Diferencia]]=0, "CUADRADO", IF(CRUCE[[#This Row],[Diferencia]]&gt;0, "SOBRANTE", "FALTANTE")))</f>
        <v>PENDIENTE</v>
      </c>
      <c r="M235" s="72" t="str">
        <f>IF(CRUCE[[#This Row],[Diferencia]]="","",IF(CRUCE[[#This Row],[Diferencia]]=0,"OK","RECONTEO"))</f>
        <v/>
      </c>
      <c r="N235" s="39" t="str">
        <f>_xlfn.XLOOKUP(CRUCE[[#This Row],[Ubicacion]],Registros[Ubicacion],Registros[Codigo], "")</f>
        <v/>
      </c>
      <c r="O235" s="26"/>
      <c r="P235" s="26"/>
      <c r="Q235" s="39" t="str">
        <f>IF(CRUCE[[#This Row],[TOTAL2]]="", "PENDIENTE", IF(CRUCE[[#This Row],[DIFERENCIA2]]=0, "CUADRADO", IF(CRUCE[[#This Row],[DIFERENCIA2]]&gt;0, "SOBRANTE", "FALTANTE")))</f>
        <v>PENDIENTE</v>
      </c>
      <c r="R235" s="102" t="s">
        <v>5081</v>
      </c>
      <c r="S235" s="127" t="s">
        <v>5317</v>
      </c>
    </row>
    <row r="236" spans="1:19">
      <c r="A236" s="93" t="s">
        <v>5274</v>
      </c>
      <c r="B236" s="38" t="s">
        <v>3583</v>
      </c>
      <c r="C236" s="38">
        <v>8316026</v>
      </c>
      <c r="D236" s="74">
        <v>17751851086162</v>
      </c>
      <c r="E236" s="38" t="s">
        <v>909</v>
      </c>
      <c r="F236" s="38">
        <v>30</v>
      </c>
      <c r="G236" s="38" t="s">
        <v>9</v>
      </c>
      <c r="H236" s="39" t="str">
        <f>_xlfn.XLOOKUP(CRUCE[[#This Row],[Ubicacion]],Registros[Ubicacion],Registros[Codigo], "")</f>
        <v/>
      </c>
      <c r="I236" s="25" t="str">
        <f>_xlfn.XLOOKUP(CRUCE[[#This Row],[Ubicacion]],Registros[Ubicacion],Registros[Total], "")</f>
        <v/>
      </c>
      <c r="J236" s="25" t="str">
        <f>_xlfn.XLOOKUP(CRUCE[[#This Row],[Ubicacion]],Registros[Ubicacion],Registros[UMA], "")</f>
        <v/>
      </c>
      <c r="K236" s="25" t="str">
        <f>IF(CRUCE[[#This Row],[TOTAL]]="","",CRUCE[[#This Row],[TOTAL]]-CRUCE[[#This Row],[BULTOS]])</f>
        <v/>
      </c>
      <c r="L236" s="38" t="str">
        <f>IF(CRUCE[[#This Row],[TOTAL]]="", "PENDIENTE", IF(CRUCE[[#This Row],[Diferencia]]=0, "CUADRADO", IF(CRUCE[[#This Row],[Diferencia]]&gt;0, "SOBRANTE", "FALTANTE")))</f>
        <v>PENDIENTE</v>
      </c>
      <c r="M236" s="71" t="str">
        <f>IF(CRUCE[[#This Row],[Diferencia]]="","",IF(CRUCE[[#This Row],[Diferencia]]=0,"OK","RECONTEO"))</f>
        <v/>
      </c>
      <c r="N236" s="39" t="str">
        <f>_xlfn.XLOOKUP(CRUCE[[#This Row],[Ubicacion]],Registros[Ubicacion],Registros[Codigo], "")</f>
        <v/>
      </c>
      <c r="O236" s="25"/>
      <c r="P236" s="25"/>
      <c r="Q236" s="39" t="str">
        <f>IF(CRUCE[[#This Row],[TOTAL2]]="", "PENDIENTE", IF(CRUCE[[#This Row],[DIFERENCIA2]]=0, "CUADRADO", IF(CRUCE[[#This Row],[DIFERENCIA2]]&gt;0, "SOBRANTE", "FALTANTE")))</f>
        <v>PENDIENTE</v>
      </c>
      <c r="R236" s="103" t="s">
        <v>5081</v>
      </c>
      <c r="S236" s="127" t="s">
        <v>5318</v>
      </c>
    </row>
    <row r="237" spans="1:19">
      <c r="A237" s="92" t="s">
        <v>5274</v>
      </c>
      <c r="B237" s="39" t="s">
        <v>4201</v>
      </c>
      <c r="C237" s="39">
        <v>9350423</v>
      </c>
      <c r="D237" s="73">
        <v>17750243084649</v>
      </c>
      <c r="E237" s="39" t="s">
        <v>3101</v>
      </c>
      <c r="F237" s="39">
        <v>22</v>
      </c>
      <c r="G237" s="39" t="s">
        <v>9</v>
      </c>
      <c r="H237" s="39" t="str">
        <f>_xlfn.XLOOKUP(CRUCE[[#This Row],[Ubicacion]],Registros[Ubicacion],Registros[Codigo], "")</f>
        <v/>
      </c>
      <c r="I237" s="26" t="str">
        <f>_xlfn.XLOOKUP(CRUCE[[#This Row],[Ubicacion]],Registros[Ubicacion],Registros[Total], "")</f>
        <v/>
      </c>
      <c r="J237" s="26" t="str">
        <f>_xlfn.XLOOKUP(CRUCE[[#This Row],[Ubicacion]],Registros[Ubicacion],Registros[UMA], "")</f>
        <v/>
      </c>
      <c r="K237" s="26" t="str">
        <f>IF(CRUCE[[#This Row],[TOTAL]]="","",CRUCE[[#This Row],[TOTAL]]-CRUCE[[#This Row],[BULTOS]])</f>
        <v/>
      </c>
      <c r="L237" s="39" t="str">
        <f>IF(CRUCE[[#This Row],[TOTAL]]="", "PENDIENTE", IF(CRUCE[[#This Row],[Diferencia]]=0, "CUADRADO", IF(CRUCE[[#This Row],[Diferencia]]&gt;0, "SOBRANTE", "FALTANTE")))</f>
        <v>PENDIENTE</v>
      </c>
      <c r="M237" s="72" t="str">
        <f>IF(CRUCE[[#This Row],[Diferencia]]="","",IF(CRUCE[[#This Row],[Diferencia]]=0,"OK","RECONTEO"))</f>
        <v/>
      </c>
      <c r="N237" s="39" t="str">
        <f>_xlfn.XLOOKUP(CRUCE[[#This Row],[Ubicacion]],Registros[Ubicacion],Registros[Codigo], "")</f>
        <v/>
      </c>
      <c r="O237" s="26"/>
      <c r="P237" s="26"/>
      <c r="Q237" s="39" t="str">
        <f>IF(CRUCE[[#This Row],[TOTAL2]]="", "PENDIENTE", IF(CRUCE[[#This Row],[DIFERENCIA2]]=0, "CUADRADO", IF(CRUCE[[#This Row],[DIFERENCIA2]]&gt;0, "SOBRANTE", "FALTANTE")))</f>
        <v>PENDIENTE</v>
      </c>
      <c r="R237" s="102" t="s">
        <v>5081</v>
      </c>
      <c r="S237" s="127" t="s">
        <v>5319</v>
      </c>
    </row>
    <row r="238" spans="1:19">
      <c r="A238" s="93" t="s">
        <v>5274</v>
      </c>
      <c r="B238" s="38" t="s">
        <v>3757</v>
      </c>
      <c r="C238" s="38">
        <v>8326182</v>
      </c>
      <c r="D238" s="74">
        <v>17751851032473</v>
      </c>
      <c r="E238" s="38" t="s">
        <v>1768</v>
      </c>
      <c r="F238" s="38">
        <v>1</v>
      </c>
      <c r="G238" s="38" t="s">
        <v>9</v>
      </c>
      <c r="H238" s="39" t="str">
        <f>_xlfn.XLOOKUP(CRUCE[[#This Row],[Ubicacion]],Registros[Ubicacion],Registros[Codigo], "")</f>
        <v/>
      </c>
      <c r="I238" s="25" t="str">
        <f>_xlfn.XLOOKUP(CRUCE[[#This Row],[Ubicacion]],Registros[Ubicacion],Registros[Total], "")</f>
        <v/>
      </c>
      <c r="J238" s="25" t="str">
        <f>_xlfn.XLOOKUP(CRUCE[[#This Row],[Ubicacion]],Registros[Ubicacion],Registros[UMA], "")</f>
        <v/>
      </c>
      <c r="K238" s="25" t="str">
        <f>IF(CRUCE[[#This Row],[TOTAL]]="","",CRUCE[[#This Row],[TOTAL]]-CRUCE[[#This Row],[BULTOS]])</f>
        <v/>
      </c>
      <c r="L238" s="38" t="str">
        <f>IF(CRUCE[[#This Row],[TOTAL]]="", "PENDIENTE", IF(CRUCE[[#This Row],[Diferencia]]=0, "CUADRADO", IF(CRUCE[[#This Row],[Diferencia]]&gt;0, "SOBRANTE", "FALTANTE")))</f>
        <v>PENDIENTE</v>
      </c>
      <c r="M238" s="71" t="str">
        <f>IF(CRUCE[[#This Row],[Diferencia]]="","",IF(CRUCE[[#This Row],[Diferencia]]=0,"OK","RECONTEO"))</f>
        <v/>
      </c>
      <c r="N238" s="39" t="str">
        <f>_xlfn.XLOOKUP(CRUCE[[#This Row],[Ubicacion]],Registros[Ubicacion],Registros[Codigo], "")</f>
        <v/>
      </c>
      <c r="O238" s="25"/>
      <c r="P238" s="25"/>
      <c r="Q238" s="39" t="str">
        <f>IF(CRUCE[[#This Row],[TOTAL2]]="", "PENDIENTE", IF(CRUCE[[#This Row],[DIFERENCIA2]]=0, "CUADRADO", IF(CRUCE[[#This Row],[DIFERENCIA2]]&gt;0, "SOBRANTE", "FALTANTE")))</f>
        <v>PENDIENTE</v>
      </c>
      <c r="R238" s="103" t="s">
        <v>5081</v>
      </c>
      <c r="S238" s="127" t="s">
        <v>5320</v>
      </c>
    </row>
    <row r="239" spans="1:19">
      <c r="A239" s="92" t="s">
        <v>5274</v>
      </c>
      <c r="B239" s="39" t="s">
        <v>3155</v>
      </c>
      <c r="C239" s="39">
        <v>8300115</v>
      </c>
      <c r="D239" s="73">
        <v>17750243082263</v>
      </c>
      <c r="E239" s="39" t="s">
        <v>163</v>
      </c>
      <c r="F239" s="39">
        <v>32</v>
      </c>
      <c r="G239" s="39" t="s">
        <v>9</v>
      </c>
      <c r="H239" s="39" t="str">
        <f>_xlfn.XLOOKUP(CRUCE[[#This Row],[Ubicacion]],Registros[Ubicacion],Registros[Codigo], "")</f>
        <v/>
      </c>
      <c r="I239" s="26" t="str">
        <f>_xlfn.XLOOKUP(CRUCE[[#This Row],[Ubicacion]],Registros[Ubicacion],Registros[Total], "")</f>
        <v/>
      </c>
      <c r="J239" s="26" t="str">
        <f>_xlfn.XLOOKUP(CRUCE[[#This Row],[Ubicacion]],Registros[Ubicacion],Registros[UMA], "")</f>
        <v/>
      </c>
      <c r="K239" s="26" t="str">
        <f>IF(CRUCE[[#This Row],[TOTAL]]="","",CRUCE[[#This Row],[TOTAL]]-CRUCE[[#This Row],[BULTOS]])</f>
        <v/>
      </c>
      <c r="L239" s="39" t="str">
        <f>IF(CRUCE[[#This Row],[TOTAL]]="", "PENDIENTE", IF(CRUCE[[#This Row],[Diferencia]]=0, "CUADRADO", IF(CRUCE[[#This Row],[Diferencia]]&gt;0, "SOBRANTE", "FALTANTE")))</f>
        <v>PENDIENTE</v>
      </c>
      <c r="M239" s="72" t="str">
        <f>IF(CRUCE[[#This Row],[Diferencia]]="","",IF(CRUCE[[#This Row],[Diferencia]]=0,"OK","RECONTEO"))</f>
        <v/>
      </c>
      <c r="N239" s="39" t="str">
        <f>_xlfn.XLOOKUP(CRUCE[[#This Row],[Ubicacion]],Registros[Ubicacion],Registros[Codigo], "")</f>
        <v/>
      </c>
      <c r="O239" s="26"/>
      <c r="P239" s="26"/>
      <c r="Q239" s="39" t="str">
        <f>IF(CRUCE[[#This Row],[TOTAL2]]="", "PENDIENTE", IF(CRUCE[[#This Row],[DIFERENCIA2]]=0, "CUADRADO", IF(CRUCE[[#This Row],[DIFERENCIA2]]&gt;0, "SOBRANTE", "FALTANTE")))</f>
        <v>PENDIENTE</v>
      </c>
      <c r="R239" s="102" t="s">
        <v>5081</v>
      </c>
      <c r="S239" s="127" t="s">
        <v>5321</v>
      </c>
    </row>
    <row r="240" spans="1:19">
      <c r="A240" s="93" t="s">
        <v>5274</v>
      </c>
      <c r="B240" s="38" t="s">
        <v>3158</v>
      </c>
      <c r="C240" s="38">
        <v>8300115</v>
      </c>
      <c r="D240" s="74">
        <v>17750243082263</v>
      </c>
      <c r="E240" s="38" t="s">
        <v>163</v>
      </c>
      <c r="F240" s="38">
        <v>32</v>
      </c>
      <c r="G240" s="38" t="s">
        <v>9</v>
      </c>
      <c r="H240" s="39" t="str">
        <f>_xlfn.XLOOKUP(CRUCE[[#This Row],[Ubicacion]],Registros[Ubicacion],Registros[Codigo], "")</f>
        <v/>
      </c>
      <c r="I240" s="25" t="str">
        <f>_xlfn.XLOOKUP(CRUCE[[#This Row],[Ubicacion]],Registros[Ubicacion],Registros[Total], "")</f>
        <v/>
      </c>
      <c r="J240" s="25" t="str">
        <f>_xlfn.XLOOKUP(CRUCE[[#This Row],[Ubicacion]],Registros[Ubicacion],Registros[UMA], "")</f>
        <v/>
      </c>
      <c r="K240" s="25" t="str">
        <f>IF(CRUCE[[#This Row],[TOTAL]]="","",CRUCE[[#This Row],[TOTAL]]-CRUCE[[#This Row],[BULTOS]])</f>
        <v/>
      </c>
      <c r="L240" s="38" t="str">
        <f>IF(CRUCE[[#This Row],[TOTAL]]="", "PENDIENTE", IF(CRUCE[[#This Row],[Diferencia]]=0, "CUADRADO", IF(CRUCE[[#This Row],[Diferencia]]&gt;0, "SOBRANTE", "FALTANTE")))</f>
        <v>PENDIENTE</v>
      </c>
      <c r="M240" s="71" t="str">
        <f>IF(CRUCE[[#This Row],[Diferencia]]="","",IF(CRUCE[[#This Row],[Diferencia]]=0,"OK","RECONTEO"))</f>
        <v/>
      </c>
      <c r="N240" s="39" t="str">
        <f>_xlfn.XLOOKUP(CRUCE[[#This Row],[Ubicacion]],Registros[Ubicacion],Registros[Codigo], "")</f>
        <v/>
      </c>
      <c r="O240" s="25"/>
      <c r="P240" s="25"/>
      <c r="Q240" s="39" t="str">
        <f>IF(CRUCE[[#This Row],[TOTAL2]]="", "PENDIENTE", IF(CRUCE[[#This Row],[DIFERENCIA2]]=0, "CUADRADO", IF(CRUCE[[#This Row],[DIFERENCIA2]]&gt;0, "SOBRANTE", "FALTANTE")))</f>
        <v>PENDIENTE</v>
      </c>
      <c r="R240" s="103" t="s">
        <v>5081</v>
      </c>
      <c r="S240" s="127" t="s">
        <v>5322</v>
      </c>
    </row>
    <row r="241" spans="1:19">
      <c r="A241" s="92" t="s">
        <v>5274</v>
      </c>
      <c r="B241" s="39" t="s">
        <v>4157</v>
      </c>
      <c r="C241" s="39">
        <v>9350408</v>
      </c>
      <c r="D241" s="73">
        <v>17750243083055</v>
      </c>
      <c r="E241" s="39" t="s">
        <v>3073</v>
      </c>
      <c r="F241" s="39">
        <v>25</v>
      </c>
      <c r="G241" s="39" t="s">
        <v>9</v>
      </c>
      <c r="H241" s="39" t="str">
        <f>_xlfn.XLOOKUP(CRUCE[[#This Row],[Ubicacion]],Registros[Ubicacion],Registros[Codigo], "")</f>
        <v/>
      </c>
      <c r="I241" s="26" t="str">
        <f>_xlfn.XLOOKUP(CRUCE[[#This Row],[Ubicacion]],Registros[Ubicacion],Registros[Total], "")</f>
        <v/>
      </c>
      <c r="J241" s="26" t="str">
        <f>_xlfn.XLOOKUP(CRUCE[[#This Row],[Ubicacion]],Registros[Ubicacion],Registros[UMA], "")</f>
        <v/>
      </c>
      <c r="K241" s="26" t="str">
        <f>IF(CRUCE[[#This Row],[TOTAL]]="","",CRUCE[[#This Row],[TOTAL]]-CRUCE[[#This Row],[BULTOS]])</f>
        <v/>
      </c>
      <c r="L241" s="39" t="str">
        <f>IF(CRUCE[[#This Row],[TOTAL]]="", "PENDIENTE", IF(CRUCE[[#This Row],[Diferencia]]=0, "CUADRADO", IF(CRUCE[[#This Row],[Diferencia]]&gt;0, "SOBRANTE", "FALTANTE")))</f>
        <v>PENDIENTE</v>
      </c>
      <c r="M241" s="72" t="str">
        <f>IF(CRUCE[[#This Row],[Diferencia]]="","",IF(CRUCE[[#This Row],[Diferencia]]=0,"OK","RECONTEO"))</f>
        <v/>
      </c>
      <c r="N241" s="39" t="str">
        <f>_xlfn.XLOOKUP(CRUCE[[#This Row],[Ubicacion]],Registros[Ubicacion],Registros[Codigo], "")</f>
        <v/>
      </c>
      <c r="O241" s="26"/>
      <c r="P241" s="26"/>
      <c r="Q241" s="39" t="str">
        <f>IF(CRUCE[[#This Row],[TOTAL2]]="", "PENDIENTE", IF(CRUCE[[#This Row],[DIFERENCIA2]]=0, "CUADRADO", IF(CRUCE[[#This Row],[DIFERENCIA2]]&gt;0, "SOBRANTE", "FALTANTE")))</f>
        <v>PENDIENTE</v>
      </c>
      <c r="R241" s="102" t="s">
        <v>5081</v>
      </c>
      <c r="S241" s="127" t="s">
        <v>5323</v>
      </c>
    </row>
    <row r="242" spans="1:19">
      <c r="A242" s="93" t="s">
        <v>5274</v>
      </c>
      <c r="B242" s="38" t="s">
        <v>4137</v>
      </c>
      <c r="C242" s="38">
        <v>9350356</v>
      </c>
      <c r="D242" s="74">
        <v>17750243058329</v>
      </c>
      <c r="E242" s="38" t="s">
        <v>3029</v>
      </c>
      <c r="F242" s="38">
        <v>17</v>
      </c>
      <c r="G242" s="38" t="s">
        <v>9</v>
      </c>
      <c r="H242" s="39" t="str">
        <f>_xlfn.XLOOKUP(CRUCE[[#This Row],[Ubicacion]],Registros[Ubicacion],Registros[Codigo], "")</f>
        <v/>
      </c>
      <c r="I242" s="25" t="str">
        <f>_xlfn.XLOOKUP(CRUCE[[#This Row],[Ubicacion]],Registros[Ubicacion],Registros[Total], "")</f>
        <v/>
      </c>
      <c r="J242" s="25" t="str">
        <f>_xlfn.XLOOKUP(CRUCE[[#This Row],[Ubicacion]],Registros[Ubicacion],Registros[UMA], "")</f>
        <v/>
      </c>
      <c r="K242" s="25" t="str">
        <f>IF(CRUCE[[#This Row],[TOTAL]]="","",CRUCE[[#This Row],[TOTAL]]-CRUCE[[#This Row],[BULTOS]])</f>
        <v/>
      </c>
      <c r="L242" s="38" t="str">
        <f>IF(CRUCE[[#This Row],[TOTAL]]="", "PENDIENTE", IF(CRUCE[[#This Row],[Diferencia]]=0, "CUADRADO", IF(CRUCE[[#This Row],[Diferencia]]&gt;0, "SOBRANTE", "FALTANTE")))</f>
        <v>PENDIENTE</v>
      </c>
      <c r="M242" s="71" t="str">
        <f>IF(CRUCE[[#This Row],[Diferencia]]="","",IF(CRUCE[[#This Row],[Diferencia]]=0,"OK","RECONTEO"))</f>
        <v/>
      </c>
      <c r="N242" s="39" t="str">
        <f>_xlfn.XLOOKUP(CRUCE[[#This Row],[Ubicacion]],Registros[Ubicacion],Registros[Codigo], "")</f>
        <v/>
      </c>
      <c r="O242" s="25"/>
      <c r="P242" s="25"/>
      <c r="Q242" s="39" t="str">
        <f>IF(CRUCE[[#This Row],[TOTAL2]]="", "PENDIENTE", IF(CRUCE[[#This Row],[DIFERENCIA2]]=0, "CUADRADO", IF(CRUCE[[#This Row],[DIFERENCIA2]]&gt;0, "SOBRANTE", "FALTANTE")))</f>
        <v>PENDIENTE</v>
      </c>
      <c r="R242" s="103" t="s">
        <v>5081</v>
      </c>
      <c r="S242" s="127" t="s">
        <v>5324</v>
      </c>
    </row>
    <row r="243" spans="1:19">
      <c r="A243" s="92" t="s">
        <v>5274</v>
      </c>
      <c r="B243" s="39" t="s">
        <v>3160</v>
      </c>
      <c r="C243" s="39">
        <v>8300116</v>
      </c>
      <c r="D243" s="73">
        <v>17750243082270</v>
      </c>
      <c r="E243" s="39" t="s">
        <v>165</v>
      </c>
      <c r="F243" s="39">
        <v>6</v>
      </c>
      <c r="G243" s="39" t="s">
        <v>9</v>
      </c>
      <c r="H243" s="39" t="str">
        <f>_xlfn.XLOOKUP(CRUCE[[#This Row],[Ubicacion]],Registros[Ubicacion],Registros[Codigo], "")</f>
        <v/>
      </c>
      <c r="I243" s="26" t="str">
        <f>_xlfn.XLOOKUP(CRUCE[[#This Row],[Ubicacion]],Registros[Ubicacion],Registros[Total], "")</f>
        <v/>
      </c>
      <c r="J243" s="26" t="str">
        <f>_xlfn.XLOOKUP(CRUCE[[#This Row],[Ubicacion]],Registros[Ubicacion],Registros[UMA], "")</f>
        <v/>
      </c>
      <c r="K243" s="26" t="str">
        <f>IF(CRUCE[[#This Row],[TOTAL]]="","",CRUCE[[#This Row],[TOTAL]]-CRUCE[[#This Row],[BULTOS]])</f>
        <v/>
      </c>
      <c r="L243" s="39" t="str">
        <f>IF(CRUCE[[#This Row],[TOTAL]]="", "PENDIENTE", IF(CRUCE[[#This Row],[Diferencia]]=0, "CUADRADO", IF(CRUCE[[#This Row],[Diferencia]]&gt;0, "SOBRANTE", "FALTANTE")))</f>
        <v>PENDIENTE</v>
      </c>
      <c r="M243" s="72" t="str">
        <f>IF(CRUCE[[#This Row],[Diferencia]]="","",IF(CRUCE[[#This Row],[Diferencia]]=0,"OK","RECONTEO"))</f>
        <v/>
      </c>
      <c r="N243" s="39" t="str">
        <f>_xlfn.XLOOKUP(CRUCE[[#This Row],[Ubicacion]],Registros[Ubicacion],Registros[Codigo], "")</f>
        <v/>
      </c>
      <c r="O243" s="26"/>
      <c r="P243" s="26"/>
      <c r="Q243" s="39" t="str">
        <f>IF(CRUCE[[#This Row],[TOTAL2]]="", "PENDIENTE", IF(CRUCE[[#This Row],[DIFERENCIA2]]=0, "CUADRADO", IF(CRUCE[[#This Row],[DIFERENCIA2]]&gt;0, "SOBRANTE", "FALTANTE")))</f>
        <v>PENDIENTE</v>
      </c>
      <c r="R243" s="102" t="s">
        <v>5081</v>
      </c>
      <c r="S243" s="127" t="s">
        <v>5325</v>
      </c>
    </row>
    <row r="244" spans="1:19">
      <c r="A244" s="93" t="s">
        <v>5274</v>
      </c>
      <c r="B244" s="38" t="s">
        <v>3282</v>
      </c>
      <c r="C244" s="38">
        <v>8304142</v>
      </c>
      <c r="D244" s="74">
        <v>17750243070710</v>
      </c>
      <c r="E244" s="38" t="s">
        <v>368</v>
      </c>
      <c r="F244" s="38">
        <v>12</v>
      </c>
      <c r="G244" s="38" t="s">
        <v>9</v>
      </c>
      <c r="H244" s="39" t="str">
        <f>_xlfn.XLOOKUP(CRUCE[[#This Row],[Ubicacion]],Registros[Ubicacion],Registros[Codigo], "")</f>
        <v/>
      </c>
      <c r="I244" s="25" t="str">
        <f>_xlfn.XLOOKUP(CRUCE[[#This Row],[Ubicacion]],Registros[Ubicacion],Registros[Total], "")</f>
        <v/>
      </c>
      <c r="J244" s="25" t="str">
        <f>_xlfn.XLOOKUP(CRUCE[[#This Row],[Ubicacion]],Registros[Ubicacion],Registros[UMA], "")</f>
        <v/>
      </c>
      <c r="K244" s="25" t="str">
        <f>IF(CRUCE[[#This Row],[TOTAL]]="","",CRUCE[[#This Row],[TOTAL]]-CRUCE[[#This Row],[BULTOS]])</f>
        <v/>
      </c>
      <c r="L244" s="38" t="str">
        <f>IF(CRUCE[[#This Row],[TOTAL]]="", "PENDIENTE", IF(CRUCE[[#This Row],[Diferencia]]=0, "CUADRADO", IF(CRUCE[[#This Row],[Diferencia]]&gt;0, "SOBRANTE", "FALTANTE")))</f>
        <v>PENDIENTE</v>
      </c>
      <c r="M244" s="71" t="str">
        <f>IF(CRUCE[[#This Row],[Diferencia]]="","",IF(CRUCE[[#This Row],[Diferencia]]=0,"OK","RECONTEO"))</f>
        <v/>
      </c>
      <c r="N244" s="39" t="str">
        <f>_xlfn.XLOOKUP(CRUCE[[#This Row],[Ubicacion]],Registros[Ubicacion],Registros[Codigo], "")</f>
        <v/>
      </c>
      <c r="O244" s="25"/>
      <c r="P244" s="25"/>
      <c r="Q244" s="39" t="str">
        <f>IF(CRUCE[[#This Row],[TOTAL2]]="", "PENDIENTE", IF(CRUCE[[#This Row],[DIFERENCIA2]]=0, "CUADRADO", IF(CRUCE[[#This Row],[DIFERENCIA2]]&gt;0, "SOBRANTE", "FALTANTE")))</f>
        <v>PENDIENTE</v>
      </c>
      <c r="R244" s="103" t="s">
        <v>5081</v>
      </c>
      <c r="S244" s="127" t="s">
        <v>5326</v>
      </c>
    </row>
    <row r="245" spans="1:19">
      <c r="A245" s="92" t="s">
        <v>5327</v>
      </c>
      <c r="B245" s="39" t="s">
        <v>3268</v>
      </c>
      <c r="C245" s="39">
        <v>8304021</v>
      </c>
      <c r="D245" s="73">
        <v>17751851020234</v>
      </c>
      <c r="E245" s="39" t="s">
        <v>350</v>
      </c>
      <c r="F245" s="39">
        <v>24</v>
      </c>
      <c r="G245" s="39" t="s">
        <v>9</v>
      </c>
      <c r="H245" s="39" t="str">
        <f>_xlfn.XLOOKUP(CRUCE[[#This Row],[Ubicacion]],Registros[Ubicacion],Registros[Codigo], "")</f>
        <v/>
      </c>
      <c r="I245" s="26" t="str">
        <f>_xlfn.XLOOKUP(CRUCE[[#This Row],[Ubicacion]],Registros[Ubicacion],Registros[Total], "")</f>
        <v/>
      </c>
      <c r="J245" s="26" t="str">
        <f>_xlfn.XLOOKUP(CRUCE[[#This Row],[Ubicacion]],Registros[Ubicacion],Registros[UMA], "")</f>
        <v/>
      </c>
      <c r="K245" s="26" t="str">
        <f>IF(CRUCE[[#This Row],[TOTAL]]="","",CRUCE[[#This Row],[TOTAL]]-CRUCE[[#This Row],[BULTOS]])</f>
        <v/>
      </c>
      <c r="L245" s="39" t="str">
        <f>IF(CRUCE[[#This Row],[TOTAL]]="", "PENDIENTE", IF(CRUCE[[#This Row],[Diferencia]]=0, "CUADRADO", IF(CRUCE[[#This Row],[Diferencia]]&gt;0, "SOBRANTE", "FALTANTE")))</f>
        <v>PENDIENTE</v>
      </c>
      <c r="M245" s="72" t="str">
        <f>IF(CRUCE[[#This Row],[Diferencia]]="","",IF(CRUCE[[#This Row],[Diferencia]]=0,"OK","RECONTEO"))</f>
        <v/>
      </c>
      <c r="N245" s="39" t="str">
        <f>_xlfn.XLOOKUP(CRUCE[[#This Row],[Ubicacion]],Registros[Ubicacion],Registros[Codigo], "")</f>
        <v/>
      </c>
      <c r="O245" s="26"/>
      <c r="P245" s="26"/>
      <c r="Q245" s="39" t="str">
        <f>IF(CRUCE[[#This Row],[TOTAL2]]="", "PENDIENTE", IF(CRUCE[[#This Row],[DIFERENCIA2]]=0, "CUADRADO", IF(CRUCE[[#This Row],[DIFERENCIA2]]&gt;0, "SOBRANTE", "FALTANTE")))</f>
        <v>PENDIENTE</v>
      </c>
      <c r="R245" s="102" t="s">
        <v>5081</v>
      </c>
      <c r="S245" s="127" t="s">
        <v>5328</v>
      </c>
    </row>
    <row r="246" spans="1:19">
      <c r="A246" s="93" t="s">
        <v>5327</v>
      </c>
      <c r="B246" s="38" t="s">
        <v>3589</v>
      </c>
      <c r="C246" s="38">
        <v>8316031</v>
      </c>
      <c r="D246" s="74">
        <v>17751851026526</v>
      </c>
      <c r="E246" s="38" t="s">
        <v>915</v>
      </c>
      <c r="F246" s="38">
        <v>5</v>
      </c>
      <c r="G246" s="38" t="s">
        <v>9</v>
      </c>
      <c r="H246" s="39" t="str">
        <f>_xlfn.XLOOKUP(CRUCE[[#This Row],[Ubicacion]],Registros[Ubicacion],Registros[Codigo], "")</f>
        <v/>
      </c>
      <c r="I246" s="25" t="str">
        <f>_xlfn.XLOOKUP(CRUCE[[#This Row],[Ubicacion]],Registros[Ubicacion],Registros[Total], "")</f>
        <v/>
      </c>
      <c r="J246" s="25" t="str">
        <f>_xlfn.XLOOKUP(CRUCE[[#This Row],[Ubicacion]],Registros[Ubicacion],Registros[UMA], "")</f>
        <v/>
      </c>
      <c r="K246" s="25" t="str">
        <f>IF(CRUCE[[#This Row],[TOTAL]]="","",CRUCE[[#This Row],[TOTAL]]-CRUCE[[#This Row],[BULTOS]])</f>
        <v/>
      </c>
      <c r="L246" s="38" t="str">
        <f>IF(CRUCE[[#This Row],[TOTAL]]="", "PENDIENTE", IF(CRUCE[[#This Row],[Diferencia]]=0, "CUADRADO", IF(CRUCE[[#This Row],[Diferencia]]&gt;0, "SOBRANTE", "FALTANTE")))</f>
        <v>PENDIENTE</v>
      </c>
      <c r="M246" s="71" t="str">
        <f>IF(CRUCE[[#This Row],[Diferencia]]="","",IF(CRUCE[[#This Row],[Diferencia]]=0,"OK","RECONTEO"))</f>
        <v/>
      </c>
      <c r="N246" s="39" t="str">
        <f>_xlfn.XLOOKUP(CRUCE[[#This Row],[Ubicacion]],Registros[Ubicacion],Registros[Codigo], "")</f>
        <v/>
      </c>
      <c r="O246" s="25"/>
      <c r="P246" s="25"/>
      <c r="Q246" s="39" t="str">
        <f>IF(CRUCE[[#This Row],[TOTAL2]]="", "PENDIENTE", IF(CRUCE[[#This Row],[DIFERENCIA2]]=0, "CUADRADO", IF(CRUCE[[#This Row],[DIFERENCIA2]]&gt;0, "SOBRANTE", "FALTANTE")))</f>
        <v>PENDIENTE</v>
      </c>
      <c r="R246" s="103" t="s">
        <v>5081</v>
      </c>
      <c r="S246" s="127" t="s">
        <v>5329</v>
      </c>
    </row>
    <row r="247" spans="1:19">
      <c r="A247" s="92" t="s">
        <v>5327</v>
      </c>
      <c r="B247" s="39" t="s">
        <v>3258</v>
      </c>
      <c r="C247" s="39">
        <v>8304004</v>
      </c>
      <c r="D247" s="73">
        <v>17751851020265</v>
      </c>
      <c r="E247" s="39" t="s">
        <v>340</v>
      </c>
      <c r="F247" s="39">
        <v>2</v>
      </c>
      <c r="G247" s="39" t="s">
        <v>9</v>
      </c>
      <c r="H247" s="39" t="str">
        <f>_xlfn.XLOOKUP(CRUCE[[#This Row],[Ubicacion]],Registros[Ubicacion],Registros[Codigo], "")</f>
        <v/>
      </c>
      <c r="I247" s="26" t="str">
        <f>_xlfn.XLOOKUP(CRUCE[[#This Row],[Ubicacion]],Registros[Ubicacion],Registros[Total], "")</f>
        <v/>
      </c>
      <c r="J247" s="26" t="str">
        <f>_xlfn.XLOOKUP(CRUCE[[#This Row],[Ubicacion]],Registros[Ubicacion],Registros[UMA], "")</f>
        <v/>
      </c>
      <c r="K247" s="26" t="str">
        <f>IF(CRUCE[[#This Row],[TOTAL]]="","",CRUCE[[#This Row],[TOTAL]]-CRUCE[[#This Row],[BULTOS]])</f>
        <v/>
      </c>
      <c r="L247" s="39" t="str">
        <f>IF(CRUCE[[#This Row],[TOTAL]]="", "PENDIENTE", IF(CRUCE[[#This Row],[Diferencia]]=0, "CUADRADO", IF(CRUCE[[#This Row],[Diferencia]]&gt;0, "SOBRANTE", "FALTANTE")))</f>
        <v>PENDIENTE</v>
      </c>
      <c r="M247" s="72" t="str">
        <f>IF(CRUCE[[#This Row],[Diferencia]]="","",IF(CRUCE[[#This Row],[Diferencia]]=0,"OK","RECONTEO"))</f>
        <v/>
      </c>
      <c r="N247" s="39" t="str">
        <f>_xlfn.XLOOKUP(CRUCE[[#This Row],[Ubicacion]],Registros[Ubicacion],Registros[Codigo], "")</f>
        <v/>
      </c>
      <c r="O247" s="26"/>
      <c r="P247" s="26"/>
      <c r="Q247" s="39" t="str">
        <f>IF(CRUCE[[#This Row],[TOTAL2]]="", "PENDIENTE", IF(CRUCE[[#This Row],[DIFERENCIA2]]=0, "CUADRADO", IF(CRUCE[[#This Row],[DIFERENCIA2]]&gt;0, "SOBRANTE", "FALTANTE")))</f>
        <v>PENDIENTE</v>
      </c>
      <c r="R247" s="102" t="s">
        <v>5081</v>
      </c>
      <c r="S247" s="127" t="s">
        <v>5330</v>
      </c>
    </row>
    <row r="248" spans="1:19">
      <c r="A248" s="93" t="s">
        <v>5327</v>
      </c>
      <c r="B248" s="38" t="s">
        <v>3263</v>
      </c>
      <c r="C248" s="38">
        <v>8304019</v>
      </c>
      <c r="D248" s="74">
        <v>17751851020272</v>
      </c>
      <c r="E248" s="38" t="s">
        <v>346</v>
      </c>
      <c r="F248" s="38">
        <v>47</v>
      </c>
      <c r="G248" s="38" t="s">
        <v>9</v>
      </c>
      <c r="H248" s="39" t="str">
        <f>_xlfn.XLOOKUP(CRUCE[[#This Row],[Ubicacion]],Registros[Ubicacion],Registros[Codigo], "")</f>
        <v/>
      </c>
      <c r="I248" s="25" t="str">
        <f>_xlfn.XLOOKUP(CRUCE[[#This Row],[Ubicacion]],Registros[Ubicacion],Registros[Total], "")</f>
        <v/>
      </c>
      <c r="J248" s="25" t="str">
        <f>_xlfn.XLOOKUP(CRUCE[[#This Row],[Ubicacion]],Registros[Ubicacion],Registros[UMA], "")</f>
        <v/>
      </c>
      <c r="K248" s="25" t="str">
        <f>IF(CRUCE[[#This Row],[TOTAL]]="","",CRUCE[[#This Row],[TOTAL]]-CRUCE[[#This Row],[BULTOS]])</f>
        <v/>
      </c>
      <c r="L248" s="38" t="str">
        <f>IF(CRUCE[[#This Row],[TOTAL]]="", "PENDIENTE", IF(CRUCE[[#This Row],[Diferencia]]=0, "CUADRADO", IF(CRUCE[[#This Row],[Diferencia]]&gt;0, "SOBRANTE", "FALTANTE")))</f>
        <v>PENDIENTE</v>
      </c>
      <c r="M248" s="71" t="str">
        <f>IF(CRUCE[[#This Row],[Diferencia]]="","",IF(CRUCE[[#This Row],[Diferencia]]=0,"OK","RECONTEO"))</f>
        <v/>
      </c>
      <c r="N248" s="39" t="str">
        <f>_xlfn.XLOOKUP(CRUCE[[#This Row],[Ubicacion]],Registros[Ubicacion],Registros[Codigo], "")</f>
        <v/>
      </c>
      <c r="O248" s="25"/>
      <c r="P248" s="25"/>
      <c r="Q248" s="39" t="str">
        <f>IF(CRUCE[[#This Row],[TOTAL2]]="", "PENDIENTE", IF(CRUCE[[#This Row],[DIFERENCIA2]]=0, "CUADRADO", IF(CRUCE[[#This Row],[DIFERENCIA2]]&gt;0, "SOBRANTE", "FALTANTE")))</f>
        <v>PENDIENTE</v>
      </c>
      <c r="R248" s="103" t="s">
        <v>5081</v>
      </c>
      <c r="S248" s="127" t="s">
        <v>5331</v>
      </c>
    </row>
    <row r="249" spans="1:19">
      <c r="A249" s="92" t="s">
        <v>5327</v>
      </c>
      <c r="B249" s="39" t="s">
        <v>3256</v>
      </c>
      <c r="C249" s="39">
        <v>8304003</v>
      </c>
      <c r="D249" s="73">
        <v>17751851020258</v>
      </c>
      <c r="E249" s="39" t="s">
        <v>338</v>
      </c>
      <c r="F249" s="39">
        <v>1</v>
      </c>
      <c r="G249" s="39" t="s">
        <v>9</v>
      </c>
      <c r="H249" s="39" t="str">
        <f>_xlfn.XLOOKUP(CRUCE[[#This Row],[Ubicacion]],Registros[Ubicacion],Registros[Codigo], "")</f>
        <v/>
      </c>
      <c r="I249" s="26" t="str">
        <f>_xlfn.XLOOKUP(CRUCE[[#This Row],[Ubicacion]],Registros[Ubicacion],Registros[Total], "")</f>
        <v/>
      </c>
      <c r="J249" s="26" t="str">
        <f>_xlfn.XLOOKUP(CRUCE[[#This Row],[Ubicacion]],Registros[Ubicacion],Registros[UMA], "")</f>
        <v/>
      </c>
      <c r="K249" s="26" t="str">
        <f>IF(CRUCE[[#This Row],[TOTAL]]="","",CRUCE[[#This Row],[TOTAL]]-CRUCE[[#This Row],[BULTOS]])</f>
        <v/>
      </c>
      <c r="L249" s="39" t="str">
        <f>IF(CRUCE[[#This Row],[TOTAL]]="", "PENDIENTE", IF(CRUCE[[#This Row],[Diferencia]]=0, "CUADRADO", IF(CRUCE[[#This Row],[Diferencia]]&gt;0, "SOBRANTE", "FALTANTE")))</f>
        <v>PENDIENTE</v>
      </c>
      <c r="M249" s="72" t="str">
        <f>IF(CRUCE[[#This Row],[Diferencia]]="","",IF(CRUCE[[#This Row],[Diferencia]]=0,"OK","RECONTEO"))</f>
        <v/>
      </c>
      <c r="N249" s="39" t="str">
        <f>_xlfn.XLOOKUP(CRUCE[[#This Row],[Ubicacion]],Registros[Ubicacion],Registros[Codigo], "")</f>
        <v/>
      </c>
      <c r="O249" s="26"/>
      <c r="P249" s="26"/>
      <c r="Q249" s="39" t="str">
        <f>IF(CRUCE[[#This Row],[TOTAL2]]="", "PENDIENTE", IF(CRUCE[[#This Row],[DIFERENCIA2]]=0, "CUADRADO", IF(CRUCE[[#This Row],[DIFERENCIA2]]&gt;0, "SOBRANTE", "FALTANTE")))</f>
        <v>PENDIENTE</v>
      </c>
      <c r="R249" s="102" t="s">
        <v>5081</v>
      </c>
      <c r="S249" s="127" t="s">
        <v>5332</v>
      </c>
    </row>
    <row r="250" spans="1:19">
      <c r="A250" s="93" t="s">
        <v>5327</v>
      </c>
      <c r="B250" s="38" t="s">
        <v>3150</v>
      </c>
      <c r="C250" s="38">
        <v>8300112</v>
      </c>
      <c r="D250" s="74">
        <v>17750243082232</v>
      </c>
      <c r="E250" s="38" t="s">
        <v>157</v>
      </c>
      <c r="F250" s="38">
        <v>44</v>
      </c>
      <c r="G250" s="38" t="s">
        <v>9</v>
      </c>
      <c r="H250" s="39" t="str">
        <f>_xlfn.XLOOKUP(CRUCE[[#This Row],[Ubicacion]],Registros[Ubicacion],Registros[Codigo], "")</f>
        <v/>
      </c>
      <c r="I250" s="25" t="str">
        <f>_xlfn.XLOOKUP(CRUCE[[#This Row],[Ubicacion]],Registros[Ubicacion],Registros[Total], "")</f>
        <v/>
      </c>
      <c r="J250" s="25" t="str">
        <f>_xlfn.XLOOKUP(CRUCE[[#This Row],[Ubicacion]],Registros[Ubicacion],Registros[UMA], "")</f>
        <v/>
      </c>
      <c r="K250" s="25" t="str">
        <f>IF(CRUCE[[#This Row],[TOTAL]]="","",CRUCE[[#This Row],[TOTAL]]-CRUCE[[#This Row],[BULTOS]])</f>
        <v/>
      </c>
      <c r="L250" s="38" t="str">
        <f>IF(CRUCE[[#This Row],[TOTAL]]="", "PENDIENTE", IF(CRUCE[[#This Row],[Diferencia]]=0, "CUADRADO", IF(CRUCE[[#This Row],[Diferencia]]&gt;0, "SOBRANTE", "FALTANTE")))</f>
        <v>PENDIENTE</v>
      </c>
      <c r="M250" s="71" t="str">
        <f>IF(CRUCE[[#This Row],[Diferencia]]="","",IF(CRUCE[[#This Row],[Diferencia]]=0,"OK","RECONTEO"))</f>
        <v/>
      </c>
      <c r="N250" s="39" t="str">
        <f>_xlfn.XLOOKUP(CRUCE[[#This Row],[Ubicacion]],Registros[Ubicacion],Registros[Codigo], "")</f>
        <v/>
      </c>
      <c r="O250" s="25"/>
      <c r="P250" s="25"/>
      <c r="Q250" s="39" t="str">
        <f>IF(CRUCE[[#This Row],[TOTAL2]]="", "PENDIENTE", IF(CRUCE[[#This Row],[DIFERENCIA2]]=0, "CUADRADO", IF(CRUCE[[#This Row],[DIFERENCIA2]]&gt;0, "SOBRANTE", "FALTANTE")))</f>
        <v>PENDIENTE</v>
      </c>
      <c r="R250" s="103" t="s">
        <v>5081</v>
      </c>
      <c r="S250" s="127" t="s">
        <v>5333</v>
      </c>
    </row>
    <row r="251" spans="1:19">
      <c r="A251" s="92" t="s">
        <v>5327</v>
      </c>
      <c r="B251" s="39" t="s">
        <v>3551</v>
      </c>
      <c r="C251" s="39">
        <v>8315049</v>
      </c>
      <c r="D251" s="73">
        <v>27751851004361</v>
      </c>
      <c r="E251" s="39" t="s">
        <v>833</v>
      </c>
      <c r="F251" s="39">
        <v>9</v>
      </c>
      <c r="G251" s="39" t="s">
        <v>9</v>
      </c>
      <c r="H251" s="39" t="str">
        <f>_xlfn.XLOOKUP(CRUCE[[#This Row],[Ubicacion]],Registros[Ubicacion],Registros[Codigo], "")</f>
        <v/>
      </c>
      <c r="I251" s="26" t="str">
        <f>_xlfn.XLOOKUP(CRUCE[[#This Row],[Ubicacion]],Registros[Ubicacion],Registros[Total], "")</f>
        <v/>
      </c>
      <c r="J251" s="26" t="str">
        <f>_xlfn.XLOOKUP(CRUCE[[#This Row],[Ubicacion]],Registros[Ubicacion],Registros[UMA], "")</f>
        <v/>
      </c>
      <c r="K251" s="26" t="str">
        <f>IF(CRUCE[[#This Row],[TOTAL]]="","",CRUCE[[#This Row],[TOTAL]]-CRUCE[[#This Row],[BULTOS]])</f>
        <v/>
      </c>
      <c r="L251" s="39" t="str">
        <f>IF(CRUCE[[#This Row],[TOTAL]]="", "PENDIENTE", IF(CRUCE[[#This Row],[Diferencia]]=0, "CUADRADO", IF(CRUCE[[#This Row],[Diferencia]]&gt;0, "SOBRANTE", "FALTANTE")))</f>
        <v>PENDIENTE</v>
      </c>
      <c r="M251" s="72" t="str">
        <f>IF(CRUCE[[#This Row],[Diferencia]]="","",IF(CRUCE[[#This Row],[Diferencia]]=0,"OK","RECONTEO"))</f>
        <v/>
      </c>
      <c r="N251" s="39" t="str">
        <f>_xlfn.XLOOKUP(CRUCE[[#This Row],[Ubicacion]],Registros[Ubicacion],Registros[Codigo], "")</f>
        <v/>
      </c>
      <c r="O251" s="26"/>
      <c r="P251" s="26"/>
      <c r="Q251" s="39" t="str">
        <f>IF(CRUCE[[#This Row],[TOTAL2]]="", "PENDIENTE", IF(CRUCE[[#This Row],[DIFERENCIA2]]=0, "CUADRADO", IF(CRUCE[[#This Row],[DIFERENCIA2]]&gt;0, "SOBRANTE", "FALTANTE")))</f>
        <v>PENDIENTE</v>
      </c>
      <c r="R251" s="102" t="s">
        <v>5081</v>
      </c>
      <c r="S251" s="127" t="s">
        <v>5334</v>
      </c>
    </row>
    <row r="252" spans="1:19">
      <c r="A252" s="93" t="s">
        <v>5327</v>
      </c>
      <c r="B252" s="38" t="s">
        <v>3172</v>
      </c>
      <c r="C252" s="38">
        <v>8300120</v>
      </c>
      <c r="D252" s="74">
        <v>17750243085424</v>
      </c>
      <c r="E252" s="38" t="s">
        <v>173</v>
      </c>
      <c r="F252" s="38">
        <v>46</v>
      </c>
      <c r="G252" s="38" t="s">
        <v>9</v>
      </c>
      <c r="H252" s="39" t="str">
        <f>_xlfn.XLOOKUP(CRUCE[[#This Row],[Ubicacion]],Registros[Ubicacion],Registros[Codigo], "")</f>
        <v/>
      </c>
      <c r="I252" s="25" t="str">
        <f>_xlfn.XLOOKUP(CRUCE[[#This Row],[Ubicacion]],Registros[Ubicacion],Registros[Total], "")</f>
        <v/>
      </c>
      <c r="J252" s="25" t="str">
        <f>_xlfn.XLOOKUP(CRUCE[[#This Row],[Ubicacion]],Registros[Ubicacion],Registros[UMA], "")</f>
        <v/>
      </c>
      <c r="K252" s="25" t="str">
        <f>IF(CRUCE[[#This Row],[TOTAL]]="","",CRUCE[[#This Row],[TOTAL]]-CRUCE[[#This Row],[BULTOS]])</f>
        <v/>
      </c>
      <c r="L252" s="38" t="str">
        <f>IF(CRUCE[[#This Row],[TOTAL]]="", "PENDIENTE", IF(CRUCE[[#This Row],[Diferencia]]=0, "CUADRADO", IF(CRUCE[[#This Row],[Diferencia]]&gt;0, "SOBRANTE", "FALTANTE")))</f>
        <v>PENDIENTE</v>
      </c>
      <c r="M252" s="71" t="str">
        <f>IF(CRUCE[[#This Row],[Diferencia]]="","",IF(CRUCE[[#This Row],[Diferencia]]=0,"OK","RECONTEO"))</f>
        <v/>
      </c>
      <c r="N252" s="39" t="str">
        <f>_xlfn.XLOOKUP(CRUCE[[#This Row],[Ubicacion]],Registros[Ubicacion],Registros[Codigo], "")</f>
        <v/>
      </c>
      <c r="O252" s="25"/>
      <c r="P252" s="25"/>
      <c r="Q252" s="39" t="str">
        <f>IF(CRUCE[[#This Row],[TOTAL2]]="", "PENDIENTE", IF(CRUCE[[#This Row],[DIFERENCIA2]]=0, "CUADRADO", IF(CRUCE[[#This Row],[DIFERENCIA2]]&gt;0, "SOBRANTE", "FALTANTE")))</f>
        <v>PENDIENTE</v>
      </c>
      <c r="R252" s="103" t="s">
        <v>5081</v>
      </c>
      <c r="S252" s="127" t="s">
        <v>5335</v>
      </c>
    </row>
    <row r="253" spans="1:19">
      <c r="A253" s="92" t="s">
        <v>5327</v>
      </c>
      <c r="B253" s="39" t="s">
        <v>3176</v>
      </c>
      <c r="C253" s="39">
        <v>8300120</v>
      </c>
      <c r="D253" s="73">
        <v>17750243085424</v>
      </c>
      <c r="E253" s="39" t="s">
        <v>173</v>
      </c>
      <c r="F253" s="39">
        <v>46</v>
      </c>
      <c r="G253" s="39" t="s">
        <v>9</v>
      </c>
      <c r="H253" s="39" t="str">
        <f>_xlfn.XLOOKUP(CRUCE[[#This Row],[Ubicacion]],Registros[Ubicacion],Registros[Codigo], "")</f>
        <v/>
      </c>
      <c r="I253" s="26" t="str">
        <f>_xlfn.XLOOKUP(CRUCE[[#This Row],[Ubicacion]],Registros[Ubicacion],Registros[Total], "")</f>
        <v/>
      </c>
      <c r="J253" s="26" t="str">
        <f>_xlfn.XLOOKUP(CRUCE[[#This Row],[Ubicacion]],Registros[Ubicacion],Registros[UMA], "")</f>
        <v/>
      </c>
      <c r="K253" s="26" t="str">
        <f>IF(CRUCE[[#This Row],[TOTAL]]="","",CRUCE[[#This Row],[TOTAL]]-CRUCE[[#This Row],[BULTOS]])</f>
        <v/>
      </c>
      <c r="L253" s="39" t="str">
        <f>IF(CRUCE[[#This Row],[TOTAL]]="", "PENDIENTE", IF(CRUCE[[#This Row],[Diferencia]]=0, "CUADRADO", IF(CRUCE[[#This Row],[Diferencia]]&gt;0, "SOBRANTE", "FALTANTE")))</f>
        <v>PENDIENTE</v>
      </c>
      <c r="M253" s="72" t="str">
        <f>IF(CRUCE[[#This Row],[Diferencia]]="","",IF(CRUCE[[#This Row],[Diferencia]]=0,"OK","RECONTEO"))</f>
        <v/>
      </c>
      <c r="N253" s="39" t="str">
        <f>_xlfn.XLOOKUP(CRUCE[[#This Row],[Ubicacion]],Registros[Ubicacion],Registros[Codigo], "")</f>
        <v/>
      </c>
      <c r="O253" s="26"/>
      <c r="P253" s="26"/>
      <c r="Q253" s="39" t="str">
        <f>IF(CRUCE[[#This Row],[TOTAL2]]="", "PENDIENTE", IF(CRUCE[[#This Row],[DIFERENCIA2]]=0, "CUADRADO", IF(CRUCE[[#This Row],[DIFERENCIA2]]&gt;0, "SOBRANTE", "FALTANTE")))</f>
        <v>PENDIENTE</v>
      </c>
      <c r="R253" s="102" t="s">
        <v>5081</v>
      </c>
      <c r="S253" s="129" t="s">
        <v>5336</v>
      </c>
    </row>
    <row r="254" spans="1:19">
      <c r="A254" s="93" t="s">
        <v>5327</v>
      </c>
      <c r="B254" s="38" t="s">
        <v>4169</v>
      </c>
      <c r="C254" s="38">
        <v>9350413</v>
      </c>
      <c r="D254" s="74">
        <v>17750243083512</v>
      </c>
      <c r="E254" s="38" t="s">
        <v>3083</v>
      </c>
      <c r="F254" s="38">
        <v>20</v>
      </c>
      <c r="G254" s="38" t="s">
        <v>9</v>
      </c>
      <c r="H254" s="39" t="str">
        <f>_xlfn.XLOOKUP(CRUCE[[#This Row],[Ubicacion]],Registros[Ubicacion],Registros[Codigo], "")</f>
        <v/>
      </c>
      <c r="I254" s="25" t="str">
        <f>_xlfn.XLOOKUP(CRUCE[[#This Row],[Ubicacion]],Registros[Ubicacion],Registros[Total], "")</f>
        <v/>
      </c>
      <c r="J254" s="25" t="str">
        <f>_xlfn.XLOOKUP(CRUCE[[#This Row],[Ubicacion]],Registros[Ubicacion],Registros[UMA], "")</f>
        <v/>
      </c>
      <c r="K254" s="25" t="str">
        <f>IF(CRUCE[[#This Row],[TOTAL]]="","",CRUCE[[#This Row],[TOTAL]]-CRUCE[[#This Row],[BULTOS]])</f>
        <v/>
      </c>
      <c r="L254" s="38" t="str">
        <f>IF(CRUCE[[#This Row],[TOTAL]]="", "PENDIENTE", IF(CRUCE[[#This Row],[Diferencia]]=0, "CUADRADO", IF(CRUCE[[#This Row],[Diferencia]]&gt;0, "SOBRANTE", "FALTANTE")))</f>
        <v>PENDIENTE</v>
      </c>
      <c r="M254" s="71" t="str">
        <f>IF(CRUCE[[#This Row],[Diferencia]]="","",IF(CRUCE[[#This Row],[Diferencia]]=0,"OK","RECONTEO"))</f>
        <v/>
      </c>
      <c r="N254" s="39" t="str">
        <f>_xlfn.XLOOKUP(CRUCE[[#This Row],[Ubicacion]],Registros[Ubicacion],Registros[Codigo], "")</f>
        <v/>
      </c>
      <c r="O254" s="25"/>
      <c r="P254" s="25"/>
      <c r="Q254" s="39" t="str">
        <f>IF(CRUCE[[#This Row],[TOTAL2]]="", "PENDIENTE", IF(CRUCE[[#This Row],[DIFERENCIA2]]=0, "CUADRADO", IF(CRUCE[[#This Row],[DIFERENCIA2]]&gt;0, "SOBRANTE", "FALTANTE")))</f>
        <v>PENDIENTE</v>
      </c>
      <c r="R254" s="103" t="s">
        <v>5081</v>
      </c>
      <c r="S254" s="127" t="s">
        <v>5337</v>
      </c>
    </row>
    <row r="255" spans="1:19">
      <c r="A255" s="92" t="s">
        <v>5327</v>
      </c>
      <c r="B255" s="39" t="s">
        <v>4153</v>
      </c>
      <c r="C255" s="39">
        <v>9350407</v>
      </c>
      <c r="D255" s="73">
        <v>17750243083048</v>
      </c>
      <c r="E255" s="39" t="s">
        <v>3071</v>
      </c>
      <c r="F255" s="39">
        <v>28</v>
      </c>
      <c r="G255" s="39" t="s">
        <v>9</v>
      </c>
      <c r="H255" s="39" t="str">
        <f>_xlfn.XLOOKUP(CRUCE[[#This Row],[Ubicacion]],Registros[Ubicacion],Registros[Codigo], "")</f>
        <v/>
      </c>
      <c r="I255" s="26" t="str">
        <f>_xlfn.XLOOKUP(CRUCE[[#This Row],[Ubicacion]],Registros[Ubicacion],Registros[Total], "")</f>
        <v/>
      </c>
      <c r="J255" s="26" t="str">
        <f>_xlfn.XLOOKUP(CRUCE[[#This Row],[Ubicacion]],Registros[Ubicacion],Registros[UMA], "")</f>
        <v/>
      </c>
      <c r="K255" s="26" t="str">
        <f>IF(CRUCE[[#This Row],[TOTAL]]="","",CRUCE[[#This Row],[TOTAL]]-CRUCE[[#This Row],[BULTOS]])</f>
        <v/>
      </c>
      <c r="L255" s="39" t="str">
        <f>IF(CRUCE[[#This Row],[TOTAL]]="", "PENDIENTE", IF(CRUCE[[#This Row],[Diferencia]]=0, "CUADRADO", IF(CRUCE[[#This Row],[Diferencia]]&gt;0, "SOBRANTE", "FALTANTE")))</f>
        <v>PENDIENTE</v>
      </c>
      <c r="M255" s="72" t="str">
        <f>IF(CRUCE[[#This Row],[Diferencia]]="","",IF(CRUCE[[#This Row],[Diferencia]]=0,"OK","RECONTEO"))</f>
        <v/>
      </c>
      <c r="N255" s="39" t="str">
        <f>_xlfn.XLOOKUP(CRUCE[[#This Row],[Ubicacion]],Registros[Ubicacion],Registros[Codigo], "")</f>
        <v/>
      </c>
      <c r="O255" s="26"/>
      <c r="P255" s="26"/>
      <c r="Q255" s="39" t="str">
        <f>IF(CRUCE[[#This Row],[TOTAL2]]="", "PENDIENTE", IF(CRUCE[[#This Row],[DIFERENCIA2]]=0, "CUADRADO", IF(CRUCE[[#This Row],[DIFERENCIA2]]&gt;0, "SOBRANTE", "FALTANTE")))</f>
        <v>PENDIENTE</v>
      </c>
      <c r="R255" s="102" t="s">
        <v>5081</v>
      </c>
      <c r="S255" s="127" t="s">
        <v>5338</v>
      </c>
    </row>
    <row r="256" spans="1:19">
      <c r="A256" s="93" t="s">
        <v>5327</v>
      </c>
      <c r="B256" s="38" t="s">
        <v>3591</v>
      </c>
      <c r="C256" s="38">
        <v>8316032</v>
      </c>
      <c r="D256" s="74">
        <v>17751851026533</v>
      </c>
      <c r="E256" s="38" t="s">
        <v>917</v>
      </c>
      <c r="F256" s="38">
        <v>10</v>
      </c>
      <c r="G256" s="38" t="s">
        <v>9</v>
      </c>
      <c r="H256" s="39" t="str">
        <f>_xlfn.XLOOKUP(CRUCE[[#This Row],[Ubicacion]],Registros[Ubicacion],Registros[Codigo], "")</f>
        <v/>
      </c>
      <c r="I256" s="25" t="str">
        <f>_xlfn.XLOOKUP(CRUCE[[#This Row],[Ubicacion]],Registros[Ubicacion],Registros[Total], "")</f>
        <v/>
      </c>
      <c r="J256" s="25" t="str">
        <f>_xlfn.XLOOKUP(CRUCE[[#This Row],[Ubicacion]],Registros[Ubicacion],Registros[UMA], "")</f>
        <v/>
      </c>
      <c r="K256" s="25" t="str">
        <f>IF(CRUCE[[#This Row],[TOTAL]]="","",CRUCE[[#This Row],[TOTAL]]-CRUCE[[#This Row],[BULTOS]])</f>
        <v/>
      </c>
      <c r="L256" s="38" t="str">
        <f>IF(CRUCE[[#This Row],[TOTAL]]="", "PENDIENTE", IF(CRUCE[[#This Row],[Diferencia]]=0, "CUADRADO", IF(CRUCE[[#This Row],[Diferencia]]&gt;0, "SOBRANTE", "FALTANTE")))</f>
        <v>PENDIENTE</v>
      </c>
      <c r="M256" s="71" t="str">
        <f>IF(CRUCE[[#This Row],[Diferencia]]="","",IF(CRUCE[[#This Row],[Diferencia]]=0,"OK","RECONTEO"))</f>
        <v/>
      </c>
      <c r="N256" s="39" t="str">
        <f>_xlfn.XLOOKUP(CRUCE[[#This Row],[Ubicacion]],Registros[Ubicacion],Registros[Codigo], "")</f>
        <v/>
      </c>
      <c r="O256" s="25"/>
      <c r="P256" s="25"/>
      <c r="Q256" s="39" t="str">
        <f>IF(CRUCE[[#This Row],[TOTAL2]]="", "PENDIENTE", IF(CRUCE[[#This Row],[DIFERENCIA2]]=0, "CUADRADO", IF(CRUCE[[#This Row],[DIFERENCIA2]]&gt;0, "SOBRANTE", "FALTANTE")))</f>
        <v>PENDIENTE</v>
      </c>
      <c r="R256" s="103" t="s">
        <v>5081</v>
      </c>
      <c r="S256" s="127" t="s">
        <v>5339</v>
      </c>
    </row>
    <row r="257" spans="1:19">
      <c r="A257" s="92" t="s">
        <v>5327</v>
      </c>
      <c r="B257" s="39" t="s">
        <v>3533</v>
      </c>
      <c r="C257" s="39">
        <v>8315042</v>
      </c>
      <c r="D257" s="73">
        <v>17751851003961</v>
      </c>
      <c r="E257" s="39" t="s">
        <v>821</v>
      </c>
      <c r="F257" s="39">
        <v>65</v>
      </c>
      <c r="G257" s="39" t="s">
        <v>9</v>
      </c>
      <c r="H257" s="39" t="str">
        <f>_xlfn.XLOOKUP(CRUCE[[#This Row],[Ubicacion]],Registros[Ubicacion],Registros[Codigo], "")</f>
        <v/>
      </c>
      <c r="I257" s="26" t="str">
        <f>_xlfn.XLOOKUP(CRUCE[[#This Row],[Ubicacion]],Registros[Ubicacion],Registros[Total], "")</f>
        <v/>
      </c>
      <c r="J257" s="26" t="str">
        <f>_xlfn.XLOOKUP(CRUCE[[#This Row],[Ubicacion]],Registros[Ubicacion],Registros[UMA], "")</f>
        <v/>
      </c>
      <c r="K257" s="26" t="str">
        <f>IF(CRUCE[[#This Row],[TOTAL]]="","",CRUCE[[#This Row],[TOTAL]]-CRUCE[[#This Row],[BULTOS]])</f>
        <v/>
      </c>
      <c r="L257" s="39" t="str">
        <f>IF(CRUCE[[#This Row],[TOTAL]]="", "PENDIENTE", IF(CRUCE[[#This Row],[Diferencia]]=0, "CUADRADO", IF(CRUCE[[#This Row],[Diferencia]]&gt;0, "SOBRANTE", "FALTANTE")))</f>
        <v>PENDIENTE</v>
      </c>
      <c r="M257" s="72" t="str">
        <f>IF(CRUCE[[#This Row],[Diferencia]]="","",IF(CRUCE[[#This Row],[Diferencia]]=0,"OK","RECONTEO"))</f>
        <v/>
      </c>
      <c r="N257" s="39" t="str">
        <f>_xlfn.XLOOKUP(CRUCE[[#This Row],[Ubicacion]],Registros[Ubicacion],Registros[Codigo], "")</f>
        <v/>
      </c>
      <c r="O257" s="26"/>
      <c r="P257" s="26"/>
      <c r="Q257" s="39" t="str">
        <f>IF(CRUCE[[#This Row],[TOTAL2]]="", "PENDIENTE", IF(CRUCE[[#This Row],[DIFERENCIA2]]=0, "CUADRADO", IF(CRUCE[[#This Row],[DIFERENCIA2]]&gt;0, "SOBRANTE", "FALTANTE")))</f>
        <v>PENDIENTE</v>
      </c>
      <c r="R257" s="102" t="s">
        <v>5081</v>
      </c>
      <c r="S257" s="127" t="s">
        <v>5340</v>
      </c>
    </row>
    <row r="258" spans="1:19">
      <c r="A258" s="93" t="s">
        <v>5327</v>
      </c>
      <c r="B258" s="38" t="s">
        <v>3535</v>
      </c>
      <c r="C258" s="38">
        <v>8315042</v>
      </c>
      <c r="D258" s="74">
        <v>17751851003961</v>
      </c>
      <c r="E258" s="38" t="s">
        <v>821</v>
      </c>
      <c r="F258" s="38">
        <v>65</v>
      </c>
      <c r="G258" s="38" t="s">
        <v>9</v>
      </c>
      <c r="H258" s="39" t="str">
        <f>_xlfn.XLOOKUP(CRUCE[[#This Row],[Ubicacion]],Registros[Ubicacion],Registros[Codigo], "")</f>
        <v/>
      </c>
      <c r="I258" s="25" t="str">
        <f>_xlfn.XLOOKUP(CRUCE[[#This Row],[Ubicacion]],Registros[Ubicacion],Registros[Total], "")</f>
        <v/>
      </c>
      <c r="J258" s="25" t="str">
        <f>_xlfn.XLOOKUP(CRUCE[[#This Row],[Ubicacion]],Registros[Ubicacion],Registros[UMA], "")</f>
        <v/>
      </c>
      <c r="K258" s="25" t="str">
        <f>IF(CRUCE[[#This Row],[TOTAL]]="","",CRUCE[[#This Row],[TOTAL]]-CRUCE[[#This Row],[BULTOS]])</f>
        <v/>
      </c>
      <c r="L258" s="38" t="str">
        <f>IF(CRUCE[[#This Row],[TOTAL]]="", "PENDIENTE", IF(CRUCE[[#This Row],[Diferencia]]=0, "CUADRADO", IF(CRUCE[[#This Row],[Diferencia]]&gt;0, "SOBRANTE", "FALTANTE")))</f>
        <v>PENDIENTE</v>
      </c>
      <c r="M258" s="71" t="str">
        <f>IF(CRUCE[[#This Row],[Diferencia]]="","",IF(CRUCE[[#This Row],[Diferencia]]=0,"OK","RECONTEO"))</f>
        <v/>
      </c>
      <c r="N258" s="39" t="str">
        <f>_xlfn.XLOOKUP(CRUCE[[#This Row],[Ubicacion]],Registros[Ubicacion],Registros[Codigo], "")</f>
        <v/>
      </c>
      <c r="O258" s="25"/>
      <c r="P258" s="25"/>
      <c r="Q258" s="39" t="str">
        <f>IF(CRUCE[[#This Row],[TOTAL2]]="", "PENDIENTE", IF(CRUCE[[#This Row],[DIFERENCIA2]]=0, "CUADRADO", IF(CRUCE[[#This Row],[DIFERENCIA2]]&gt;0, "SOBRANTE", "FALTANTE")))</f>
        <v>PENDIENTE</v>
      </c>
      <c r="R258" s="103" t="s">
        <v>5081</v>
      </c>
      <c r="S258" s="127" t="s">
        <v>5341</v>
      </c>
    </row>
    <row r="259" spans="1:19">
      <c r="A259" s="92" t="s">
        <v>5327</v>
      </c>
      <c r="B259" s="39" t="s">
        <v>3531</v>
      </c>
      <c r="C259" s="39">
        <v>8315041</v>
      </c>
      <c r="D259" s="73">
        <v>17751851010679</v>
      </c>
      <c r="E259" s="39" t="s">
        <v>819</v>
      </c>
      <c r="F259" s="39">
        <v>63</v>
      </c>
      <c r="G259" s="39" t="s">
        <v>9</v>
      </c>
      <c r="H259" s="39" t="str">
        <f>_xlfn.XLOOKUP(CRUCE[[#This Row],[Ubicacion]],Registros[Ubicacion],Registros[Codigo], "")</f>
        <v/>
      </c>
      <c r="I259" s="26" t="str">
        <f>_xlfn.XLOOKUP(CRUCE[[#This Row],[Ubicacion]],Registros[Ubicacion],Registros[Total], "")</f>
        <v/>
      </c>
      <c r="J259" s="26" t="str">
        <f>_xlfn.XLOOKUP(CRUCE[[#This Row],[Ubicacion]],Registros[Ubicacion],Registros[UMA], "")</f>
        <v/>
      </c>
      <c r="K259" s="26" t="str">
        <f>IF(CRUCE[[#This Row],[TOTAL]]="","",CRUCE[[#This Row],[TOTAL]]-CRUCE[[#This Row],[BULTOS]])</f>
        <v/>
      </c>
      <c r="L259" s="39" t="str">
        <f>IF(CRUCE[[#This Row],[TOTAL]]="", "PENDIENTE", IF(CRUCE[[#This Row],[Diferencia]]=0, "CUADRADO", IF(CRUCE[[#This Row],[Diferencia]]&gt;0, "SOBRANTE", "FALTANTE")))</f>
        <v>PENDIENTE</v>
      </c>
      <c r="M259" s="72" t="str">
        <f>IF(CRUCE[[#This Row],[Diferencia]]="","",IF(CRUCE[[#This Row],[Diferencia]]=0,"OK","RECONTEO"))</f>
        <v/>
      </c>
      <c r="N259" s="39" t="str">
        <f>_xlfn.XLOOKUP(CRUCE[[#This Row],[Ubicacion]],Registros[Ubicacion],Registros[Codigo], "")</f>
        <v/>
      </c>
      <c r="O259" s="26"/>
      <c r="P259" s="26"/>
      <c r="Q259" s="39" t="str">
        <f>IF(CRUCE[[#This Row],[TOTAL2]]="", "PENDIENTE", IF(CRUCE[[#This Row],[DIFERENCIA2]]=0, "CUADRADO", IF(CRUCE[[#This Row],[DIFERENCIA2]]&gt;0, "SOBRANTE", "FALTANTE")))</f>
        <v>PENDIENTE</v>
      </c>
      <c r="R259" s="102" t="s">
        <v>5081</v>
      </c>
      <c r="S259" s="127" t="s">
        <v>5342</v>
      </c>
    </row>
    <row r="260" spans="1:19">
      <c r="A260" s="93" t="s">
        <v>5327</v>
      </c>
      <c r="B260" s="38" t="s">
        <v>3537</v>
      </c>
      <c r="C260" s="38">
        <v>8315043</v>
      </c>
      <c r="D260" s="74">
        <v>17751851003978</v>
      </c>
      <c r="E260" s="38" t="s">
        <v>823</v>
      </c>
      <c r="F260" s="38">
        <v>65</v>
      </c>
      <c r="G260" s="38" t="s">
        <v>9</v>
      </c>
      <c r="H260" s="39" t="str">
        <f>_xlfn.XLOOKUP(CRUCE[[#This Row],[Ubicacion]],Registros[Ubicacion],Registros[Codigo], "")</f>
        <v/>
      </c>
      <c r="I260" s="25" t="str">
        <f>_xlfn.XLOOKUP(CRUCE[[#This Row],[Ubicacion]],Registros[Ubicacion],Registros[Total], "")</f>
        <v/>
      </c>
      <c r="J260" s="25" t="str">
        <f>_xlfn.XLOOKUP(CRUCE[[#This Row],[Ubicacion]],Registros[Ubicacion],Registros[UMA], "")</f>
        <v/>
      </c>
      <c r="K260" s="25" t="str">
        <f>IF(CRUCE[[#This Row],[TOTAL]]="","",CRUCE[[#This Row],[TOTAL]]-CRUCE[[#This Row],[BULTOS]])</f>
        <v/>
      </c>
      <c r="L260" s="38" t="str">
        <f>IF(CRUCE[[#This Row],[TOTAL]]="", "PENDIENTE", IF(CRUCE[[#This Row],[Diferencia]]=0, "CUADRADO", IF(CRUCE[[#This Row],[Diferencia]]&gt;0, "SOBRANTE", "FALTANTE")))</f>
        <v>PENDIENTE</v>
      </c>
      <c r="M260" s="71" t="str">
        <f>IF(CRUCE[[#This Row],[Diferencia]]="","",IF(CRUCE[[#This Row],[Diferencia]]=0,"OK","RECONTEO"))</f>
        <v/>
      </c>
      <c r="N260" s="39" t="str">
        <f>_xlfn.XLOOKUP(CRUCE[[#This Row],[Ubicacion]],Registros[Ubicacion],Registros[Codigo], "")</f>
        <v/>
      </c>
      <c r="O260" s="25"/>
      <c r="P260" s="25"/>
      <c r="Q260" s="39" t="str">
        <f>IF(CRUCE[[#This Row],[TOTAL2]]="", "PENDIENTE", IF(CRUCE[[#This Row],[DIFERENCIA2]]=0, "CUADRADO", IF(CRUCE[[#This Row],[DIFERENCIA2]]&gt;0, "SOBRANTE", "FALTANTE")))</f>
        <v>PENDIENTE</v>
      </c>
      <c r="R260" s="103" t="s">
        <v>5081</v>
      </c>
      <c r="S260" s="127" t="s">
        <v>5343</v>
      </c>
    </row>
    <row r="261" spans="1:19">
      <c r="A261" s="92" t="s">
        <v>5327</v>
      </c>
      <c r="B261" s="39" t="s">
        <v>3539</v>
      </c>
      <c r="C261" s="39">
        <v>8315043</v>
      </c>
      <c r="D261" s="73">
        <v>17751851003978</v>
      </c>
      <c r="E261" s="39" t="s">
        <v>823</v>
      </c>
      <c r="F261" s="39">
        <v>65</v>
      </c>
      <c r="G261" s="39" t="s">
        <v>9</v>
      </c>
      <c r="H261" s="39" t="str">
        <f>_xlfn.XLOOKUP(CRUCE[[#This Row],[Ubicacion]],Registros[Ubicacion],Registros[Codigo], "")</f>
        <v/>
      </c>
      <c r="I261" s="26" t="str">
        <f>_xlfn.XLOOKUP(CRUCE[[#This Row],[Ubicacion]],Registros[Ubicacion],Registros[Total], "")</f>
        <v/>
      </c>
      <c r="J261" s="26" t="str">
        <f>_xlfn.XLOOKUP(CRUCE[[#This Row],[Ubicacion]],Registros[Ubicacion],Registros[UMA], "")</f>
        <v/>
      </c>
      <c r="K261" s="26" t="str">
        <f>IF(CRUCE[[#This Row],[TOTAL]]="","",CRUCE[[#This Row],[TOTAL]]-CRUCE[[#This Row],[BULTOS]])</f>
        <v/>
      </c>
      <c r="L261" s="39" t="str">
        <f>IF(CRUCE[[#This Row],[TOTAL]]="", "PENDIENTE", IF(CRUCE[[#This Row],[Diferencia]]=0, "CUADRADO", IF(CRUCE[[#This Row],[Diferencia]]&gt;0, "SOBRANTE", "FALTANTE")))</f>
        <v>PENDIENTE</v>
      </c>
      <c r="M261" s="72" t="str">
        <f>IF(CRUCE[[#This Row],[Diferencia]]="","",IF(CRUCE[[#This Row],[Diferencia]]=0,"OK","RECONTEO"))</f>
        <v/>
      </c>
      <c r="N261" s="39" t="str">
        <f>_xlfn.XLOOKUP(CRUCE[[#This Row],[Ubicacion]],Registros[Ubicacion],Registros[Codigo], "")</f>
        <v/>
      </c>
      <c r="O261" s="26"/>
      <c r="P261" s="26"/>
      <c r="Q261" s="39" t="str">
        <f>IF(CRUCE[[#This Row],[TOTAL2]]="", "PENDIENTE", IF(CRUCE[[#This Row],[DIFERENCIA2]]=0, "CUADRADO", IF(CRUCE[[#This Row],[DIFERENCIA2]]&gt;0, "SOBRANTE", "FALTANTE")))</f>
        <v>PENDIENTE</v>
      </c>
      <c r="R261" s="102" t="s">
        <v>5081</v>
      </c>
      <c r="S261" s="127" t="s">
        <v>5344</v>
      </c>
    </row>
    <row r="262" spans="1:19">
      <c r="A262" s="93" t="s">
        <v>5327</v>
      </c>
      <c r="B262" s="38" t="s">
        <v>3431</v>
      </c>
      <c r="C262" s="38">
        <v>8306037</v>
      </c>
      <c r="D262" s="74">
        <v>17750243069998</v>
      </c>
      <c r="E262" s="38" t="s">
        <v>601</v>
      </c>
      <c r="F262" s="38">
        <v>44</v>
      </c>
      <c r="G262" s="38" t="s">
        <v>9</v>
      </c>
      <c r="H262" s="39" t="str">
        <f>_xlfn.XLOOKUP(CRUCE[[#This Row],[Ubicacion]],Registros[Ubicacion],Registros[Codigo], "")</f>
        <v/>
      </c>
      <c r="I262" s="25" t="str">
        <f>_xlfn.XLOOKUP(CRUCE[[#This Row],[Ubicacion]],Registros[Ubicacion],Registros[Total], "")</f>
        <v/>
      </c>
      <c r="J262" s="25" t="str">
        <f>_xlfn.XLOOKUP(CRUCE[[#This Row],[Ubicacion]],Registros[Ubicacion],Registros[UMA], "")</f>
        <v/>
      </c>
      <c r="K262" s="25" t="str">
        <f>IF(CRUCE[[#This Row],[TOTAL]]="","",CRUCE[[#This Row],[TOTAL]]-CRUCE[[#This Row],[BULTOS]])</f>
        <v/>
      </c>
      <c r="L262" s="38" t="str">
        <f>IF(CRUCE[[#This Row],[TOTAL]]="", "PENDIENTE", IF(CRUCE[[#This Row],[Diferencia]]=0, "CUADRADO", IF(CRUCE[[#This Row],[Diferencia]]&gt;0, "SOBRANTE", "FALTANTE")))</f>
        <v>PENDIENTE</v>
      </c>
      <c r="M262" s="71" t="str">
        <f>IF(CRUCE[[#This Row],[Diferencia]]="","",IF(CRUCE[[#This Row],[Diferencia]]=0,"OK","RECONTEO"))</f>
        <v/>
      </c>
      <c r="N262" s="39" t="str">
        <f>_xlfn.XLOOKUP(CRUCE[[#This Row],[Ubicacion]],Registros[Ubicacion],Registros[Codigo], "")</f>
        <v/>
      </c>
      <c r="O262" s="25"/>
      <c r="P262" s="25"/>
      <c r="Q262" s="39" t="str">
        <f>IF(CRUCE[[#This Row],[TOTAL2]]="", "PENDIENTE", IF(CRUCE[[#This Row],[DIFERENCIA2]]=0, "CUADRADO", IF(CRUCE[[#This Row],[DIFERENCIA2]]&gt;0, "SOBRANTE", "FALTANTE")))</f>
        <v>PENDIENTE</v>
      </c>
      <c r="R262" s="103" t="s">
        <v>5081</v>
      </c>
      <c r="S262" s="127" t="s">
        <v>5345</v>
      </c>
    </row>
    <row r="263" spans="1:19">
      <c r="A263" s="92" t="s">
        <v>5327</v>
      </c>
      <c r="B263" s="39" t="s">
        <v>3435</v>
      </c>
      <c r="C263" s="39">
        <v>8306037</v>
      </c>
      <c r="D263" s="73">
        <v>17750243069998</v>
      </c>
      <c r="E263" s="39" t="s">
        <v>601</v>
      </c>
      <c r="F263" s="39">
        <v>44</v>
      </c>
      <c r="G263" s="39" t="s">
        <v>9</v>
      </c>
      <c r="H263" s="39" t="str">
        <f>_xlfn.XLOOKUP(CRUCE[[#This Row],[Ubicacion]],Registros[Ubicacion],Registros[Codigo], "")</f>
        <v/>
      </c>
      <c r="I263" s="26" t="str">
        <f>_xlfn.XLOOKUP(CRUCE[[#This Row],[Ubicacion]],Registros[Ubicacion],Registros[Total], "")</f>
        <v/>
      </c>
      <c r="J263" s="26" t="str">
        <f>_xlfn.XLOOKUP(CRUCE[[#This Row],[Ubicacion]],Registros[Ubicacion],Registros[UMA], "")</f>
        <v/>
      </c>
      <c r="K263" s="26" t="str">
        <f>IF(CRUCE[[#This Row],[TOTAL]]="","",CRUCE[[#This Row],[TOTAL]]-CRUCE[[#This Row],[BULTOS]])</f>
        <v/>
      </c>
      <c r="L263" s="39" t="str">
        <f>IF(CRUCE[[#This Row],[TOTAL]]="", "PENDIENTE", IF(CRUCE[[#This Row],[Diferencia]]=0, "CUADRADO", IF(CRUCE[[#This Row],[Diferencia]]&gt;0, "SOBRANTE", "FALTANTE")))</f>
        <v>PENDIENTE</v>
      </c>
      <c r="M263" s="72" t="str">
        <f>IF(CRUCE[[#This Row],[Diferencia]]="","",IF(CRUCE[[#This Row],[Diferencia]]=0,"OK","RECONTEO"))</f>
        <v/>
      </c>
      <c r="N263" s="39" t="str">
        <f>_xlfn.XLOOKUP(CRUCE[[#This Row],[Ubicacion]],Registros[Ubicacion],Registros[Codigo], "")</f>
        <v/>
      </c>
      <c r="O263" s="26"/>
      <c r="P263" s="26"/>
      <c r="Q263" s="39" t="str">
        <f>IF(CRUCE[[#This Row],[TOTAL2]]="", "PENDIENTE", IF(CRUCE[[#This Row],[DIFERENCIA2]]=0, "CUADRADO", IF(CRUCE[[#This Row],[DIFERENCIA2]]&gt;0, "SOBRANTE", "FALTANTE")))</f>
        <v>PENDIENTE</v>
      </c>
      <c r="R263" s="102" t="s">
        <v>5081</v>
      </c>
      <c r="S263" s="127" t="s">
        <v>5346</v>
      </c>
    </row>
    <row r="264" spans="1:19">
      <c r="A264" s="93" t="s">
        <v>5327</v>
      </c>
      <c r="B264" s="38" t="s">
        <v>4161</v>
      </c>
      <c r="C264" s="38">
        <v>9350410</v>
      </c>
      <c r="D264" s="74">
        <v>17750243083079</v>
      </c>
      <c r="E264" s="38" t="s">
        <v>3077</v>
      </c>
      <c r="F264" s="38">
        <v>1</v>
      </c>
      <c r="G264" s="38" t="s">
        <v>9</v>
      </c>
      <c r="H264" s="39" t="str">
        <f>_xlfn.XLOOKUP(CRUCE[[#This Row],[Ubicacion]],Registros[Ubicacion],Registros[Codigo], "")</f>
        <v/>
      </c>
      <c r="I264" s="25" t="str">
        <f>_xlfn.XLOOKUP(CRUCE[[#This Row],[Ubicacion]],Registros[Ubicacion],Registros[Total], "")</f>
        <v/>
      </c>
      <c r="J264" s="25" t="str">
        <f>_xlfn.XLOOKUP(CRUCE[[#This Row],[Ubicacion]],Registros[Ubicacion],Registros[UMA], "")</f>
        <v/>
      </c>
      <c r="K264" s="25" t="str">
        <f>IF(CRUCE[[#This Row],[TOTAL]]="","",CRUCE[[#This Row],[TOTAL]]-CRUCE[[#This Row],[BULTOS]])</f>
        <v/>
      </c>
      <c r="L264" s="38" t="str">
        <f>IF(CRUCE[[#This Row],[TOTAL]]="", "PENDIENTE", IF(CRUCE[[#This Row],[Diferencia]]=0, "CUADRADO", IF(CRUCE[[#This Row],[Diferencia]]&gt;0, "SOBRANTE", "FALTANTE")))</f>
        <v>PENDIENTE</v>
      </c>
      <c r="M264" s="71" t="str">
        <f>IF(CRUCE[[#This Row],[Diferencia]]="","",IF(CRUCE[[#This Row],[Diferencia]]=0,"OK","RECONTEO"))</f>
        <v/>
      </c>
      <c r="N264" s="39" t="str">
        <f>_xlfn.XLOOKUP(CRUCE[[#This Row],[Ubicacion]],Registros[Ubicacion],Registros[Codigo], "")</f>
        <v/>
      </c>
      <c r="O264" s="25"/>
      <c r="P264" s="25"/>
      <c r="Q264" s="39" t="str">
        <f>IF(CRUCE[[#This Row],[TOTAL2]]="", "PENDIENTE", IF(CRUCE[[#This Row],[DIFERENCIA2]]=0, "CUADRADO", IF(CRUCE[[#This Row],[DIFERENCIA2]]&gt;0, "SOBRANTE", "FALTANTE")))</f>
        <v>PENDIENTE</v>
      </c>
      <c r="R264" s="103" t="s">
        <v>5081</v>
      </c>
      <c r="S264" s="127" t="s">
        <v>5347</v>
      </c>
    </row>
    <row r="265" spans="1:19">
      <c r="A265" s="92" t="s">
        <v>5327</v>
      </c>
      <c r="B265" s="39" t="s">
        <v>4186</v>
      </c>
      <c r="C265" s="39">
        <v>9350418</v>
      </c>
      <c r="D265" s="73">
        <v>17750243083567</v>
      </c>
      <c r="E265" s="39" t="s">
        <v>3093</v>
      </c>
      <c r="F265" s="39">
        <v>36</v>
      </c>
      <c r="G265" s="39" t="s">
        <v>9</v>
      </c>
      <c r="H265" s="39" t="str">
        <f>_xlfn.XLOOKUP(CRUCE[[#This Row],[Ubicacion]],Registros[Ubicacion],Registros[Codigo], "")</f>
        <v/>
      </c>
      <c r="I265" s="26" t="str">
        <f>_xlfn.XLOOKUP(CRUCE[[#This Row],[Ubicacion]],Registros[Ubicacion],Registros[Total], "")</f>
        <v/>
      </c>
      <c r="J265" s="26" t="str">
        <f>_xlfn.XLOOKUP(CRUCE[[#This Row],[Ubicacion]],Registros[Ubicacion],Registros[UMA], "")</f>
        <v/>
      </c>
      <c r="K265" s="26" t="str">
        <f>IF(CRUCE[[#This Row],[TOTAL]]="","",CRUCE[[#This Row],[TOTAL]]-CRUCE[[#This Row],[BULTOS]])</f>
        <v/>
      </c>
      <c r="L265" s="39" t="str">
        <f>IF(CRUCE[[#This Row],[TOTAL]]="", "PENDIENTE", IF(CRUCE[[#This Row],[Diferencia]]=0, "CUADRADO", IF(CRUCE[[#This Row],[Diferencia]]&gt;0, "SOBRANTE", "FALTANTE")))</f>
        <v>PENDIENTE</v>
      </c>
      <c r="M265" s="72" t="str">
        <f>IF(CRUCE[[#This Row],[Diferencia]]="","",IF(CRUCE[[#This Row],[Diferencia]]=0,"OK","RECONTEO"))</f>
        <v/>
      </c>
      <c r="N265" s="39" t="str">
        <f>_xlfn.XLOOKUP(CRUCE[[#This Row],[Ubicacion]],Registros[Ubicacion],Registros[Codigo], "")</f>
        <v/>
      </c>
      <c r="O265" s="26"/>
      <c r="P265" s="26"/>
      <c r="Q265" s="39" t="str">
        <f>IF(CRUCE[[#This Row],[TOTAL2]]="", "PENDIENTE", IF(CRUCE[[#This Row],[DIFERENCIA2]]=0, "CUADRADO", IF(CRUCE[[#This Row],[DIFERENCIA2]]&gt;0, "SOBRANTE", "FALTANTE")))</f>
        <v>PENDIENTE</v>
      </c>
      <c r="R265" s="102" t="s">
        <v>5081</v>
      </c>
      <c r="S265" s="127" t="s">
        <v>5348</v>
      </c>
    </row>
    <row r="266" spans="1:19">
      <c r="A266" s="93" t="s">
        <v>5327</v>
      </c>
      <c r="B266" s="38" t="s">
        <v>4182</v>
      </c>
      <c r="C266" s="38">
        <v>9350417</v>
      </c>
      <c r="D266" s="74">
        <v>17750243083550</v>
      </c>
      <c r="E266" s="38" t="s">
        <v>3091</v>
      </c>
      <c r="F266" s="38">
        <v>7</v>
      </c>
      <c r="G266" s="38" t="s">
        <v>9</v>
      </c>
      <c r="H266" s="39" t="str">
        <f>_xlfn.XLOOKUP(CRUCE[[#This Row],[Ubicacion]],Registros[Ubicacion],Registros[Codigo], "")</f>
        <v/>
      </c>
      <c r="I266" s="25" t="str">
        <f>_xlfn.XLOOKUP(CRUCE[[#This Row],[Ubicacion]],Registros[Ubicacion],Registros[Total], "")</f>
        <v/>
      </c>
      <c r="J266" s="25" t="str">
        <f>_xlfn.XLOOKUP(CRUCE[[#This Row],[Ubicacion]],Registros[Ubicacion],Registros[UMA], "")</f>
        <v/>
      </c>
      <c r="K266" s="25" t="str">
        <f>IF(CRUCE[[#This Row],[TOTAL]]="","",CRUCE[[#This Row],[TOTAL]]-CRUCE[[#This Row],[BULTOS]])</f>
        <v/>
      </c>
      <c r="L266" s="38" t="str">
        <f>IF(CRUCE[[#This Row],[TOTAL]]="", "PENDIENTE", IF(CRUCE[[#This Row],[Diferencia]]=0, "CUADRADO", IF(CRUCE[[#This Row],[Diferencia]]&gt;0, "SOBRANTE", "FALTANTE")))</f>
        <v>PENDIENTE</v>
      </c>
      <c r="M266" s="71" t="str">
        <f>IF(CRUCE[[#This Row],[Diferencia]]="","",IF(CRUCE[[#This Row],[Diferencia]]=0,"OK","RECONTEO"))</f>
        <v/>
      </c>
      <c r="N266" s="39" t="str">
        <f>_xlfn.XLOOKUP(CRUCE[[#This Row],[Ubicacion]],Registros[Ubicacion],Registros[Codigo], "")</f>
        <v/>
      </c>
      <c r="O266" s="25"/>
      <c r="P266" s="25"/>
      <c r="Q266" s="39" t="str">
        <f>IF(CRUCE[[#This Row],[TOTAL2]]="", "PENDIENTE", IF(CRUCE[[#This Row],[DIFERENCIA2]]=0, "CUADRADO", IF(CRUCE[[#This Row],[DIFERENCIA2]]&gt;0, "SOBRANTE", "FALTANTE")))</f>
        <v>PENDIENTE</v>
      </c>
      <c r="R266" s="103" t="s">
        <v>5081</v>
      </c>
      <c r="S266" s="127" t="s">
        <v>5349</v>
      </c>
    </row>
    <row r="267" spans="1:19">
      <c r="A267" s="92" t="s">
        <v>5327</v>
      </c>
      <c r="B267" s="39" t="s">
        <v>4609</v>
      </c>
      <c r="C267" s="26"/>
      <c r="D267" s="35"/>
      <c r="E267" s="26"/>
      <c r="F267" s="26"/>
      <c r="G267" s="26"/>
      <c r="H267" s="39" t="str">
        <f>_xlfn.XLOOKUP(CRUCE[[#This Row],[Ubicacion]],Registros[Ubicacion],Registros[Codigo], "")</f>
        <v/>
      </c>
      <c r="I267" s="26" t="str">
        <f>_xlfn.XLOOKUP(CRUCE[[#This Row],[Ubicacion]],Registros[Ubicacion],Registros[Total], "")</f>
        <v/>
      </c>
      <c r="J267" s="26" t="str">
        <f>_xlfn.XLOOKUP(CRUCE[[#This Row],[Ubicacion]],Registros[Ubicacion],Registros[UMA], "")</f>
        <v/>
      </c>
      <c r="K267" s="26" t="str">
        <f>IF(CRUCE[[#This Row],[TOTAL]]="","",CRUCE[[#This Row],[TOTAL]]-CRUCE[[#This Row],[BULTOS]])</f>
        <v/>
      </c>
      <c r="L267" s="39" t="str">
        <f>IF(CRUCE[[#This Row],[TOTAL]]="", "PENDIENTE", IF(CRUCE[[#This Row],[Diferencia]]=0, "CUADRADO", IF(CRUCE[[#This Row],[Diferencia]]&gt;0, "SOBRANTE", "FALTANTE")))</f>
        <v>PENDIENTE</v>
      </c>
      <c r="M267" s="72" t="str">
        <f>IF(CRUCE[[#This Row],[Diferencia]]="","",IF(CRUCE[[#This Row],[Diferencia]]=0,"OK","RECONTEO"))</f>
        <v/>
      </c>
      <c r="N267" s="39" t="str">
        <f>_xlfn.XLOOKUP(CRUCE[[#This Row],[Ubicacion]],Registros[Ubicacion],Registros[Codigo], "")</f>
        <v/>
      </c>
      <c r="O267" s="26"/>
      <c r="P267" s="26"/>
      <c r="Q267" s="39" t="str">
        <f>IF(CRUCE[[#This Row],[TOTAL2]]="", "PENDIENTE", IF(CRUCE[[#This Row],[DIFERENCIA2]]=0, "CUADRADO", IF(CRUCE[[#This Row],[DIFERENCIA2]]&gt;0, "SOBRANTE", "FALTANTE")))</f>
        <v>PENDIENTE</v>
      </c>
      <c r="R267" s="102" t="s">
        <v>5081</v>
      </c>
      <c r="S267" s="127" t="s">
        <v>5350</v>
      </c>
    </row>
    <row r="268" spans="1:19">
      <c r="A268" s="93" t="s">
        <v>5327</v>
      </c>
      <c r="B268" s="38" t="s">
        <v>4611</v>
      </c>
      <c r="C268" s="25"/>
      <c r="D268" s="34"/>
      <c r="E268" s="25"/>
      <c r="F268" s="25"/>
      <c r="G268" s="25"/>
      <c r="H268" s="39" t="str">
        <f>_xlfn.XLOOKUP(CRUCE[[#This Row],[Ubicacion]],Registros[Ubicacion],Registros[Codigo], "")</f>
        <v/>
      </c>
      <c r="I268" s="25" t="str">
        <f>_xlfn.XLOOKUP(CRUCE[[#This Row],[Ubicacion]],Registros[Ubicacion],Registros[Total], "")</f>
        <v/>
      </c>
      <c r="J268" s="25" t="str">
        <f>_xlfn.XLOOKUP(CRUCE[[#This Row],[Ubicacion]],Registros[Ubicacion],Registros[UMA], "")</f>
        <v/>
      </c>
      <c r="K268" s="25" t="str">
        <f>IF(CRUCE[[#This Row],[TOTAL]]="","",CRUCE[[#This Row],[TOTAL]]-CRUCE[[#This Row],[BULTOS]])</f>
        <v/>
      </c>
      <c r="L268" s="38" t="str">
        <f>IF(CRUCE[[#This Row],[TOTAL]]="", "PENDIENTE", IF(CRUCE[[#This Row],[Diferencia]]=0, "CUADRADO", IF(CRUCE[[#This Row],[Diferencia]]&gt;0, "SOBRANTE", "FALTANTE")))</f>
        <v>PENDIENTE</v>
      </c>
      <c r="M268" s="71" t="str">
        <f>IF(CRUCE[[#This Row],[Diferencia]]="","",IF(CRUCE[[#This Row],[Diferencia]]=0,"OK","RECONTEO"))</f>
        <v/>
      </c>
      <c r="N268" s="39" t="str">
        <f>_xlfn.XLOOKUP(CRUCE[[#This Row],[Ubicacion]],Registros[Ubicacion],Registros[Codigo], "")</f>
        <v/>
      </c>
      <c r="O268" s="25"/>
      <c r="P268" s="25"/>
      <c r="Q268" s="39" t="str">
        <f>IF(CRUCE[[#This Row],[TOTAL2]]="", "PENDIENTE", IF(CRUCE[[#This Row],[DIFERENCIA2]]=0, "CUADRADO", IF(CRUCE[[#This Row],[DIFERENCIA2]]&gt;0, "SOBRANTE", "FALTANTE")))</f>
        <v>PENDIENTE</v>
      </c>
      <c r="R268" s="103" t="s">
        <v>5081</v>
      </c>
      <c r="S268" s="127" t="s">
        <v>5351</v>
      </c>
    </row>
    <row r="269" spans="1:19">
      <c r="A269" s="92" t="s">
        <v>5327</v>
      </c>
      <c r="B269" s="39" t="s">
        <v>3426</v>
      </c>
      <c r="C269" s="39">
        <v>8306034</v>
      </c>
      <c r="D269" s="73">
        <v>17750243069110</v>
      </c>
      <c r="E269" s="39" t="s">
        <v>597</v>
      </c>
      <c r="F269" s="39">
        <v>19</v>
      </c>
      <c r="G269" s="39" t="s">
        <v>9</v>
      </c>
      <c r="H269" s="39" t="str">
        <f>_xlfn.XLOOKUP(CRUCE[[#This Row],[Ubicacion]],Registros[Ubicacion],Registros[Codigo], "")</f>
        <v/>
      </c>
      <c r="I269" s="26" t="str">
        <f>_xlfn.XLOOKUP(CRUCE[[#This Row],[Ubicacion]],Registros[Ubicacion],Registros[Total], "")</f>
        <v/>
      </c>
      <c r="J269" s="26" t="str">
        <f>_xlfn.XLOOKUP(CRUCE[[#This Row],[Ubicacion]],Registros[Ubicacion],Registros[UMA], "")</f>
        <v/>
      </c>
      <c r="K269" s="26" t="str">
        <f>IF(CRUCE[[#This Row],[TOTAL]]="","",CRUCE[[#This Row],[TOTAL]]-CRUCE[[#This Row],[BULTOS]])</f>
        <v/>
      </c>
      <c r="L269" s="39" t="str">
        <f>IF(CRUCE[[#This Row],[TOTAL]]="", "PENDIENTE", IF(CRUCE[[#This Row],[Diferencia]]=0, "CUADRADO", IF(CRUCE[[#This Row],[Diferencia]]&gt;0, "SOBRANTE", "FALTANTE")))</f>
        <v>PENDIENTE</v>
      </c>
      <c r="M269" s="72" t="str">
        <f>IF(CRUCE[[#This Row],[Diferencia]]="","",IF(CRUCE[[#This Row],[Diferencia]]=0,"OK","RECONTEO"))</f>
        <v/>
      </c>
      <c r="N269" s="39" t="str">
        <f>_xlfn.XLOOKUP(CRUCE[[#This Row],[Ubicacion]],Registros[Ubicacion],Registros[Codigo], "")</f>
        <v/>
      </c>
      <c r="O269" s="26"/>
      <c r="P269" s="26"/>
      <c r="Q269" s="39" t="str">
        <f>IF(CRUCE[[#This Row],[TOTAL2]]="", "PENDIENTE", IF(CRUCE[[#This Row],[DIFERENCIA2]]=0, "CUADRADO", IF(CRUCE[[#This Row],[DIFERENCIA2]]&gt;0, "SOBRANTE", "FALTANTE")))</f>
        <v>PENDIENTE</v>
      </c>
      <c r="R269" s="102" t="s">
        <v>5081</v>
      </c>
      <c r="S269" s="127" t="s">
        <v>5352</v>
      </c>
    </row>
    <row r="270" spans="1:19">
      <c r="A270" s="93" t="s">
        <v>5327</v>
      </c>
      <c r="B270" s="38" t="s">
        <v>3429</v>
      </c>
      <c r="C270" s="38">
        <v>8306034</v>
      </c>
      <c r="D270" s="74">
        <v>17750243069110</v>
      </c>
      <c r="E270" s="38" t="s">
        <v>597</v>
      </c>
      <c r="F270" s="38">
        <v>19</v>
      </c>
      <c r="G270" s="38" t="s">
        <v>9</v>
      </c>
      <c r="H270" s="39" t="str">
        <f>_xlfn.XLOOKUP(CRUCE[[#This Row],[Ubicacion]],Registros[Ubicacion],Registros[Codigo], "")</f>
        <v/>
      </c>
      <c r="I270" s="25" t="str">
        <f>_xlfn.XLOOKUP(CRUCE[[#This Row],[Ubicacion]],Registros[Ubicacion],Registros[Total], "")</f>
        <v/>
      </c>
      <c r="J270" s="25" t="str">
        <f>_xlfn.XLOOKUP(CRUCE[[#This Row],[Ubicacion]],Registros[Ubicacion],Registros[UMA], "")</f>
        <v/>
      </c>
      <c r="K270" s="25" t="str">
        <f>IF(CRUCE[[#This Row],[TOTAL]]="","",CRUCE[[#This Row],[TOTAL]]-CRUCE[[#This Row],[BULTOS]])</f>
        <v/>
      </c>
      <c r="L270" s="38" t="str">
        <f>IF(CRUCE[[#This Row],[TOTAL]]="", "PENDIENTE", IF(CRUCE[[#This Row],[Diferencia]]=0, "CUADRADO", IF(CRUCE[[#This Row],[Diferencia]]&gt;0, "SOBRANTE", "FALTANTE")))</f>
        <v>PENDIENTE</v>
      </c>
      <c r="M270" s="71" t="str">
        <f>IF(CRUCE[[#This Row],[Diferencia]]="","",IF(CRUCE[[#This Row],[Diferencia]]=0,"OK","RECONTEO"))</f>
        <v/>
      </c>
      <c r="N270" s="39" t="str">
        <f>_xlfn.XLOOKUP(CRUCE[[#This Row],[Ubicacion]],Registros[Ubicacion],Registros[Codigo], "")</f>
        <v/>
      </c>
      <c r="O270" s="25"/>
      <c r="P270" s="25"/>
      <c r="Q270" s="39" t="str">
        <f>IF(CRUCE[[#This Row],[TOTAL2]]="", "PENDIENTE", IF(CRUCE[[#This Row],[DIFERENCIA2]]=0, "CUADRADO", IF(CRUCE[[#This Row],[DIFERENCIA2]]&gt;0, "SOBRANTE", "FALTANTE")))</f>
        <v>PENDIENTE</v>
      </c>
      <c r="R270" s="103" t="s">
        <v>5081</v>
      </c>
      <c r="S270" s="127" t="s">
        <v>5353</v>
      </c>
    </row>
    <row r="271" spans="1:19">
      <c r="A271" s="92" t="s">
        <v>5327</v>
      </c>
      <c r="B271" s="39" t="s">
        <v>4198</v>
      </c>
      <c r="C271" s="39">
        <v>9350422</v>
      </c>
      <c r="D271" s="73">
        <v>17750243084359</v>
      </c>
      <c r="E271" s="39" t="s">
        <v>3099</v>
      </c>
      <c r="F271" s="39">
        <v>7</v>
      </c>
      <c r="G271" s="39" t="s">
        <v>9</v>
      </c>
      <c r="H271" s="39" t="str">
        <f>_xlfn.XLOOKUP(CRUCE[[#This Row],[Ubicacion]],Registros[Ubicacion],Registros[Codigo], "")</f>
        <v/>
      </c>
      <c r="I271" s="26" t="str">
        <f>_xlfn.XLOOKUP(CRUCE[[#This Row],[Ubicacion]],Registros[Ubicacion],Registros[Total], "")</f>
        <v/>
      </c>
      <c r="J271" s="26" t="str">
        <f>_xlfn.XLOOKUP(CRUCE[[#This Row],[Ubicacion]],Registros[Ubicacion],Registros[UMA], "")</f>
        <v/>
      </c>
      <c r="K271" s="26" t="str">
        <f>IF(CRUCE[[#This Row],[TOTAL]]="","",CRUCE[[#This Row],[TOTAL]]-CRUCE[[#This Row],[BULTOS]])</f>
        <v/>
      </c>
      <c r="L271" s="39" t="str">
        <f>IF(CRUCE[[#This Row],[TOTAL]]="", "PENDIENTE", IF(CRUCE[[#This Row],[Diferencia]]=0, "CUADRADO", IF(CRUCE[[#This Row],[Diferencia]]&gt;0, "SOBRANTE", "FALTANTE")))</f>
        <v>PENDIENTE</v>
      </c>
      <c r="M271" s="72" t="str">
        <f>IF(CRUCE[[#This Row],[Diferencia]]="","",IF(CRUCE[[#This Row],[Diferencia]]=0,"OK","RECONTEO"))</f>
        <v/>
      </c>
      <c r="N271" s="39" t="str">
        <f>_xlfn.XLOOKUP(CRUCE[[#This Row],[Ubicacion]],Registros[Ubicacion],Registros[Codigo], "")</f>
        <v/>
      </c>
      <c r="O271" s="26"/>
      <c r="P271" s="26"/>
      <c r="Q271" s="39" t="str">
        <f>IF(CRUCE[[#This Row],[TOTAL2]]="", "PENDIENTE", IF(CRUCE[[#This Row],[DIFERENCIA2]]=0, "CUADRADO", IF(CRUCE[[#This Row],[DIFERENCIA2]]&gt;0, "SOBRANTE", "FALTANTE")))</f>
        <v>PENDIENTE</v>
      </c>
      <c r="R271" s="102" t="s">
        <v>5081</v>
      </c>
      <c r="S271" s="127" t="s">
        <v>5354</v>
      </c>
    </row>
    <row r="272" spans="1:19">
      <c r="A272" s="93" t="s">
        <v>5327</v>
      </c>
      <c r="B272" s="38" t="s">
        <v>3624</v>
      </c>
      <c r="C272" s="38">
        <v>8317027</v>
      </c>
      <c r="D272" s="74">
        <v>17751851012215</v>
      </c>
      <c r="E272" s="38" t="s">
        <v>989</v>
      </c>
      <c r="F272" s="38">
        <v>42</v>
      </c>
      <c r="G272" s="38" t="s">
        <v>9</v>
      </c>
      <c r="H272" s="39" t="str">
        <f>_xlfn.XLOOKUP(CRUCE[[#This Row],[Ubicacion]],Registros[Ubicacion],Registros[Codigo], "")</f>
        <v/>
      </c>
      <c r="I272" s="25" t="str">
        <f>_xlfn.XLOOKUP(CRUCE[[#This Row],[Ubicacion]],Registros[Ubicacion],Registros[Total], "")</f>
        <v/>
      </c>
      <c r="J272" s="25" t="str">
        <f>_xlfn.XLOOKUP(CRUCE[[#This Row],[Ubicacion]],Registros[Ubicacion],Registros[UMA], "")</f>
        <v/>
      </c>
      <c r="K272" s="25" t="str">
        <f>IF(CRUCE[[#This Row],[TOTAL]]="","",CRUCE[[#This Row],[TOTAL]]-CRUCE[[#This Row],[BULTOS]])</f>
        <v/>
      </c>
      <c r="L272" s="38" t="str">
        <f>IF(CRUCE[[#This Row],[TOTAL]]="", "PENDIENTE", IF(CRUCE[[#This Row],[Diferencia]]=0, "CUADRADO", IF(CRUCE[[#This Row],[Diferencia]]&gt;0, "SOBRANTE", "FALTANTE")))</f>
        <v>PENDIENTE</v>
      </c>
      <c r="M272" s="71" t="str">
        <f>IF(CRUCE[[#This Row],[Diferencia]]="","",IF(CRUCE[[#This Row],[Diferencia]]=0,"OK","RECONTEO"))</f>
        <v/>
      </c>
      <c r="N272" s="39" t="str">
        <f>_xlfn.XLOOKUP(CRUCE[[#This Row],[Ubicacion]],Registros[Ubicacion],Registros[Codigo], "")</f>
        <v/>
      </c>
      <c r="O272" s="25"/>
      <c r="P272" s="25"/>
      <c r="Q272" s="39" t="str">
        <f>IF(CRUCE[[#This Row],[TOTAL2]]="", "PENDIENTE", IF(CRUCE[[#This Row],[DIFERENCIA2]]=0, "CUADRADO", IF(CRUCE[[#This Row],[DIFERENCIA2]]&gt;0, "SOBRANTE", "FALTANTE")))</f>
        <v>PENDIENTE</v>
      </c>
      <c r="R272" s="103" t="s">
        <v>5081</v>
      </c>
      <c r="S272" s="127" t="s">
        <v>5355</v>
      </c>
    </row>
    <row r="273" spans="1:19">
      <c r="A273" s="92" t="s">
        <v>5327</v>
      </c>
      <c r="B273" s="39" t="s">
        <v>3505</v>
      </c>
      <c r="C273" s="39">
        <v>8315011</v>
      </c>
      <c r="D273" s="73">
        <v>17751851004739</v>
      </c>
      <c r="E273" s="39" t="s">
        <v>785</v>
      </c>
      <c r="F273" s="39">
        <v>29</v>
      </c>
      <c r="G273" s="39" t="s">
        <v>9</v>
      </c>
      <c r="H273" s="39" t="str">
        <f>_xlfn.XLOOKUP(CRUCE[[#This Row],[Ubicacion]],Registros[Ubicacion],Registros[Codigo], "")</f>
        <v/>
      </c>
      <c r="I273" s="26" t="str">
        <f>_xlfn.XLOOKUP(CRUCE[[#This Row],[Ubicacion]],Registros[Ubicacion],Registros[Total], "")</f>
        <v/>
      </c>
      <c r="J273" s="26" t="str">
        <f>_xlfn.XLOOKUP(CRUCE[[#This Row],[Ubicacion]],Registros[Ubicacion],Registros[UMA], "")</f>
        <v/>
      </c>
      <c r="K273" s="26" t="str">
        <f>IF(CRUCE[[#This Row],[TOTAL]]="","",CRUCE[[#This Row],[TOTAL]]-CRUCE[[#This Row],[BULTOS]])</f>
        <v/>
      </c>
      <c r="L273" s="39" t="str">
        <f>IF(CRUCE[[#This Row],[TOTAL]]="", "PENDIENTE", IF(CRUCE[[#This Row],[Diferencia]]=0, "CUADRADO", IF(CRUCE[[#This Row],[Diferencia]]&gt;0, "SOBRANTE", "FALTANTE")))</f>
        <v>PENDIENTE</v>
      </c>
      <c r="M273" s="72" t="str">
        <f>IF(CRUCE[[#This Row],[Diferencia]]="","",IF(CRUCE[[#This Row],[Diferencia]]=0,"OK","RECONTEO"))</f>
        <v/>
      </c>
      <c r="N273" s="39" t="str">
        <f>_xlfn.XLOOKUP(CRUCE[[#This Row],[Ubicacion]],Registros[Ubicacion],Registros[Codigo], "")</f>
        <v/>
      </c>
      <c r="O273" s="26"/>
      <c r="P273" s="26"/>
      <c r="Q273" s="39" t="str">
        <f>IF(CRUCE[[#This Row],[TOTAL2]]="", "PENDIENTE", IF(CRUCE[[#This Row],[DIFERENCIA2]]=0, "CUADRADO", IF(CRUCE[[#This Row],[DIFERENCIA2]]&gt;0, "SOBRANTE", "FALTANTE")))</f>
        <v>PENDIENTE</v>
      </c>
      <c r="R273" s="102" t="s">
        <v>5081</v>
      </c>
      <c r="S273" s="127" t="s">
        <v>5356</v>
      </c>
    </row>
    <row r="274" spans="1:19">
      <c r="A274" s="93" t="s">
        <v>5327</v>
      </c>
      <c r="B274" s="38" t="s">
        <v>3508</v>
      </c>
      <c r="C274" s="38">
        <v>8315012</v>
      </c>
      <c r="D274" s="74">
        <v>17751851004746</v>
      </c>
      <c r="E274" s="38" t="s">
        <v>787</v>
      </c>
      <c r="F274" s="38">
        <v>51</v>
      </c>
      <c r="G274" s="38" t="s">
        <v>9</v>
      </c>
      <c r="H274" s="39" t="str">
        <f>_xlfn.XLOOKUP(CRUCE[[#This Row],[Ubicacion]],Registros[Ubicacion],Registros[Codigo], "")</f>
        <v/>
      </c>
      <c r="I274" s="25" t="str">
        <f>_xlfn.XLOOKUP(CRUCE[[#This Row],[Ubicacion]],Registros[Ubicacion],Registros[Total], "")</f>
        <v/>
      </c>
      <c r="J274" s="25" t="str">
        <f>_xlfn.XLOOKUP(CRUCE[[#This Row],[Ubicacion]],Registros[Ubicacion],Registros[UMA], "")</f>
        <v/>
      </c>
      <c r="K274" s="25" t="str">
        <f>IF(CRUCE[[#This Row],[TOTAL]]="","",CRUCE[[#This Row],[TOTAL]]-CRUCE[[#This Row],[BULTOS]])</f>
        <v/>
      </c>
      <c r="L274" s="38" t="str">
        <f>IF(CRUCE[[#This Row],[TOTAL]]="", "PENDIENTE", IF(CRUCE[[#This Row],[Diferencia]]=0, "CUADRADO", IF(CRUCE[[#This Row],[Diferencia]]&gt;0, "SOBRANTE", "FALTANTE")))</f>
        <v>PENDIENTE</v>
      </c>
      <c r="M274" s="71" t="str">
        <f>IF(CRUCE[[#This Row],[Diferencia]]="","",IF(CRUCE[[#This Row],[Diferencia]]=0,"OK","RECONTEO"))</f>
        <v/>
      </c>
      <c r="N274" s="39" t="str">
        <f>_xlfn.XLOOKUP(CRUCE[[#This Row],[Ubicacion]],Registros[Ubicacion],Registros[Codigo], "")</f>
        <v/>
      </c>
      <c r="O274" s="25"/>
      <c r="P274" s="25"/>
      <c r="Q274" s="39" t="str">
        <f>IF(CRUCE[[#This Row],[TOTAL2]]="", "PENDIENTE", IF(CRUCE[[#This Row],[DIFERENCIA2]]=0, "CUADRADO", IF(CRUCE[[#This Row],[DIFERENCIA2]]&gt;0, "SOBRANTE", "FALTANTE")))</f>
        <v>PENDIENTE</v>
      </c>
      <c r="R274" s="103" t="s">
        <v>5081</v>
      </c>
      <c r="S274" s="127" t="s">
        <v>5357</v>
      </c>
    </row>
    <row r="275" spans="1:19">
      <c r="A275" s="92" t="s">
        <v>5327</v>
      </c>
      <c r="B275" s="39" t="s">
        <v>3626</v>
      </c>
      <c r="C275" s="39">
        <v>8317028</v>
      </c>
      <c r="D275" s="73">
        <v>17751851012222</v>
      </c>
      <c r="E275" s="39" t="s">
        <v>991</v>
      </c>
      <c r="F275" s="39">
        <v>18</v>
      </c>
      <c r="G275" s="39" t="s">
        <v>9</v>
      </c>
      <c r="H275" s="39" t="str">
        <f>_xlfn.XLOOKUP(CRUCE[[#This Row],[Ubicacion]],Registros[Ubicacion],Registros[Codigo], "")</f>
        <v/>
      </c>
      <c r="I275" s="26" t="str">
        <f>_xlfn.XLOOKUP(CRUCE[[#This Row],[Ubicacion]],Registros[Ubicacion],Registros[Total], "")</f>
        <v/>
      </c>
      <c r="J275" s="26" t="str">
        <f>_xlfn.XLOOKUP(CRUCE[[#This Row],[Ubicacion]],Registros[Ubicacion],Registros[UMA], "")</f>
        <v/>
      </c>
      <c r="K275" s="26" t="str">
        <f>IF(CRUCE[[#This Row],[TOTAL]]="","",CRUCE[[#This Row],[TOTAL]]-CRUCE[[#This Row],[BULTOS]])</f>
        <v/>
      </c>
      <c r="L275" s="39" t="str">
        <f>IF(CRUCE[[#This Row],[TOTAL]]="", "PENDIENTE", IF(CRUCE[[#This Row],[Diferencia]]=0, "CUADRADO", IF(CRUCE[[#This Row],[Diferencia]]&gt;0, "SOBRANTE", "FALTANTE")))</f>
        <v>PENDIENTE</v>
      </c>
      <c r="M275" s="72" t="str">
        <f>IF(CRUCE[[#This Row],[Diferencia]]="","",IF(CRUCE[[#This Row],[Diferencia]]=0,"OK","RECONTEO"))</f>
        <v/>
      </c>
      <c r="N275" s="39" t="str">
        <f>_xlfn.XLOOKUP(CRUCE[[#This Row],[Ubicacion]],Registros[Ubicacion],Registros[Codigo], "")</f>
        <v/>
      </c>
      <c r="O275" s="26"/>
      <c r="P275" s="26"/>
      <c r="Q275" s="39" t="str">
        <f>IF(CRUCE[[#This Row],[TOTAL2]]="", "PENDIENTE", IF(CRUCE[[#This Row],[DIFERENCIA2]]=0, "CUADRADO", IF(CRUCE[[#This Row],[DIFERENCIA2]]&gt;0, "SOBRANTE", "FALTANTE")))</f>
        <v>PENDIENTE</v>
      </c>
      <c r="R275" s="102" t="s">
        <v>5081</v>
      </c>
      <c r="S275" s="127" t="s">
        <v>5358</v>
      </c>
    </row>
    <row r="276" spans="1:19">
      <c r="A276" s="93" t="s">
        <v>5327</v>
      </c>
      <c r="B276" s="38" t="s">
        <v>3615</v>
      </c>
      <c r="C276" s="38">
        <v>8317019</v>
      </c>
      <c r="D276" s="74">
        <v>17751851000793</v>
      </c>
      <c r="E276" s="38" t="s">
        <v>975</v>
      </c>
      <c r="F276" s="38">
        <v>60</v>
      </c>
      <c r="G276" s="38" t="s">
        <v>9</v>
      </c>
      <c r="H276" s="39" t="str">
        <f>_xlfn.XLOOKUP(CRUCE[[#This Row],[Ubicacion]],Registros[Ubicacion],Registros[Codigo], "")</f>
        <v/>
      </c>
      <c r="I276" s="25" t="str">
        <f>_xlfn.XLOOKUP(CRUCE[[#This Row],[Ubicacion]],Registros[Ubicacion],Registros[Total], "")</f>
        <v/>
      </c>
      <c r="J276" s="25" t="str">
        <f>_xlfn.XLOOKUP(CRUCE[[#This Row],[Ubicacion]],Registros[Ubicacion],Registros[UMA], "")</f>
        <v/>
      </c>
      <c r="K276" s="25" t="str">
        <f>IF(CRUCE[[#This Row],[TOTAL]]="","",CRUCE[[#This Row],[TOTAL]]-CRUCE[[#This Row],[BULTOS]])</f>
        <v/>
      </c>
      <c r="L276" s="38" t="str">
        <f>IF(CRUCE[[#This Row],[TOTAL]]="", "PENDIENTE", IF(CRUCE[[#This Row],[Diferencia]]=0, "CUADRADO", IF(CRUCE[[#This Row],[Diferencia]]&gt;0, "SOBRANTE", "FALTANTE")))</f>
        <v>PENDIENTE</v>
      </c>
      <c r="M276" s="71" t="str">
        <f>IF(CRUCE[[#This Row],[Diferencia]]="","",IF(CRUCE[[#This Row],[Diferencia]]=0,"OK","RECONTEO"))</f>
        <v/>
      </c>
      <c r="N276" s="39" t="str">
        <f>_xlfn.XLOOKUP(CRUCE[[#This Row],[Ubicacion]],Registros[Ubicacion],Registros[Codigo], "")</f>
        <v/>
      </c>
      <c r="O276" s="25"/>
      <c r="P276" s="25"/>
      <c r="Q276" s="39" t="str">
        <f>IF(CRUCE[[#This Row],[TOTAL2]]="", "PENDIENTE", IF(CRUCE[[#This Row],[DIFERENCIA2]]=0, "CUADRADO", IF(CRUCE[[#This Row],[DIFERENCIA2]]&gt;0, "SOBRANTE", "FALTANTE")))</f>
        <v>PENDIENTE</v>
      </c>
      <c r="R276" s="103" t="s">
        <v>5081</v>
      </c>
      <c r="S276" s="127" t="s">
        <v>5359</v>
      </c>
    </row>
    <row r="277" spans="1:19">
      <c r="A277" s="92" t="s">
        <v>5327</v>
      </c>
      <c r="B277" s="39" t="s">
        <v>3618</v>
      </c>
      <c r="C277" s="39">
        <v>8317019</v>
      </c>
      <c r="D277" s="73">
        <v>17751851000793</v>
      </c>
      <c r="E277" s="39" t="s">
        <v>975</v>
      </c>
      <c r="F277" s="39">
        <v>60</v>
      </c>
      <c r="G277" s="39" t="s">
        <v>9</v>
      </c>
      <c r="H277" s="39" t="str">
        <f>_xlfn.XLOOKUP(CRUCE[[#This Row],[Ubicacion]],Registros[Ubicacion],Registros[Codigo], "")</f>
        <v/>
      </c>
      <c r="I277" s="26" t="str">
        <f>_xlfn.XLOOKUP(CRUCE[[#This Row],[Ubicacion]],Registros[Ubicacion],Registros[Total], "")</f>
        <v/>
      </c>
      <c r="J277" s="26" t="str">
        <f>_xlfn.XLOOKUP(CRUCE[[#This Row],[Ubicacion]],Registros[Ubicacion],Registros[UMA], "")</f>
        <v/>
      </c>
      <c r="K277" s="26" t="str">
        <f>IF(CRUCE[[#This Row],[TOTAL]]="","",CRUCE[[#This Row],[TOTAL]]-CRUCE[[#This Row],[BULTOS]])</f>
        <v/>
      </c>
      <c r="L277" s="39" t="str">
        <f>IF(CRUCE[[#This Row],[TOTAL]]="", "PENDIENTE", IF(CRUCE[[#This Row],[Diferencia]]=0, "CUADRADO", IF(CRUCE[[#This Row],[Diferencia]]&gt;0, "SOBRANTE", "FALTANTE")))</f>
        <v>PENDIENTE</v>
      </c>
      <c r="M277" s="72" t="str">
        <f>IF(CRUCE[[#This Row],[Diferencia]]="","",IF(CRUCE[[#This Row],[Diferencia]]=0,"OK","RECONTEO"))</f>
        <v/>
      </c>
      <c r="N277" s="39" t="str">
        <f>_xlfn.XLOOKUP(CRUCE[[#This Row],[Ubicacion]],Registros[Ubicacion],Registros[Codigo], "")</f>
        <v/>
      </c>
      <c r="O277" s="26"/>
      <c r="P277" s="26"/>
      <c r="Q277" s="39" t="str">
        <f>IF(CRUCE[[#This Row],[TOTAL2]]="", "PENDIENTE", IF(CRUCE[[#This Row],[DIFERENCIA2]]=0, "CUADRADO", IF(CRUCE[[#This Row],[DIFERENCIA2]]&gt;0, "SOBRANTE", "FALTANTE")))</f>
        <v>PENDIENTE</v>
      </c>
      <c r="R277" s="102" t="s">
        <v>5081</v>
      </c>
      <c r="S277" s="127" t="s">
        <v>5360</v>
      </c>
    </row>
    <row r="278" spans="1:19">
      <c r="A278" s="93" t="s">
        <v>5327</v>
      </c>
      <c r="B278" s="38" t="s">
        <v>3593</v>
      </c>
      <c r="C278" s="38">
        <v>8316035</v>
      </c>
      <c r="D278" s="74">
        <v>27751851113605</v>
      </c>
      <c r="E278" s="38" t="s">
        <v>923</v>
      </c>
      <c r="F278" s="38">
        <v>34</v>
      </c>
      <c r="G278" s="38" t="s">
        <v>9</v>
      </c>
      <c r="H278" s="39" t="str">
        <f>_xlfn.XLOOKUP(CRUCE[[#This Row],[Ubicacion]],Registros[Ubicacion],Registros[Codigo], "")</f>
        <v/>
      </c>
      <c r="I278" s="25" t="str">
        <f>_xlfn.XLOOKUP(CRUCE[[#This Row],[Ubicacion]],Registros[Ubicacion],Registros[Total], "")</f>
        <v/>
      </c>
      <c r="J278" s="25" t="str">
        <f>_xlfn.XLOOKUP(CRUCE[[#This Row],[Ubicacion]],Registros[Ubicacion],Registros[UMA], "")</f>
        <v/>
      </c>
      <c r="K278" s="25" t="str">
        <f>IF(CRUCE[[#This Row],[TOTAL]]="","",CRUCE[[#This Row],[TOTAL]]-CRUCE[[#This Row],[BULTOS]])</f>
        <v/>
      </c>
      <c r="L278" s="38" t="str">
        <f>IF(CRUCE[[#This Row],[TOTAL]]="", "PENDIENTE", IF(CRUCE[[#This Row],[Diferencia]]=0, "CUADRADO", IF(CRUCE[[#This Row],[Diferencia]]&gt;0, "SOBRANTE", "FALTANTE")))</f>
        <v>PENDIENTE</v>
      </c>
      <c r="M278" s="71" t="str">
        <f>IF(CRUCE[[#This Row],[Diferencia]]="","",IF(CRUCE[[#This Row],[Diferencia]]=0,"OK","RECONTEO"))</f>
        <v/>
      </c>
      <c r="N278" s="39" t="str">
        <f>_xlfn.XLOOKUP(CRUCE[[#This Row],[Ubicacion]],Registros[Ubicacion],Registros[Codigo], "")</f>
        <v/>
      </c>
      <c r="O278" s="25"/>
      <c r="P278" s="25"/>
      <c r="Q278" s="39" t="str">
        <f>IF(CRUCE[[#This Row],[TOTAL2]]="", "PENDIENTE", IF(CRUCE[[#This Row],[DIFERENCIA2]]=0, "CUADRADO", IF(CRUCE[[#This Row],[DIFERENCIA2]]&gt;0, "SOBRANTE", "FALTANTE")))</f>
        <v>PENDIENTE</v>
      </c>
      <c r="R278" s="103" t="s">
        <v>5081</v>
      </c>
      <c r="S278" s="127" t="s">
        <v>5361</v>
      </c>
    </row>
    <row r="279" spans="1:19">
      <c r="A279" s="92" t="s">
        <v>5327</v>
      </c>
      <c r="B279" s="39" t="s">
        <v>3607</v>
      </c>
      <c r="C279" s="39">
        <v>8317002</v>
      </c>
      <c r="D279" s="73">
        <v>17751851000755</v>
      </c>
      <c r="E279" s="39" t="s">
        <v>953</v>
      </c>
      <c r="F279" s="39">
        <v>60</v>
      </c>
      <c r="G279" s="39" t="s">
        <v>9</v>
      </c>
      <c r="H279" s="39" t="str">
        <f>_xlfn.XLOOKUP(CRUCE[[#This Row],[Ubicacion]],Registros[Ubicacion],Registros[Codigo], "")</f>
        <v/>
      </c>
      <c r="I279" s="26" t="str">
        <f>_xlfn.XLOOKUP(CRUCE[[#This Row],[Ubicacion]],Registros[Ubicacion],Registros[Total], "")</f>
        <v/>
      </c>
      <c r="J279" s="26" t="str">
        <f>_xlfn.XLOOKUP(CRUCE[[#This Row],[Ubicacion]],Registros[Ubicacion],Registros[UMA], "")</f>
        <v/>
      </c>
      <c r="K279" s="26" t="str">
        <f>IF(CRUCE[[#This Row],[TOTAL]]="","",CRUCE[[#This Row],[TOTAL]]-CRUCE[[#This Row],[BULTOS]])</f>
        <v/>
      </c>
      <c r="L279" s="39" t="str">
        <f>IF(CRUCE[[#This Row],[TOTAL]]="", "PENDIENTE", IF(CRUCE[[#This Row],[Diferencia]]=0, "CUADRADO", IF(CRUCE[[#This Row],[Diferencia]]&gt;0, "SOBRANTE", "FALTANTE")))</f>
        <v>PENDIENTE</v>
      </c>
      <c r="M279" s="72" t="str">
        <f>IF(CRUCE[[#This Row],[Diferencia]]="","",IF(CRUCE[[#This Row],[Diferencia]]=0,"OK","RECONTEO"))</f>
        <v/>
      </c>
      <c r="N279" s="39" t="str">
        <f>_xlfn.XLOOKUP(CRUCE[[#This Row],[Ubicacion]],Registros[Ubicacion],Registros[Codigo], "")</f>
        <v/>
      </c>
      <c r="O279" s="26"/>
      <c r="P279" s="26"/>
      <c r="Q279" s="39" t="str">
        <f>IF(CRUCE[[#This Row],[TOTAL2]]="", "PENDIENTE", IF(CRUCE[[#This Row],[DIFERENCIA2]]=0, "CUADRADO", IF(CRUCE[[#This Row],[DIFERENCIA2]]&gt;0, "SOBRANTE", "FALTANTE")))</f>
        <v>PENDIENTE</v>
      </c>
      <c r="R279" s="102" t="s">
        <v>5081</v>
      </c>
      <c r="S279" s="127" t="s">
        <v>5362</v>
      </c>
    </row>
    <row r="280" spans="1:19">
      <c r="A280" s="93" t="s">
        <v>5327</v>
      </c>
      <c r="B280" s="38" t="s">
        <v>3620</v>
      </c>
      <c r="C280" s="38">
        <v>8317021</v>
      </c>
      <c r="D280" s="74">
        <v>17751851000816</v>
      </c>
      <c r="E280" s="38" t="s">
        <v>979</v>
      </c>
      <c r="F280" s="38">
        <v>48</v>
      </c>
      <c r="G280" s="38" t="s">
        <v>9</v>
      </c>
      <c r="H280" s="39" t="str">
        <f>_xlfn.XLOOKUP(CRUCE[[#This Row],[Ubicacion]],Registros[Ubicacion],Registros[Codigo], "")</f>
        <v/>
      </c>
      <c r="I280" s="25" t="str">
        <f>_xlfn.XLOOKUP(CRUCE[[#This Row],[Ubicacion]],Registros[Ubicacion],Registros[Total], "")</f>
        <v/>
      </c>
      <c r="J280" s="25" t="str">
        <f>_xlfn.XLOOKUP(CRUCE[[#This Row],[Ubicacion]],Registros[Ubicacion],Registros[UMA], "")</f>
        <v/>
      </c>
      <c r="K280" s="25" t="str">
        <f>IF(CRUCE[[#This Row],[TOTAL]]="","",CRUCE[[#This Row],[TOTAL]]-CRUCE[[#This Row],[BULTOS]])</f>
        <v/>
      </c>
      <c r="L280" s="38" t="str">
        <f>IF(CRUCE[[#This Row],[TOTAL]]="", "PENDIENTE", IF(CRUCE[[#This Row],[Diferencia]]=0, "CUADRADO", IF(CRUCE[[#This Row],[Diferencia]]&gt;0, "SOBRANTE", "FALTANTE")))</f>
        <v>PENDIENTE</v>
      </c>
      <c r="M280" s="71" t="str">
        <f>IF(CRUCE[[#This Row],[Diferencia]]="","",IF(CRUCE[[#This Row],[Diferencia]]=0,"OK","RECONTEO"))</f>
        <v/>
      </c>
      <c r="N280" s="39" t="str">
        <f>_xlfn.XLOOKUP(CRUCE[[#This Row],[Ubicacion]],Registros[Ubicacion],Registros[Codigo], "")</f>
        <v/>
      </c>
      <c r="O280" s="25"/>
      <c r="P280" s="25"/>
      <c r="Q280" s="39" t="str">
        <f>IF(CRUCE[[#This Row],[TOTAL2]]="", "PENDIENTE", IF(CRUCE[[#This Row],[DIFERENCIA2]]=0, "CUADRADO", IF(CRUCE[[#This Row],[DIFERENCIA2]]&gt;0, "SOBRANTE", "FALTANTE")))</f>
        <v>PENDIENTE</v>
      </c>
      <c r="R280" s="103" t="s">
        <v>5081</v>
      </c>
      <c r="S280" s="127" t="s">
        <v>5363</v>
      </c>
    </row>
    <row r="281" spans="1:19">
      <c r="A281" s="92" t="s">
        <v>5327</v>
      </c>
      <c r="B281" s="39" t="s">
        <v>3622</v>
      </c>
      <c r="C281" s="39">
        <v>8317021</v>
      </c>
      <c r="D281" s="73">
        <v>17751851000816</v>
      </c>
      <c r="E281" s="39" t="s">
        <v>979</v>
      </c>
      <c r="F281" s="39">
        <v>48</v>
      </c>
      <c r="G281" s="39" t="s">
        <v>9</v>
      </c>
      <c r="H281" s="39" t="str">
        <f>_xlfn.XLOOKUP(CRUCE[[#This Row],[Ubicacion]],Registros[Ubicacion],Registros[Codigo], "")</f>
        <v/>
      </c>
      <c r="I281" s="26" t="str">
        <f>_xlfn.XLOOKUP(CRUCE[[#This Row],[Ubicacion]],Registros[Ubicacion],Registros[Total], "")</f>
        <v/>
      </c>
      <c r="J281" s="26" t="str">
        <f>_xlfn.XLOOKUP(CRUCE[[#This Row],[Ubicacion]],Registros[Ubicacion],Registros[UMA], "")</f>
        <v/>
      </c>
      <c r="K281" s="26" t="str">
        <f>IF(CRUCE[[#This Row],[TOTAL]]="","",CRUCE[[#This Row],[TOTAL]]-CRUCE[[#This Row],[BULTOS]])</f>
        <v/>
      </c>
      <c r="L281" s="39" t="str">
        <f>IF(CRUCE[[#This Row],[TOTAL]]="", "PENDIENTE", IF(CRUCE[[#This Row],[Diferencia]]=0, "CUADRADO", IF(CRUCE[[#This Row],[Diferencia]]&gt;0, "SOBRANTE", "FALTANTE")))</f>
        <v>PENDIENTE</v>
      </c>
      <c r="M281" s="72" t="str">
        <f>IF(CRUCE[[#This Row],[Diferencia]]="","",IF(CRUCE[[#This Row],[Diferencia]]=0,"OK","RECONTEO"))</f>
        <v/>
      </c>
      <c r="N281" s="39" t="str">
        <f>_xlfn.XLOOKUP(CRUCE[[#This Row],[Ubicacion]],Registros[Ubicacion],Registros[Codigo], "")</f>
        <v/>
      </c>
      <c r="O281" s="26"/>
      <c r="P281" s="26"/>
      <c r="Q281" s="39" t="str">
        <f>IF(CRUCE[[#This Row],[TOTAL2]]="", "PENDIENTE", IF(CRUCE[[#This Row],[DIFERENCIA2]]=0, "CUADRADO", IF(CRUCE[[#This Row],[DIFERENCIA2]]&gt;0, "SOBRANTE", "FALTANTE")))</f>
        <v>PENDIENTE</v>
      </c>
      <c r="R281" s="102" t="s">
        <v>5081</v>
      </c>
      <c r="S281" s="127" t="s">
        <v>5364</v>
      </c>
    </row>
    <row r="282" spans="1:19">
      <c r="A282" s="93" t="s">
        <v>5327</v>
      </c>
      <c r="B282" s="38" t="s">
        <v>3611</v>
      </c>
      <c r="C282" s="38">
        <v>8317016</v>
      </c>
      <c r="D282" s="74">
        <v>17751851011089</v>
      </c>
      <c r="E282" s="38" t="s">
        <v>969</v>
      </c>
      <c r="F282" s="38">
        <v>60</v>
      </c>
      <c r="G282" s="38" t="s">
        <v>9</v>
      </c>
      <c r="H282" s="39" t="str">
        <f>_xlfn.XLOOKUP(CRUCE[[#This Row],[Ubicacion]],Registros[Ubicacion],Registros[Codigo], "")</f>
        <v/>
      </c>
      <c r="I282" s="25" t="str">
        <f>_xlfn.XLOOKUP(CRUCE[[#This Row],[Ubicacion]],Registros[Ubicacion],Registros[Total], "")</f>
        <v/>
      </c>
      <c r="J282" s="25" t="str">
        <f>_xlfn.XLOOKUP(CRUCE[[#This Row],[Ubicacion]],Registros[Ubicacion],Registros[UMA], "")</f>
        <v/>
      </c>
      <c r="K282" s="25" t="str">
        <f>IF(CRUCE[[#This Row],[TOTAL]]="","",CRUCE[[#This Row],[TOTAL]]-CRUCE[[#This Row],[BULTOS]])</f>
        <v/>
      </c>
      <c r="L282" s="38" t="str">
        <f>IF(CRUCE[[#This Row],[TOTAL]]="", "PENDIENTE", IF(CRUCE[[#This Row],[Diferencia]]=0, "CUADRADO", IF(CRUCE[[#This Row],[Diferencia]]&gt;0, "SOBRANTE", "FALTANTE")))</f>
        <v>PENDIENTE</v>
      </c>
      <c r="M282" s="71" t="str">
        <f>IF(CRUCE[[#This Row],[Diferencia]]="","",IF(CRUCE[[#This Row],[Diferencia]]=0,"OK","RECONTEO"))</f>
        <v/>
      </c>
      <c r="N282" s="39" t="str">
        <f>_xlfn.XLOOKUP(CRUCE[[#This Row],[Ubicacion]],Registros[Ubicacion],Registros[Codigo], "")</f>
        <v/>
      </c>
      <c r="O282" s="25"/>
      <c r="P282" s="25"/>
      <c r="Q282" s="39" t="str">
        <f>IF(CRUCE[[#This Row],[TOTAL2]]="", "PENDIENTE", IF(CRUCE[[#This Row],[DIFERENCIA2]]=0, "CUADRADO", IF(CRUCE[[#This Row],[DIFERENCIA2]]&gt;0, "SOBRANTE", "FALTANTE")))</f>
        <v>PENDIENTE</v>
      </c>
      <c r="R282" s="103" t="s">
        <v>5081</v>
      </c>
      <c r="S282" s="127" t="s">
        <v>5365</v>
      </c>
    </row>
    <row r="283" spans="1:19">
      <c r="A283" s="92" t="s">
        <v>5327</v>
      </c>
      <c r="B283" s="39" t="s">
        <v>3575</v>
      </c>
      <c r="C283" s="39">
        <v>8316012</v>
      </c>
      <c r="D283" s="73">
        <v>17751851015957</v>
      </c>
      <c r="E283" s="39" t="s">
        <v>891</v>
      </c>
      <c r="F283" s="39">
        <v>8</v>
      </c>
      <c r="G283" s="39" t="s">
        <v>9</v>
      </c>
      <c r="H283" s="39" t="str">
        <f>_xlfn.XLOOKUP(CRUCE[[#This Row],[Ubicacion]],Registros[Ubicacion],Registros[Codigo], "")</f>
        <v/>
      </c>
      <c r="I283" s="26" t="str">
        <f>_xlfn.XLOOKUP(CRUCE[[#This Row],[Ubicacion]],Registros[Ubicacion],Registros[Total], "")</f>
        <v/>
      </c>
      <c r="J283" s="26" t="str">
        <f>_xlfn.XLOOKUP(CRUCE[[#This Row],[Ubicacion]],Registros[Ubicacion],Registros[UMA], "")</f>
        <v/>
      </c>
      <c r="K283" s="26" t="str">
        <f>IF(CRUCE[[#This Row],[TOTAL]]="","",CRUCE[[#This Row],[TOTAL]]-CRUCE[[#This Row],[BULTOS]])</f>
        <v/>
      </c>
      <c r="L283" s="39" t="str">
        <f>IF(CRUCE[[#This Row],[TOTAL]]="", "PENDIENTE", IF(CRUCE[[#This Row],[Diferencia]]=0, "CUADRADO", IF(CRUCE[[#This Row],[Diferencia]]&gt;0, "SOBRANTE", "FALTANTE")))</f>
        <v>PENDIENTE</v>
      </c>
      <c r="M283" s="72" t="str">
        <f>IF(CRUCE[[#This Row],[Diferencia]]="","",IF(CRUCE[[#This Row],[Diferencia]]=0,"OK","RECONTEO"))</f>
        <v/>
      </c>
      <c r="N283" s="39" t="str">
        <f>_xlfn.XLOOKUP(CRUCE[[#This Row],[Ubicacion]],Registros[Ubicacion],Registros[Codigo], "")</f>
        <v/>
      </c>
      <c r="O283" s="26"/>
      <c r="P283" s="26"/>
      <c r="Q283" s="39" t="str">
        <f>IF(CRUCE[[#This Row],[TOTAL2]]="", "PENDIENTE", IF(CRUCE[[#This Row],[DIFERENCIA2]]=0, "CUADRADO", IF(CRUCE[[#This Row],[DIFERENCIA2]]&gt;0, "SOBRANTE", "FALTANTE")))</f>
        <v>PENDIENTE</v>
      </c>
      <c r="R283" s="102" t="s">
        <v>5081</v>
      </c>
      <c r="S283" s="127" t="s">
        <v>5366</v>
      </c>
    </row>
    <row r="284" spans="1:19">
      <c r="A284" s="93" t="s">
        <v>5327</v>
      </c>
      <c r="B284" s="38" t="s">
        <v>3573</v>
      </c>
      <c r="C284" s="38">
        <v>8316003</v>
      </c>
      <c r="D284" s="74">
        <v>17751851015964</v>
      </c>
      <c r="E284" s="38" t="s">
        <v>885</v>
      </c>
      <c r="F284" s="38">
        <v>22</v>
      </c>
      <c r="G284" s="38" t="s">
        <v>9</v>
      </c>
      <c r="H284" s="39" t="str">
        <f>_xlfn.XLOOKUP(CRUCE[[#This Row],[Ubicacion]],Registros[Ubicacion],Registros[Codigo], "")</f>
        <v/>
      </c>
      <c r="I284" s="25" t="str">
        <f>_xlfn.XLOOKUP(CRUCE[[#This Row],[Ubicacion]],Registros[Ubicacion],Registros[Total], "")</f>
        <v/>
      </c>
      <c r="J284" s="25" t="str">
        <f>_xlfn.XLOOKUP(CRUCE[[#This Row],[Ubicacion]],Registros[Ubicacion],Registros[UMA], "")</f>
        <v/>
      </c>
      <c r="K284" s="25" t="str">
        <f>IF(CRUCE[[#This Row],[TOTAL]]="","",CRUCE[[#This Row],[TOTAL]]-CRUCE[[#This Row],[BULTOS]])</f>
        <v/>
      </c>
      <c r="L284" s="38" t="str">
        <f>IF(CRUCE[[#This Row],[TOTAL]]="", "PENDIENTE", IF(CRUCE[[#This Row],[Diferencia]]=0, "CUADRADO", IF(CRUCE[[#This Row],[Diferencia]]&gt;0, "SOBRANTE", "FALTANTE")))</f>
        <v>PENDIENTE</v>
      </c>
      <c r="M284" s="71" t="str">
        <f>IF(CRUCE[[#This Row],[Diferencia]]="","",IF(CRUCE[[#This Row],[Diferencia]]=0,"OK","RECONTEO"))</f>
        <v/>
      </c>
      <c r="N284" s="39" t="str">
        <f>_xlfn.XLOOKUP(CRUCE[[#This Row],[Ubicacion]],Registros[Ubicacion],Registros[Codigo], "")</f>
        <v/>
      </c>
      <c r="O284" s="25"/>
      <c r="P284" s="25"/>
      <c r="Q284" s="39" t="str">
        <f>IF(CRUCE[[#This Row],[TOTAL2]]="", "PENDIENTE", IF(CRUCE[[#This Row],[DIFERENCIA2]]=0, "CUADRADO", IF(CRUCE[[#This Row],[DIFERENCIA2]]&gt;0, "SOBRANTE", "FALTANTE")))</f>
        <v>PENDIENTE</v>
      </c>
      <c r="R284" s="103" t="s">
        <v>5081</v>
      </c>
      <c r="S284" s="127" t="s">
        <v>5367</v>
      </c>
    </row>
    <row r="285" spans="1:19">
      <c r="A285" s="92" t="s">
        <v>5327</v>
      </c>
      <c r="B285" s="39" t="s">
        <v>3609</v>
      </c>
      <c r="C285" s="39">
        <v>8317014</v>
      </c>
      <c r="D285" s="73">
        <v>17751851000748</v>
      </c>
      <c r="E285" s="39" t="s">
        <v>967</v>
      </c>
      <c r="F285" s="39">
        <v>1</v>
      </c>
      <c r="G285" s="39" t="s">
        <v>9</v>
      </c>
      <c r="H285" s="39" t="str">
        <f>_xlfn.XLOOKUP(CRUCE[[#This Row],[Ubicacion]],Registros[Ubicacion],Registros[Codigo], "")</f>
        <v/>
      </c>
      <c r="I285" s="26" t="str">
        <f>_xlfn.XLOOKUP(CRUCE[[#This Row],[Ubicacion]],Registros[Ubicacion],Registros[Total], "")</f>
        <v/>
      </c>
      <c r="J285" s="26" t="str">
        <f>_xlfn.XLOOKUP(CRUCE[[#This Row],[Ubicacion]],Registros[Ubicacion],Registros[UMA], "")</f>
        <v/>
      </c>
      <c r="K285" s="26" t="str">
        <f>IF(CRUCE[[#This Row],[TOTAL]]="","",CRUCE[[#This Row],[TOTAL]]-CRUCE[[#This Row],[BULTOS]])</f>
        <v/>
      </c>
      <c r="L285" s="39" t="str">
        <f>IF(CRUCE[[#This Row],[TOTAL]]="", "PENDIENTE", IF(CRUCE[[#This Row],[Diferencia]]=0, "CUADRADO", IF(CRUCE[[#This Row],[Diferencia]]&gt;0, "SOBRANTE", "FALTANTE")))</f>
        <v>PENDIENTE</v>
      </c>
      <c r="M285" s="72" t="str">
        <f>IF(CRUCE[[#This Row],[Diferencia]]="","",IF(CRUCE[[#This Row],[Diferencia]]=0,"OK","RECONTEO"))</f>
        <v/>
      </c>
      <c r="N285" s="39" t="str">
        <f>_xlfn.XLOOKUP(CRUCE[[#This Row],[Ubicacion]],Registros[Ubicacion],Registros[Codigo], "")</f>
        <v/>
      </c>
      <c r="O285" s="26"/>
      <c r="P285" s="26"/>
      <c r="Q285" s="39" t="str">
        <f>IF(CRUCE[[#This Row],[TOTAL2]]="", "PENDIENTE", IF(CRUCE[[#This Row],[DIFERENCIA2]]=0, "CUADRADO", IF(CRUCE[[#This Row],[DIFERENCIA2]]&gt;0, "SOBRANTE", "FALTANTE")))</f>
        <v>PENDIENTE</v>
      </c>
      <c r="R285" s="102" t="s">
        <v>5081</v>
      </c>
      <c r="S285" s="127" t="s">
        <v>5368</v>
      </c>
    </row>
    <row r="286" spans="1:19">
      <c r="A286" s="93" t="s">
        <v>5327</v>
      </c>
      <c r="B286" s="38" t="s">
        <v>3613</v>
      </c>
      <c r="C286" s="38">
        <v>8317018</v>
      </c>
      <c r="D286" s="74">
        <v>17751851000762</v>
      </c>
      <c r="E286" s="38" t="s">
        <v>973</v>
      </c>
      <c r="F286" s="38">
        <v>56</v>
      </c>
      <c r="G286" s="38" t="s">
        <v>9</v>
      </c>
      <c r="H286" s="39" t="str">
        <f>_xlfn.XLOOKUP(CRUCE[[#This Row],[Ubicacion]],Registros[Ubicacion],Registros[Codigo], "")</f>
        <v/>
      </c>
      <c r="I286" s="25" t="str">
        <f>_xlfn.XLOOKUP(CRUCE[[#This Row],[Ubicacion]],Registros[Ubicacion],Registros[Total], "")</f>
        <v/>
      </c>
      <c r="J286" s="25" t="str">
        <f>_xlfn.XLOOKUP(CRUCE[[#This Row],[Ubicacion]],Registros[Ubicacion],Registros[UMA], "")</f>
        <v/>
      </c>
      <c r="K286" s="25" t="str">
        <f>IF(CRUCE[[#This Row],[TOTAL]]="","",CRUCE[[#This Row],[TOTAL]]-CRUCE[[#This Row],[BULTOS]])</f>
        <v/>
      </c>
      <c r="L286" s="38" t="str">
        <f>IF(CRUCE[[#This Row],[TOTAL]]="", "PENDIENTE", IF(CRUCE[[#This Row],[Diferencia]]=0, "CUADRADO", IF(CRUCE[[#This Row],[Diferencia]]&gt;0, "SOBRANTE", "FALTANTE")))</f>
        <v>PENDIENTE</v>
      </c>
      <c r="M286" s="71" t="str">
        <f>IF(CRUCE[[#This Row],[Diferencia]]="","",IF(CRUCE[[#This Row],[Diferencia]]=0,"OK","RECONTEO"))</f>
        <v/>
      </c>
      <c r="N286" s="39" t="str">
        <f>_xlfn.XLOOKUP(CRUCE[[#This Row],[Ubicacion]],Registros[Ubicacion],Registros[Codigo], "")</f>
        <v/>
      </c>
      <c r="O286" s="25"/>
      <c r="P286" s="25"/>
      <c r="Q286" s="39" t="str">
        <f>IF(CRUCE[[#This Row],[TOTAL2]]="", "PENDIENTE", IF(CRUCE[[#This Row],[DIFERENCIA2]]=0, "CUADRADO", IF(CRUCE[[#This Row],[DIFERENCIA2]]&gt;0, "SOBRANTE", "FALTANTE")))</f>
        <v>PENDIENTE</v>
      </c>
      <c r="R286" s="103" t="s">
        <v>5081</v>
      </c>
      <c r="S286" s="127" t="s">
        <v>5369</v>
      </c>
    </row>
    <row r="287" spans="1:19">
      <c r="A287" s="92" t="s">
        <v>5327</v>
      </c>
      <c r="B287" s="39" t="s">
        <v>3487</v>
      </c>
      <c r="C287" s="39">
        <v>8312017</v>
      </c>
      <c r="D287" s="73">
        <v>17751851012956</v>
      </c>
      <c r="E287" s="39" t="s">
        <v>751</v>
      </c>
      <c r="F287" s="39">
        <v>4</v>
      </c>
      <c r="G287" s="39" t="s">
        <v>9</v>
      </c>
      <c r="H287" s="39" t="str">
        <f>_xlfn.XLOOKUP(CRUCE[[#This Row],[Ubicacion]],Registros[Ubicacion],Registros[Codigo], "")</f>
        <v/>
      </c>
      <c r="I287" s="26" t="str">
        <f>_xlfn.XLOOKUP(CRUCE[[#This Row],[Ubicacion]],Registros[Ubicacion],Registros[Total], "")</f>
        <v/>
      </c>
      <c r="J287" s="26" t="str">
        <f>_xlfn.XLOOKUP(CRUCE[[#This Row],[Ubicacion]],Registros[Ubicacion],Registros[UMA], "")</f>
        <v/>
      </c>
      <c r="K287" s="26" t="str">
        <f>IF(CRUCE[[#This Row],[TOTAL]]="","",CRUCE[[#This Row],[TOTAL]]-CRUCE[[#This Row],[BULTOS]])</f>
        <v/>
      </c>
      <c r="L287" s="39" t="str">
        <f>IF(CRUCE[[#This Row],[TOTAL]]="", "PENDIENTE", IF(CRUCE[[#This Row],[Diferencia]]=0, "CUADRADO", IF(CRUCE[[#This Row],[Diferencia]]&gt;0, "SOBRANTE", "FALTANTE")))</f>
        <v>PENDIENTE</v>
      </c>
      <c r="M287" s="72" t="str">
        <f>IF(CRUCE[[#This Row],[Diferencia]]="","",IF(CRUCE[[#This Row],[Diferencia]]=0,"OK","RECONTEO"))</f>
        <v/>
      </c>
      <c r="N287" s="39" t="str">
        <f>_xlfn.XLOOKUP(CRUCE[[#This Row],[Ubicacion]],Registros[Ubicacion],Registros[Codigo], "")</f>
        <v/>
      </c>
      <c r="O287" s="26"/>
      <c r="P287" s="26"/>
      <c r="Q287" s="39" t="str">
        <f>IF(CRUCE[[#This Row],[TOTAL2]]="", "PENDIENTE", IF(CRUCE[[#This Row],[DIFERENCIA2]]=0, "CUADRADO", IF(CRUCE[[#This Row],[DIFERENCIA2]]&gt;0, "SOBRANTE", "FALTANTE")))</f>
        <v>PENDIENTE</v>
      </c>
      <c r="R287" s="102" t="s">
        <v>5081</v>
      </c>
      <c r="S287" s="127" t="s">
        <v>5370</v>
      </c>
    </row>
    <row r="288" spans="1:19">
      <c r="A288" s="93" t="s">
        <v>5327</v>
      </c>
      <c r="B288" s="38" t="s">
        <v>3485</v>
      </c>
      <c r="C288" s="38">
        <v>8312016</v>
      </c>
      <c r="D288" s="74">
        <v>17751851013885</v>
      </c>
      <c r="E288" s="38" t="s">
        <v>749</v>
      </c>
      <c r="F288" s="38">
        <v>48</v>
      </c>
      <c r="G288" s="38" t="s">
        <v>9</v>
      </c>
      <c r="H288" s="39" t="str">
        <f>_xlfn.XLOOKUP(CRUCE[[#This Row],[Ubicacion]],Registros[Ubicacion],Registros[Codigo], "")</f>
        <v/>
      </c>
      <c r="I288" s="25" t="str">
        <f>_xlfn.XLOOKUP(CRUCE[[#This Row],[Ubicacion]],Registros[Ubicacion],Registros[Total], "")</f>
        <v/>
      </c>
      <c r="J288" s="25" t="str">
        <f>_xlfn.XLOOKUP(CRUCE[[#This Row],[Ubicacion]],Registros[Ubicacion],Registros[UMA], "")</f>
        <v/>
      </c>
      <c r="K288" s="25" t="str">
        <f>IF(CRUCE[[#This Row],[TOTAL]]="","",CRUCE[[#This Row],[TOTAL]]-CRUCE[[#This Row],[BULTOS]])</f>
        <v/>
      </c>
      <c r="L288" s="38" t="str">
        <f>IF(CRUCE[[#This Row],[TOTAL]]="", "PENDIENTE", IF(CRUCE[[#This Row],[Diferencia]]=0, "CUADRADO", IF(CRUCE[[#This Row],[Diferencia]]&gt;0, "SOBRANTE", "FALTANTE")))</f>
        <v>PENDIENTE</v>
      </c>
      <c r="M288" s="71" t="str">
        <f>IF(CRUCE[[#This Row],[Diferencia]]="","",IF(CRUCE[[#This Row],[Diferencia]]=0,"OK","RECONTEO"))</f>
        <v/>
      </c>
      <c r="N288" s="39" t="str">
        <f>_xlfn.XLOOKUP(CRUCE[[#This Row],[Ubicacion]],Registros[Ubicacion],Registros[Codigo], "")</f>
        <v/>
      </c>
      <c r="O288" s="25"/>
      <c r="P288" s="25"/>
      <c r="Q288" s="39" t="str">
        <f>IF(CRUCE[[#This Row],[TOTAL2]]="", "PENDIENTE", IF(CRUCE[[#This Row],[DIFERENCIA2]]=0, "CUADRADO", IF(CRUCE[[#This Row],[DIFERENCIA2]]&gt;0, "SOBRANTE", "FALTANTE")))</f>
        <v>PENDIENTE</v>
      </c>
      <c r="R288" s="103" t="s">
        <v>5081</v>
      </c>
      <c r="S288" s="127" t="s">
        <v>5371</v>
      </c>
    </row>
    <row r="289" spans="1:19">
      <c r="A289" s="92" t="s">
        <v>5327</v>
      </c>
      <c r="B289" s="39" t="s">
        <v>3642</v>
      </c>
      <c r="C289" s="39">
        <v>8317105</v>
      </c>
      <c r="D289" s="73">
        <v>17750243064474</v>
      </c>
      <c r="E289" s="39" t="s">
        <v>1027</v>
      </c>
      <c r="F289" s="39">
        <v>29</v>
      </c>
      <c r="G289" s="39" t="s">
        <v>9</v>
      </c>
      <c r="H289" s="39" t="str">
        <f>_xlfn.XLOOKUP(CRUCE[[#This Row],[Ubicacion]],Registros[Ubicacion],Registros[Codigo], "")</f>
        <v/>
      </c>
      <c r="I289" s="26" t="str">
        <f>_xlfn.XLOOKUP(CRUCE[[#This Row],[Ubicacion]],Registros[Ubicacion],Registros[Total], "")</f>
        <v/>
      </c>
      <c r="J289" s="26" t="str">
        <f>_xlfn.XLOOKUP(CRUCE[[#This Row],[Ubicacion]],Registros[Ubicacion],Registros[UMA], "")</f>
        <v/>
      </c>
      <c r="K289" s="26" t="str">
        <f>IF(CRUCE[[#This Row],[TOTAL]]="","",CRUCE[[#This Row],[TOTAL]]-CRUCE[[#This Row],[BULTOS]])</f>
        <v/>
      </c>
      <c r="L289" s="39" t="str">
        <f>IF(CRUCE[[#This Row],[TOTAL]]="", "PENDIENTE", IF(CRUCE[[#This Row],[Diferencia]]=0, "CUADRADO", IF(CRUCE[[#This Row],[Diferencia]]&gt;0, "SOBRANTE", "FALTANTE")))</f>
        <v>PENDIENTE</v>
      </c>
      <c r="M289" s="72" t="str">
        <f>IF(CRUCE[[#This Row],[Diferencia]]="","",IF(CRUCE[[#This Row],[Diferencia]]=0,"OK","RECONTEO"))</f>
        <v/>
      </c>
      <c r="N289" s="39" t="str">
        <f>_xlfn.XLOOKUP(CRUCE[[#This Row],[Ubicacion]],Registros[Ubicacion],Registros[Codigo], "")</f>
        <v/>
      </c>
      <c r="O289" s="26"/>
      <c r="P289" s="26"/>
      <c r="Q289" s="39" t="str">
        <f>IF(CRUCE[[#This Row],[TOTAL2]]="", "PENDIENTE", IF(CRUCE[[#This Row],[DIFERENCIA2]]=0, "CUADRADO", IF(CRUCE[[#This Row],[DIFERENCIA2]]&gt;0, "SOBRANTE", "FALTANTE")))</f>
        <v>PENDIENTE</v>
      </c>
      <c r="R289" s="102" t="s">
        <v>5081</v>
      </c>
      <c r="S289" s="127" t="s">
        <v>5372</v>
      </c>
    </row>
    <row r="290" spans="1:19">
      <c r="A290" s="93" t="s">
        <v>5327</v>
      </c>
      <c r="B290" s="38" t="s">
        <v>3571</v>
      </c>
      <c r="C290" s="38">
        <v>8315154</v>
      </c>
      <c r="D290" s="74">
        <v>27750243086725</v>
      </c>
      <c r="E290" s="38" t="s">
        <v>877</v>
      </c>
      <c r="F290" s="38">
        <v>22</v>
      </c>
      <c r="G290" s="38" t="s">
        <v>9</v>
      </c>
      <c r="H290" s="39" t="str">
        <f>_xlfn.XLOOKUP(CRUCE[[#This Row],[Ubicacion]],Registros[Ubicacion],Registros[Codigo], "")</f>
        <v/>
      </c>
      <c r="I290" s="25" t="str">
        <f>_xlfn.XLOOKUP(CRUCE[[#This Row],[Ubicacion]],Registros[Ubicacion],Registros[Total], "")</f>
        <v/>
      </c>
      <c r="J290" s="25" t="str">
        <f>_xlfn.XLOOKUP(CRUCE[[#This Row],[Ubicacion]],Registros[Ubicacion],Registros[UMA], "")</f>
        <v/>
      </c>
      <c r="K290" s="25" t="str">
        <f>IF(CRUCE[[#This Row],[TOTAL]]="","",CRUCE[[#This Row],[TOTAL]]-CRUCE[[#This Row],[BULTOS]])</f>
        <v/>
      </c>
      <c r="L290" s="38" t="str">
        <f>IF(CRUCE[[#This Row],[TOTAL]]="", "PENDIENTE", IF(CRUCE[[#This Row],[Diferencia]]=0, "CUADRADO", IF(CRUCE[[#This Row],[Diferencia]]&gt;0, "SOBRANTE", "FALTANTE")))</f>
        <v>PENDIENTE</v>
      </c>
      <c r="M290" s="71" t="str">
        <f>IF(CRUCE[[#This Row],[Diferencia]]="","",IF(CRUCE[[#This Row],[Diferencia]]=0,"OK","RECONTEO"))</f>
        <v/>
      </c>
      <c r="N290" s="39" t="str">
        <f>_xlfn.XLOOKUP(CRUCE[[#This Row],[Ubicacion]],Registros[Ubicacion],Registros[Codigo], "")</f>
        <v/>
      </c>
      <c r="O290" s="25"/>
      <c r="P290" s="25"/>
      <c r="Q290" s="39" t="str">
        <f>IF(CRUCE[[#This Row],[TOTAL2]]="", "PENDIENTE", IF(CRUCE[[#This Row],[DIFERENCIA2]]=0, "CUADRADO", IF(CRUCE[[#This Row],[DIFERENCIA2]]&gt;0, "SOBRANTE", "FALTANTE")))</f>
        <v>PENDIENTE</v>
      </c>
      <c r="R290" s="103" t="s">
        <v>5081</v>
      </c>
      <c r="S290" s="127" t="s">
        <v>5373</v>
      </c>
    </row>
    <row r="291" spans="1:19">
      <c r="A291" s="92" t="s">
        <v>5327</v>
      </c>
      <c r="B291" s="39" t="s">
        <v>3628</v>
      </c>
      <c r="C291" s="39">
        <v>8317029</v>
      </c>
      <c r="D291" s="73">
        <v>17751851012284</v>
      </c>
      <c r="E291" s="39" t="s">
        <v>993</v>
      </c>
      <c r="F291" s="39">
        <v>39</v>
      </c>
      <c r="G291" s="39" t="s">
        <v>9</v>
      </c>
      <c r="H291" s="39" t="str">
        <f>_xlfn.XLOOKUP(CRUCE[[#This Row],[Ubicacion]],Registros[Ubicacion],Registros[Codigo], "")</f>
        <v/>
      </c>
      <c r="I291" s="26" t="str">
        <f>_xlfn.XLOOKUP(CRUCE[[#This Row],[Ubicacion]],Registros[Ubicacion],Registros[Total], "")</f>
        <v/>
      </c>
      <c r="J291" s="26" t="str">
        <f>_xlfn.XLOOKUP(CRUCE[[#This Row],[Ubicacion]],Registros[Ubicacion],Registros[UMA], "")</f>
        <v/>
      </c>
      <c r="K291" s="26" t="str">
        <f>IF(CRUCE[[#This Row],[TOTAL]]="","",CRUCE[[#This Row],[TOTAL]]-CRUCE[[#This Row],[BULTOS]])</f>
        <v/>
      </c>
      <c r="L291" s="39" t="str">
        <f>IF(CRUCE[[#This Row],[TOTAL]]="", "PENDIENTE", IF(CRUCE[[#This Row],[Diferencia]]=0, "CUADRADO", IF(CRUCE[[#This Row],[Diferencia]]&gt;0, "SOBRANTE", "FALTANTE")))</f>
        <v>PENDIENTE</v>
      </c>
      <c r="M291" s="72" t="str">
        <f>IF(CRUCE[[#This Row],[Diferencia]]="","",IF(CRUCE[[#This Row],[Diferencia]]=0,"OK","RECONTEO"))</f>
        <v/>
      </c>
      <c r="N291" s="39" t="str">
        <f>_xlfn.XLOOKUP(CRUCE[[#This Row],[Ubicacion]],Registros[Ubicacion],Registros[Codigo], "")</f>
        <v/>
      </c>
      <c r="O291" s="26"/>
      <c r="P291" s="26"/>
      <c r="Q291" s="39" t="str">
        <f>IF(CRUCE[[#This Row],[TOTAL2]]="", "PENDIENTE", IF(CRUCE[[#This Row],[DIFERENCIA2]]=0, "CUADRADO", IF(CRUCE[[#This Row],[DIFERENCIA2]]&gt;0, "SOBRANTE", "FALTANTE")))</f>
        <v>PENDIENTE</v>
      </c>
      <c r="R291" s="102" t="s">
        <v>5081</v>
      </c>
      <c r="S291" s="127" t="s">
        <v>5374</v>
      </c>
    </row>
    <row r="292" spans="1:19">
      <c r="A292" s="93" t="s">
        <v>5327</v>
      </c>
      <c r="B292" s="38" t="s">
        <v>3636</v>
      </c>
      <c r="C292" s="38">
        <v>8317093</v>
      </c>
      <c r="D292" s="74">
        <v>17750243060650</v>
      </c>
      <c r="E292" s="38" t="s">
        <v>1019</v>
      </c>
      <c r="F292" s="38">
        <v>3</v>
      </c>
      <c r="G292" s="38" t="s">
        <v>9</v>
      </c>
      <c r="H292" s="39" t="str">
        <f>_xlfn.XLOOKUP(CRUCE[[#This Row],[Ubicacion]],Registros[Ubicacion],Registros[Codigo], "")</f>
        <v/>
      </c>
      <c r="I292" s="25" t="str">
        <f>_xlfn.XLOOKUP(CRUCE[[#This Row],[Ubicacion]],Registros[Ubicacion],Registros[Total], "")</f>
        <v/>
      </c>
      <c r="J292" s="25" t="str">
        <f>_xlfn.XLOOKUP(CRUCE[[#This Row],[Ubicacion]],Registros[Ubicacion],Registros[UMA], "")</f>
        <v/>
      </c>
      <c r="K292" s="25" t="str">
        <f>IF(CRUCE[[#This Row],[TOTAL]]="","",CRUCE[[#This Row],[TOTAL]]-CRUCE[[#This Row],[BULTOS]])</f>
        <v/>
      </c>
      <c r="L292" s="38" t="str">
        <f>IF(CRUCE[[#This Row],[TOTAL]]="", "PENDIENTE", IF(CRUCE[[#This Row],[Diferencia]]=0, "CUADRADO", IF(CRUCE[[#This Row],[Diferencia]]&gt;0, "SOBRANTE", "FALTANTE")))</f>
        <v>PENDIENTE</v>
      </c>
      <c r="M292" s="71" t="str">
        <f>IF(CRUCE[[#This Row],[Diferencia]]="","",IF(CRUCE[[#This Row],[Diferencia]]=0,"OK","RECONTEO"))</f>
        <v/>
      </c>
      <c r="N292" s="39" t="str">
        <f>_xlfn.XLOOKUP(CRUCE[[#This Row],[Ubicacion]],Registros[Ubicacion],Registros[Codigo], "")</f>
        <v/>
      </c>
      <c r="O292" s="25"/>
      <c r="P292" s="25"/>
      <c r="Q292" s="39" t="str">
        <f>IF(CRUCE[[#This Row],[TOTAL2]]="", "PENDIENTE", IF(CRUCE[[#This Row],[DIFERENCIA2]]=0, "CUADRADO", IF(CRUCE[[#This Row],[DIFERENCIA2]]&gt;0, "SOBRANTE", "FALTANTE")))</f>
        <v>PENDIENTE</v>
      </c>
      <c r="R292" s="103" t="s">
        <v>5081</v>
      </c>
      <c r="S292" s="127" t="s">
        <v>5375</v>
      </c>
    </row>
    <row r="293" spans="1:19">
      <c r="A293" s="92" t="s">
        <v>5327</v>
      </c>
      <c r="B293" s="39" t="s">
        <v>3579</v>
      </c>
      <c r="C293" s="39">
        <v>8316018</v>
      </c>
      <c r="D293" s="73">
        <v>17751851012321</v>
      </c>
      <c r="E293" s="39" t="s">
        <v>899</v>
      </c>
      <c r="F293" s="39">
        <v>43</v>
      </c>
      <c r="G293" s="39" t="s">
        <v>9</v>
      </c>
      <c r="H293" s="39" t="str">
        <f>_xlfn.XLOOKUP(CRUCE[[#This Row],[Ubicacion]],Registros[Ubicacion],Registros[Codigo], "")</f>
        <v/>
      </c>
      <c r="I293" s="26" t="str">
        <f>_xlfn.XLOOKUP(CRUCE[[#This Row],[Ubicacion]],Registros[Ubicacion],Registros[Total], "")</f>
        <v/>
      </c>
      <c r="J293" s="26" t="str">
        <f>_xlfn.XLOOKUP(CRUCE[[#This Row],[Ubicacion]],Registros[Ubicacion],Registros[UMA], "")</f>
        <v/>
      </c>
      <c r="K293" s="26" t="str">
        <f>IF(CRUCE[[#This Row],[TOTAL]]="","",CRUCE[[#This Row],[TOTAL]]-CRUCE[[#This Row],[BULTOS]])</f>
        <v/>
      </c>
      <c r="L293" s="39" t="str">
        <f>IF(CRUCE[[#This Row],[TOTAL]]="", "PENDIENTE", IF(CRUCE[[#This Row],[Diferencia]]=0, "CUADRADO", IF(CRUCE[[#This Row],[Diferencia]]&gt;0, "SOBRANTE", "FALTANTE")))</f>
        <v>PENDIENTE</v>
      </c>
      <c r="M293" s="72" t="str">
        <f>IF(CRUCE[[#This Row],[Diferencia]]="","",IF(CRUCE[[#This Row],[Diferencia]]=0,"OK","RECONTEO"))</f>
        <v/>
      </c>
      <c r="N293" s="39" t="str">
        <f>_xlfn.XLOOKUP(CRUCE[[#This Row],[Ubicacion]],Registros[Ubicacion],Registros[Codigo], "")</f>
        <v/>
      </c>
      <c r="O293" s="26"/>
      <c r="P293" s="26"/>
      <c r="Q293" s="39" t="str">
        <f>IF(CRUCE[[#This Row],[TOTAL2]]="", "PENDIENTE", IF(CRUCE[[#This Row],[DIFERENCIA2]]=0, "CUADRADO", IF(CRUCE[[#This Row],[DIFERENCIA2]]&gt;0, "SOBRANTE", "FALTANTE")))</f>
        <v>PENDIENTE</v>
      </c>
      <c r="R293" s="102" t="s">
        <v>5081</v>
      </c>
      <c r="S293" s="127" t="s">
        <v>5376</v>
      </c>
    </row>
    <row r="294" spans="1:19">
      <c r="A294" s="93" t="s">
        <v>5327</v>
      </c>
      <c r="B294" s="38" t="s">
        <v>3646</v>
      </c>
      <c r="C294" s="38">
        <v>8317150</v>
      </c>
      <c r="D294" s="74">
        <v>17750243066737</v>
      </c>
      <c r="E294" s="38" t="s">
        <v>1065</v>
      </c>
      <c r="F294" s="38">
        <v>22</v>
      </c>
      <c r="G294" s="38" t="s">
        <v>9</v>
      </c>
      <c r="H294" s="39" t="str">
        <f>_xlfn.XLOOKUP(CRUCE[[#This Row],[Ubicacion]],Registros[Ubicacion],Registros[Codigo], "")</f>
        <v/>
      </c>
      <c r="I294" s="25" t="str">
        <f>_xlfn.XLOOKUP(CRUCE[[#This Row],[Ubicacion]],Registros[Ubicacion],Registros[Total], "")</f>
        <v/>
      </c>
      <c r="J294" s="25" t="str">
        <f>_xlfn.XLOOKUP(CRUCE[[#This Row],[Ubicacion]],Registros[Ubicacion],Registros[UMA], "")</f>
        <v/>
      </c>
      <c r="K294" s="25" t="str">
        <f>IF(CRUCE[[#This Row],[TOTAL]]="","",CRUCE[[#This Row],[TOTAL]]-CRUCE[[#This Row],[BULTOS]])</f>
        <v/>
      </c>
      <c r="L294" s="38" t="str">
        <f>IF(CRUCE[[#This Row],[TOTAL]]="", "PENDIENTE", IF(CRUCE[[#This Row],[Diferencia]]=0, "CUADRADO", IF(CRUCE[[#This Row],[Diferencia]]&gt;0, "SOBRANTE", "FALTANTE")))</f>
        <v>PENDIENTE</v>
      </c>
      <c r="M294" s="71" t="str">
        <f>IF(CRUCE[[#This Row],[Diferencia]]="","",IF(CRUCE[[#This Row],[Diferencia]]=0,"OK","RECONTEO"))</f>
        <v/>
      </c>
      <c r="N294" s="39" t="str">
        <f>_xlfn.XLOOKUP(CRUCE[[#This Row],[Ubicacion]],Registros[Ubicacion],Registros[Codigo], "")</f>
        <v/>
      </c>
      <c r="O294" s="25"/>
      <c r="P294" s="25"/>
      <c r="Q294" s="39" t="str">
        <f>IF(CRUCE[[#This Row],[TOTAL2]]="", "PENDIENTE", IF(CRUCE[[#This Row],[DIFERENCIA2]]=0, "CUADRADO", IF(CRUCE[[#This Row],[DIFERENCIA2]]&gt;0, "SOBRANTE", "FALTANTE")))</f>
        <v>PENDIENTE</v>
      </c>
      <c r="R294" s="103" t="s">
        <v>5081</v>
      </c>
      <c r="S294" s="127" t="s">
        <v>5377</v>
      </c>
    </row>
    <row r="295" spans="1:19">
      <c r="A295" s="92" t="s">
        <v>5327</v>
      </c>
      <c r="B295" s="39" t="s">
        <v>3648</v>
      </c>
      <c r="C295" s="39">
        <v>8317151</v>
      </c>
      <c r="D295" s="73">
        <v>17750243066744</v>
      </c>
      <c r="E295" s="39" t="s">
        <v>1067</v>
      </c>
      <c r="F295" s="39">
        <v>45</v>
      </c>
      <c r="G295" s="39" t="s">
        <v>9</v>
      </c>
      <c r="H295" s="39" t="str">
        <f>_xlfn.XLOOKUP(CRUCE[[#This Row],[Ubicacion]],Registros[Ubicacion],Registros[Codigo], "")</f>
        <v/>
      </c>
      <c r="I295" s="26" t="str">
        <f>_xlfn.XLOOKUP(CRUCE[[#This Row],[Ubicacion]],Registros[Ubicacion],Registros[Total], "")</f>
        <v/>
      </c>
      <c r="J295" s="26" t="str">
        <f>_xlfn.XLOOKUP(CRUCE[[#This Row],[Ubicacion]],Registros[Ubicacion],Registros[UMA], "")</f>
        <v/>
      </c>
      <c r="K295" s="26" t="str">
        <f>IF(CRUCE[[#This Row],[TOTAL]]="","",CRUCE[[#This Row],[TOTAL]]-CRUCE[[#This Row],[BULTOS]])</f>
        <v/>
      </c>
      <c r="L295" s="39" t="str">
        <f>IF(CRUCE[[#This Row],[TOTAL]]="", "PENDIENTE", IF(CRUCE[[#This Row],[Diferencia]]=0, "CUADRADO", IF(CRUCE[[#This Row],[Diferencia]]&gt;0, "SOBRANTE", "FALTANTE")))</f>
        <v>PENDIENTE</v>
      </c>
      <c r="M295" s="72" t="str">
        <f>IF(CRUCE[[#This Row],[Diferencia]]="","",IF(CRUCE[[#This Row],[Diferencia]]=0,"OK","RECONTEO"))</f>
        <v/>
      </c>
      <c r="N295" s="39" t="str">
        <f>_xlfn.XLOOKUP(CRUCE[[#This Row],[Ubicacion]],Registros[Ubicacion],Registros[Codigo], "")</f>
        <v/>
      </c>
      <c r="O295" s="26"/>
      <c r="P295" s="26"/>
      <c r="Q295" s="39" t="str">
        <f>IF(CRUCE[[#This Row],[TOTAL2]]="", "PENDIENTE", IF(CRUCE[[#This Row],[DIFERENCIA2]]=0, "CUADRADO", IF(CRUCE[[#This Row],[DIFERENCIA2]]&gt;0, "SOBRANTE", "FALTANTE")))</f>
        <v>PENDIENTE</v>
      </c>
      <c r="R295" s="102" t="s">
        <v>5081</v>
      </c>
      <c r="S295" s="127" t="s">
        <v>5378</v>
      </c>
    </row>
    <row r="296" spans="1:19">
      <c r="A296" s="93" t="s">
        <v>5379</v>
      </c>
      <c r="B296" s="38" t="s">
        <v>3547</v>
      </c>
      <c r="C296" s="38">
        <v>8315046</v>
      </c>
      <c r="D296" s="74">
        <v>27751851009960</v>
      </c>
      <c r="E296" s="38" t="s">
        <v>829</v>
      </c>
      <c r="F296" s="38">
        <v>28</v>
      </c>
      <c r="G296" s="38" t="s">
        <v>9</v>
      </c>
      <c r="H296" s="39" t="str">
        <f>_xlfn.XLOOKUP(CRUCE[[#This Row],[Ubicacion]],Registros[Ubicacion],Registros[Codigo], "")</f>
        <v/>
      </c>
      <c r="I296" s="25" t="str">
        <f>_xlfn.XLOOKUP(CRUCE[[#This Row],[Ubicacion]],Registros[Ubicacion],Registros[Total], "")</f>
        <v/>
      </c>
      <c r="J296" s="25" t="str">
        <f>_xlfn.XLOOKUP(CRUCE[[#This Row],[Ubicacion]],Registros[Ubicacion],Registros[UMA], "")</f>
        <v/>
      </c>
      <c r="K296" s="25" t="str">
        <f>IF(CRUCE[[#This Row],[TOTAL]]="","",CRUCE[[#This Row],[TOTAL]]-CRUCE[[#This Row],[BULTOS]])</f>
        <v/>
      </c>
      <c r="L296" s="38" t="str">
        <f>IF(CRUCE[[#This Row],[TOTAL]]="", "PENDIENTE", IF(CRUCE[[#This Row],[Diferencia]]=0, "CUADRADO", IF(CRUCE[[#This Row],[Diferencia]]&gt;0, "SOBRANTE", "FALTANTE")))</f>
        <v>PENDIENTE</v>
      </c>
      <c r="M296" s="71" t="str">
        <f>IF(CRUCE[[#This Row],[Diferencia]]="","",IF(CRUCE[[#This Row],[Diferencia]]=0,"OK","RECONTEO"))</f>
        <v/>
      </c>
      <c r="N296" s="39" t="str">
        <f>_xlfn.XLOOKUP(CRUCE[[#This Row],[Ubicacion]],Registros[Ubicacion],Registros[Codigo], "")</f>
        <v/>
      </c>
      <c r="O296" s="25"/>
      <c r="P296" s="25"/>
      <c r="Q296" s="39" t="str">
        <f>IF(CRUCE[[#This Row],[TOTAL2]]="", "PENDIENTE", IF(CRUCE[[#This Row],[DIFERENCIA2]]=0, "CUADRADO", IF(CRUCE[[#This Row],[DIFERENCIA2]]&gt;0, "SOBRANTE", "FALTANTE")))</f>
        <v>PENDIENTE</v>
      </c>
      <c r="R296" s="103" t="s">
        <v>5081</v>
      </c>
      <c r="S296" s="127" t="s">
        <v>5380</v>
      </c>
    </row>
    <row r="297" spans="1:19">
      <c r="A297" s="92" t="s">
        <v>5379</v>
      </c>
      <c r="B297" s="39" t="s">
        <v>3479</v>
      </c>
      <c r="C297" s="39">
        <v>8312007</v>
      </c>
      <c r="D297" s="73">
        <v>17751851012758</v>
      </c>
      <c r="E297" s="39" t="s">
        <v>741</v>
      </c>
      <c r="F297" s="39">
        <v>19</v>
      </c>
      <c r="G297" s="39" t="s">
        <v>9</v>
      </c>
      <c r="H297" s="39" t="str">
        <f>_xlfn.XLOOKUP(CRUCE[[#This Row],[Ubicacion]],Registros[Ubicacion],Registros[Codigo], "")</f>
        <v/>
      </c>
      <c r="I297" s="26" t="str">
        <f>_xlfn.XLOOKUP(CRUCE[[#This Row],[Ubicacion]],Registros[Ubicacion],Registros[Total], "")</f>
        <v/>
      </c>
      <c r="J297" s="26" t="str">
        <f>_xlfn.XLOOKUP(CRUCE[[#This Row],[Ubicacion]],Registros[Ubicacion],Registros[UMA], "")</f>
        <v/>
      </c>
      <c r="K297" s="26" t="str">
        <f>IF(CRUCE[[#This Row],[TOTAL]]="","",CRUCE[[#This Row],[TOTAL]]-CRUCE[[#This Row],[BULTOS]])</f>
        <v/>
      </c>
      <c r="L297" s="39" t="str">
        <f>IF(CRUCE[[#This Row],[TOTAL]]="", "PENDIENTE", IF(CRUCE[[#This Row],[Diferencia]]=0, "CUADRADO", IF(CRUCE[[#This Row],[Diferencia]]&gt;0, "SOBRANTE", "FALTANTE")))</f>
        <v>PENDIENTE</v>
      </c>
      <c r="M297" s="72" t="str">
        <f>IF(CRUCE[[#This Row],[Diferencia]]="","",IF(CRUCE[[#This Row],[Diferencia]]=0,"OK","RECONTEO"))</f>
        <v/>
      </c>
      <c r="N297" s="39" t="str">
        <f>_xlfn.XLOOKUP(CRUCE[[#This Row],[Ubicacion]],Registros[Ubicacion],Registros[Codigo], "")</f>
        <v/>
      </c>
      <c r="O297" s="26"/>
      <c r="P297" s="26"/>
      <c r="Q297" s="39" t="str">
        <f>IF(CRUCE[[#This Row],[TOTAL2]]="", "PENDIENTE", IF(CRUCE[[#This Row],[DIFERENCIA2]]=0, "CUADRADO", IF(CRUCE[[#This Row],[DIFERENCIA2]]&gt;0, "SOBRANTE", "FALTANTE")))</f>
        <v>PENDIENTE</v>
      </c>
      <c r="R297" s="102" t="s">
        <v>5081</v>
      </c>
      <c r="S297" s="127" t="s">
        <v>5381</v>
      </c>
    </row>
    <row r="298" spans="1:19">
      <c r="A298" s="93" t="s">
        <v>5379</v>
      </c>
      <c r="B298" s="38" t="s">
        <v>3473</v>
      </c>
      <c r="C298" s="38">
        <v>8312005</v>
      </c>
      <c r="D298" s="74">
        <v>17751851013519</v>
      </c>
      <c r="E298" s="38" t="s">
        <v>737</v>
      </c>
      <c r="F298" s="38">
        <v>13</v>
      </c>
      <c r="G298" s="38" t="s">
        <v>9</v>
      </c>
      <c r="H298" s="39" t="str">
        <f>_xlfn.XLOOKUP(CRUCE[[#This Row],[Ubicacion]],Registros[Ubicacion],Registros[Codigo], "")</f>
        <v/>
      </c>
      <c r="I298" s="25" t="str">
        <f>_xlfn.XLOOKUP(CRUCE[[#This Row],[Ubicacion]],Registros[Ubicacion],Registros[Total], "")</f>
        <v/>
      </c>
      <c r="J298" s="25" t="str">
        <f>_xlfn.XLOOKUP(CRUCE[[#This Row],[Ubicacion]],Registros[Ubicacion],Registros[UMA], "")</f>
        <v/>
      </c>
      <c r="K298" s="25" t="str">
        <f>IF(CRUCE[[#This Row],[TOTAL]]="","",CRUCE[[#This Row],[TOTAL]]-CRUCE[[#This Row],[BULTOS]])</f>
        <v/>
      </c>
      <c r="L298" s="38" t="str">
        <f>IF(CRUCE[[#This Row],[TOTAL]]="", "PENDIENTE", IF(CRUCE[[#This Row],[Diferencia]]=0, "CUADRADO", IF(CRUCE[[#This Row],[Diferencia]]&gt;0, "SOBRANTE", "FALTANTE")))</f>
        <v>PENDIENTE</v>
      </c>
      <c r="M298" s="71" t="str">
        <f>IF(CRUCE[[#This Row],[Diferencia]]="","",IF(CRUCE[[#This Row],[Diferencia]]=0,"OK","RECONTEO"))</f>
        <v/>
      </c>
      <c r="N298" s="39" t="str">
        <f>_xlfn.XLOOKUP(CRUCE[[#This Row],[Ubicacion]],Registros[Ubicacion],Registros[Codigo], "")</f>
        <v/>
      </c>
      <c r="O298" s="25"/>
      <c r="P298" s="25"/>
      <c r="Q298" s="39" t="str">
        <f>IF(CRUCE[[#This Row],[TOTAL2]]="", "PENDIENTE", IF(CRUCE[[#This Row],[DIFERENCIA2]]=0, "CUADRADO", IF(CRUCE[[#This Row],[DIFERENCIA2]]&gt;0, "SOBRANTE", "FALTANTE")))</f>
        <v>PENDIENTE</v>
      </c>
      <c r="R298" s="103" t="s">
        <v>5081</v>
      </c>
      <c r="S298" s="127" t="s">
        <v>5382</v>
      </c>
    </row>
    <row r="299" spans="1:19">
      <c r="A299" s="92" t="s">
        <v>5379</v>
      </c>
      <c r="B299" s="39" t="s">
        <v>3382</v>
      </c>
      <c r="C299" s="39">
        <v>8305352</v>
      </c>
      <c r="D299" s="73">
        <v>17861036791054</v>
      </c>
      <c r="E299" s="39" t="s">
        <v>545</v>
      </c>
      <c r="F299" s="39">
        <v>42</v>
      </c>
      <c r="G299" s="39" t="s">
        <v>9</v>
      </c>
      <c r="H299" s="39" t="str">
        <f>_xlfn.XLOOKUP(CRUCE[[#This Row],[Ubicacion]],Registros[Ubicacion],Registros[Codigo], "")</f>
        <v/>
      </c>
      <c r="I299" s="26" t="str">
        <f>_xlfn.XLOOKUP(CRUCE[[#This Row],[Ubicacion]],Registros[Ubicacion],Registros[Total], "")</f>
        <v/>
      </c>
      <c r="J299" s="26" t="str">
        <f>_xlfn.XLOOKUP(CRUCE[[#This Row],[Ubicacion]],Registros[Ubicacion],Registros[UMA], "")</f>
        <v/>
      </c>
      <c r="K299" s="26" t="str">
        <f>IF(CRUCE[[#This Row],[TOTAL]]="","",CRUCE[[#This Row],[TOTAL]]-CRUCE[[#This Row],[BULTOS]])</f>
        <v/>
      </c>
      <c r="L299" s="39" t="str">
        <f>IF(CRUCE[[#This Row],[TOTAL]]="", "PENDIENTE", IF(CRUCE[[#This Row],[Diferencia]]=0, "CUADRADO", IF(CRUCE[[#This Row],[Diferencia]]&gt;0, "SOBRANTE", "FALTANTE")))</f>
        <v>PENDIENTE</v>
      </c>
      <c r="M299" s="72" t="str">
        <f>IF(CRUCE[[#This Row],[Diferencia]]="","",IF(CRUCE[[#This Row],[Diferencia]]=0,"OK","RECONTEO"))</f>
        <v/>
      </c>
      <c r="N299" s="39" t="str">
        <f>_xlfn.XLOOKUP(CRUCE[[#This Row],[Ubicacion]],Registros[Ubicacion],Registros[Codigo], "")</f>
        <v/>
      </c>
      <c r="O299" s="26"/>
      <c r="P299" s="26"/>
      <c r="Q299" s="39" t="str">
        <f>IF(CRUCE[[#This Row],[TOTAL2]]="", "PENDIENTE", IF(CRUCE[[#This Row],[DIFERENCIA2]]=0, "CUADRADO", IF(CRUCE[[#This Row],[DIFERENCIA2]]&gt;0, "SOBRANTE", "FALTANTE")))</f>
        <v>PENDIENTE</v>
      </c>
      <c r="R299" s="102" t="s">
        <v>5081</v>
      </c>
      <c r="S299" s="127" t="s">
        <v>5383</v>
      </c>
    </row>
    <row r="300" spans="1:19">
      <c r="A300" s="93" t="s">
        <v>5379</v>
      </c>
      <c r="B300" s="38" t="s">
        <v>3379</v>
      </c>
      <c r="C300" s="38">
        <v>8305351</v>
      </c>
      <c r="D300" s="74">
        <v>17861036791061</v>
      </c>
      <c r="E300" s="38" t="s">
        <v>543</v>
      </c>
      <c r="F300" s="38">
        <v>44</v>
      </c>
      <c r="G300" s="38" t="s">
        <v>9</v>
      </c>
      <c r="H300" s="39" t="str">
        <f>_xlfn.XLOOKUP(CRUCE[[#This Row],[Ubicacion]],Registros[Ubicacion],Registros[Codigo], "")</f>
        <v/>
      </c>
      <c r="I300" s="25" t="str">
        <f>_xlfn.XLOOKUP(CRUCE[[#This Row],[Ubicacion]],Registros[Ubicacion],Registros[Total], "")</f>
        <v/>
      </c>
      <c r="J300" s="25" t="str">
        <f>_xlfn.XLOOKUP(CRUCE[[#This Row],[Ubicacion]],Registros[Ubicacion],Registros[UMA], "")</f>
        <v/>
      </c>
      <c r="K300" s="25" t="str">
        <f>IF(CRUCE[[#This Row],[TOTAL]]="","",CRUCE[[#This Row],[TOTAL]]-CRUCE[[#This Row],[BULTOS]])</f>
        <v/>
      </c>
      <c r="L300" s="38" t="str">
        <f>IF(CRUCE[[#This Row],[TOTAL]]="", "PENDIENTE", IF(CRUCE[[#This Row],[Diferencia]]=0, "CUADRADO", IF(CRUCE[[#This Row],[Diferencia]]&gt;0, "SOBRANTE", "FALTANTE")))</f>
        <v>PENDIENTE</v>
      </c>
      <c r="M300" s="71" t="str">
        <f>IF(CRUCE[[#This Row],[Diferencia]]="","",IF(CRUCE[[#This Row],[Diferencia]]=0,"OK","RECONTEO"))</f>
        <v/>
      </c>
      <c r="N300" s="39" t="str">
        <f>_xlfn.XLOOKUP(CRUCE[[#This Row],[Ubicacion]],Registros[Ubicacion],Registros[Codigo], "")</f>
        <v/>
      </c>
      <c r="O300" s="25"/>
      <c r="P300" s="25"/>
      <c r="Q300" s="39" t="str">
        <f>IF(CRUCE[[#This Row],[TOTAL2]]="", "PENDIENTE", IF(CRUCE[[#This Row],[DIFERENCIA2]]=0, "CUADRADO", IF(CRUCE[[#This Row],[DIFERENCIA2]]&gt;0, "SOBRANTE", "FALTANTE")))</f>
        <v>PENDIENTE</v>
      </c>
      <c r="R300" s="103" t="s">
        <v>5081</v>
      </c>
      <c r="S300" s="127" t="s">
        <v>5384</v>
      </c>
    </row>
    <row r="301" spans="1:19">
      <c r="A301" s="92" t="s">
        <v>5379</v>
      </c>
      <c r="B301" s="39" t="s">
        <v>3476</v>
      </c>
      <c r="C301" s="39">
        <v>8312006</v>
      </c>
      <c r="D301" s="73">
        <v>17751851013526</v>
      </c>
      <c r="E301" s="39" t="s">
        <v>739</v>
      </c>
      <c r="F301" s="39">
        <v>17</v>
      </c>
      <c r="G301" s="39" t="s">
        <v>9</v>
      </c>
      <c r="H301" s="39" t="str">
        <f>_xlfn.XLOOKUP(CRUCE[[#This Row],[Ubicacion]],Registros[Ubicacion],Registros[Codigo], "")</f>
        <v/>
      </c>
      <c r="I301" s="26" t="str">
        <f>_xlfn.XLOOKUP(CRUCE[[#This Row],[Ubicacion]],Registros[Ubicacion],Registros[Total], "")</f>
        <v/>
      </c>
      <c r="J301" s="26" t="str">
        <f>_xlfn.XLOOKUP(CRUCE[[#This Row],[Ubicacion]],Registros[Ubicacion],Registros[UMA], "")</f>
        <v/>
      </c>
      <c r="K301" s="26" t="str">
        <f>IF(CRUCE[[#This Row],[TOTAL]]="","",CRUCE[[#This Row],[TOTAL]]-CRUCE[[#This Row],[BULTOS]])</f>
        <v/>
      </c>
      <c r="L301" s="39" t="str">
        <f>IF(CRUCE[[#This Row],[TOTAL]]="", "PENDIENTE", IF(CRUCE[[#This Row],[Diferencia]]=0, "CUADRADO", IF(CRUCE[[#This Row],[Diferencia]]&gt;0, "SOBRANTE", "FALTANTE")))</f>
        <v>PENDIENTE</v>
      </c>
      <c r="M301" s="72" t="str">
        <f>IF(CRUCE[[#This Row],[Diferencia]]="","",IF(CRUCE[[#This Row],[Diferencia]]=0,"OK","RECONTEO"))</f>
        <v/>
      </c>
      <c r="N301" s="39" t="str">
        <f>_xlfn.XLOOKUP(CRUCE[[#This Row],[Ubicacion]],Registros[Ubicacion],Registros[Codigo], "")</f>
        <v/>
      </c>
      <c r="O301" s="26"/>
      <c r="P301" s="26"/>
      <c r="Q301" s="39" t="str">
        <f>IF(CRUCE[[#This Row],[TOTAL2]]="", "PENDIENTE", IF(CRUCE[[#This Row],[DIFERENCIA2]]=0, "CUADRADO", IF(CRUCE[[#This Row],[DIFERENCIA2]]&gt;0, "SOBRANTE", "FALTANTE")))</f>
        <v>PENDIENTE</v>
      </c>
      <c r="R301" s="102" t="s">
        <v>5081</v>
      </c>
      <c r="S301" s="127" t="s">
        <v>5385</v>
      </c>
    </row>
    <row r="302" spans="1:19">
      <c r="A302" s="93" t="s">
        <v>5379</v>
      </c>
      <c r="B302" s="38" t="s">
        <v>3481</v>
      </c>
      <c r="C302" s="38">
        <v>8312008</v>
      </c>
      <c r="D302" s="74">
        <v>17751851012932</v>
      </c>
      <c r="E302" s="38" t="s">
        <v>743</v>
      </c>
      <c r="F302" s="38">
        <v>42</v>
      </c>
      <c r="G302" s="38" t="s">
        <v>9</v>
      </c>
      <c r="H302" s="39" t="str">
        <f>_xlfn.XLOOKUP(CRUCE[[#This Row],[Ubicacion]],Registros[Ubicacion],Registros[Codigo], "")</f>
        <v/>
      </c>
      <c r="I302" s="25" t="str">
        <f>_xlfn.XLOOKUP(CRUCE[[#This Row],[Ubicacion]],Registros[Ubicacion],Registros[Total], "")</f>
        <v/>
      </c>
      <c r="J302" s="25" t="str">
        <f>_xlfn.XLOOKUP(CRUCE[[#This Row],[Ubicacion]],Registros[Ubicacion],Registros[UMA], "")</f>
        <v/>
      </c>
      <c r="K302" s="25" t="str">
        <f>IF(CRUCE[[#This Row],[TOTAL]]="","",CRUCE[[#This Row],[TOTAL]]-CRUCE[[#This Row],[BULTOS]])</f>
        <v/>
      </c>
      <c r="L302" s="38" t="str">
        <f>IF(CRUCE[[#This Row],[TOTAL]]="", "PENDIENTE", IF(CRUCE[[#This Row],[Diferencia]]=0, "CUADRADO", IF(CRUCE[[#This Row],[Diferencia]]&gt;0, "SOBRANTE", "FALTANTE")))</f>
        <v>PENDIENTE</v>
      </c>
      <c r="M302" s="71" t="str">
        <f>IF(CRUCE[[#This Row],[Diferencia]]="","",IF(CRUCE[[#This Row],[Diferencia]]=0,"OK","RECONTEO"))</f>
        <v/>
      </c>
      <c r="N302" s="39" t="str">
        <f>_xlfn.XLOOKUP(CRUCE[[#This Row],[Ubicacion]],Registros[Ubicacion],Registros[Codigo], "")</f>
        <v/>
      </c>
      <c r="O302" s="25"/>
      <c r="P302" s="25"/>
      <c r="Q302" s="39" t="str">
        <f>IF(CRUCE[[#This Row],[TOTAL2]]="", "PENDIENTE", IF(CRUCE[[#This Row],[DIFERENCIA2]]=0, "CUADRADO", IF(CRUCE[[#This Row],[DIFERENCIA2]]&gt;0, "SOBRANTE", "FALTANTE")))</f>
        <v>PENDIENTE</v>
      </c>
      <c r="R302" s="103" t="s">
        <v>5081</v>
      </c>
      <c r="S302" s="127" t="s">
        <v>5386</v>
      </c>
    </row>
    <row r="303" spans="1:19">
      <c r="A303" s="92" t="s">
        <v>5379</v>
      </c>
      <c r="B303" s="39" t="s">
        <v>4115</v>
      </c>
      <c r="C303" s="39">
        <v>8600142</v>
      </c>
      <c r="D303" s="73">
        <v>17750243080733</v>
      </c>
      <c r="E303" s="39" t="s">
        <v>2781</v>
      </c>
      <c r="F303" s="39">
        <v>6</v>
      </c>
      <c r="G303" s="39" t="s">
        <v>9</v>
      </c>
      <c r="H303" s="39" t="str">
        <f>_xlfn.XLOOKUP(CRUCE[[#This Row],[Ubicacion]],Registros[Ubicacion],Registros[Codigo], "")</f>
        <v/>
      </c>
      <c r="I303" s="26" t="str">
        <f>_xlfn.XLOOKUP(CRUCE[[#This Row],[Ubicacion]],Registros[Ubicacion],Registros[Total], "")</f>
        <v/>
      </c>
      <c r="J303" s="26" t="str">
        <f>_xlfn.XLOOKUP(CRUCE[[#This Row],[Ubicacion]],Registros[Ubicacion],Registros[UMA], "")</f>
        <v/>
      </c>
      <c r="K303" s="26" t="str">
        <f>IF(CRUCE[[#This Row],[TOTAL]]="","",CRUCE[[#This Row],[TOTAL]]-CRUCE[[#This Row],[BULTOS]])</f>
        <v/>
      </c>
      <c r="L303" s="39" t="str">
        <f>IF(CRUCE[[#This Row],[TOTAL]]="", "PENDIENTE", IF(CRUCE[[#This Row],[Diferencia]]=0, "CUADRADO", IF(CRUCE[[#This Row],[Diferencia]]&gt;0, "SOBRANTE", "FALTANTE")))</f>
        <v>PENDIENTE</v>
      </c>
      <c r="M303" s="72" t="str">
        <f>IF(CRUCE[[#This Row],[Diferencia]]="","",IF(CRUCE[[#This Row],[Diferencia]]=0,"OK","RECONTEO"))</f>
        <v/>
      </c>
      <c r="N303" s="39" t="str">
        <f>_xlfn.XLOOKUP(CRUCE[[#This Row],[Ubicacion]],Registros[Ubicacion],Registros[Codigo], "")</f>
        <v/>
      </c>
      <c r="O303" s="26"/>
      <c r="P303" s="26"/>
      <c r="Q303" s="39" t="str">
        <f>IF(CRUCE[[#This Row],[TOTAL2]]="", "PENDIENTE", IF(CRUCE[[#This Row],[DIFERENCIA2]]=0, "CUADRADO", IF(CRUCE[[#This Row],[DIFERENCIA2]]&gt;0, "SOBRANTE", "FALTANTE")))</f>
        <v>PENDIENTE</v>
      </c>
      <c r="R303" s="102" t="s">
        <v>5081</v>
      </c>
      <c r="S303" s="127" t="s">
        <v>5387</v>
      </c>
    </row>
    <row r="304" spans="1:19">
      <c r="A304" s="93" t="s">
        <v>5379</v>
      </c>
      <c r="B304" s="38" t="s">
        <v>4117</v>
      </c>
      <c r="C304" s="38">
        <v>8600142</v>
      </c>
      <c r="D304" s="74">
        <v>17750243080733</v>
      </c>
      <c r="E304" s="38" t="s">
        <v>2781</v>
      </c>
      <c r="F304" s="38">
        <v>6</v>
      </c>
      <c r="G304" s="38" t="s">
        <v>9</v>
      </c>
      <c r="H304" s="39" t="str">
        <f>_xlfn.XLOOKUP(CRUCE[[#This Row],[Ubicacion]],Registros[Ubicacion],Registros[Codigo], "")</f>
        <v/>
      </c>
      <c r="I304" s="25" t="str">
        <f>_xlfn.XLOOKUP(CRUCE[[#This Row],[Ubicacion]],Registros[Ubicacion],Registros[Total], "")</f>
        <v/>
      </c>
      <c r="J304" s="25" t="str">
        <f>_xlfn.XLOOKUP(CRUCE[[#This Row],[Ubicacion]],Registros[Ubicacion],Registros[UMA], "")</f>
        <v/>
      </c>
      <c r="K304" s="25" t="str">
        <f>IF(CRUCE[[#This Row],[TOTAL]]="","",CRUCE[[#This Row],[TOTAL]]-CRUCE[[#This Row],[BULTOS]])</f>
        <v/>
      </c>
      <c r="L304" s="38" t="str">
        <f>IF(CRUCE[[#This Row],[TOTAL]]="", "PENDIENTE", IF(CRUCE[[#This Row],[Diferencia]]=0, "CUADRADO", IF(CRUCE[[#This Row],[Diferencia]]&gt;0, "SOBRANTE", "FALTANTE")))</f>
        <v>PENDIENTE</v>
      </c>
      <c r="M304" s="71" t="str">
        <f>IF(CRUCE[[#This Row],[Diferencia]]="","",IF(CRUCE[[#This Row],[Diferencia]]=0,"OK","RECONTEO"))</f>
        <v/>
      </c>
      <c r="N304" s="39" t="str">
        <f>_xlfn.XLOOKUP(CRUCE[[#This Row],[Ubicacion]],Registros[Ubicacion],Registros[Codigo], "")</f>
        <v/>
      </c>
      <c r="O304" s="25"/>
      <c r="P304" s="25"/>
      <c r="Q304" s="39" t="str">
        <f>IF(CRUCE[[#This Row],[TOTAL2]]="", "PENDIENTE", IF(CRUCE[[#This Row],[DIFERENCIA2]]=0, "CUADRADO", IF(CRUCE[[#This Row],[DIFERENCIA2]]&gt;0, "SOBRANTE", "FALTANTE")))</f>
        <v>PENDIENTE</v>
      </c>
      <c r="R304" s="103" t="s">
        <v>5081</v>
      </c>
      <c r="S304" s="127" t="s">
        <v>5388</v>
      </c>
    </row>
    <row r="305" spans="1:19">
      <c r="A305" s="92" t="s">
        <v>5379</v>
      </c>
      <c r="B305" s="39" t="s">
        <v>4102</v>
      </c>
      <c r="C305" s="39">
        <v>8600138</v>
      </c>
      <c r="D305" s="73">
        <v>17750243080481</v>
      </c>
      <c r="E305" s="39" t="s">
        <v>2773</v>
      </c>
      <c r="F305" s="39">
        <v>43</v>
      </c>
      <c r="G305" s="39" t="s">
        <v>9</v>
      </c>
      <c r="H305" s="39" t="str">
        <f>_xlfn.XLOOKUP(CRUCE[[#This Row],[Ubicacion]],Registros[Ubicacion],Registros[Codigo], "")</f>
        <v/>
      </c>
      <c r="I305" s="26" t="str">
        <f>_xlfn.XLOOKUP(CRUCE[[#This Row],[Ubicacion]],Registros[Ubicacion],Registros[Total], "")</f>
        <v/>
      </c>
      <c r="J305" s="26" t="str">
        <f>_xlfn.XLOOKUP(CRUCE[[#This Row],[Ubicacion]],Registros[Ubicacion],Registros[UMA], "")</f>
        <v/>
      </c>
      <c r="K305" s="26" t="str">
        <f>IF(CRUCE[[#This Row],[TOTAL]]="","",CRUCE[[#This Row],[TOTAL]]-CRUCE[[#This Row],[BULTOS]])</f>
        <v/>
      </c>
      <c r="L305" s="39" t="str">
        <f>IF(CRUCE[[#This Row],[TOTAL]]="", "PENDIENTE", IF(CRUCE[[#This Row],[Diferencia]]=0, "CUADRADO", IF(CRUCE[[#This Row],[Diferencia]]&gt;0, "SOBRANTE", "FALTANTE")))</f>
        <v>PENDIENTE</v>
      </c>
      <c r="M305" s="72" t="str">
        <f>IF(CRUCE[[#This Row],[Diferencia]]="","",IF(CRUCE[[#This Row],[Diferencia]]=0,"OK","RECONTEO"))</f>
        <v/>
      </c>
      <c r="N305" s="39" t="str">
        <f>_xlfn.XLOOKUP(CRUCE[[#This Row],[Ubicacion]],Registros[Ubicacion],Registros[Codigo], "")</f>
        <v/>
      </c>
      <c r="O305" s="26"/>
      <c r="P305" s="26"/>
      <c r="Q305" s="39" t="str">
        <f>IF(CRUCE[[#This Row],[TOTAL2]]="", "PENDIENTE", IF(CRUCE[[#This Row],[DIFERENCIA2]]=0, "CUADRADO", IF(CRUCE[[#This Row],[DIFERENCIA2]]&gt;0, "SOBRANTE", "FALTANTE")))</f>
        <v>PENDIENTE</v>
      </c>
      <c r="R305" s="102" t="s">
        <v>5081</v>
      </c>
      <c r="S305" s="127" t="s">
        <v>5389</v>
      </c>
    </row>
    <row r="306" spans="1:19">
      <c r="A306" s="93" t="s">
        <v>5379</v>
      </c>
      <c r="B306" s="38" t="s">
        <v>4105</v>
      </c>
      <c r="C306" s="38">
        <v>8600138</v>
      </c>
      <c r="D306" s="74">
        <v>17750243080481</v>
      </c>
      <c r="E306" s="38" t="s">
        <v>2773</v>
      </c>
      <c r="F306" s="38">
        <v>43</v>
      </c>
      <c r="G306" s="38" t="s">
        <v>9</v>
      </c>
      <c r="H306" s="39" t="str">
        <f>_xlfn.XLOOKUP(CRUCE[[#This Row],[Ubicacion]],Registros[Ubicacion],Registros[Codigo], "")</f>
        <v/>
      </c>
      <c r="I306" s="25" t="str">
        <f>_xlfn.XLOOKUP(CRUCE[[#This Row],[Ubicacion]],Registros[Ubicacion],Registros[Total], "")</f>
        <v/>
      </c>
      <c r="J306" s="25" t="str">
        <f>_xlfn.XLOOKUP(CRUCE[[#This Row],[Ubicacion]],Registros[Ubicacion],Registros[UMA], "")</f>
        <v/>
      </c>
      <c r="K306" s="25" t="str">
        <f>IF(CRUCE[[#This Row],[TOTAL]]="","",CRUCE[[#This Row],[TOTAL]]-CRUCE[[#This Row],[BULTOS]])</f>
        <v/>
      </c>
      <c r="L306" s="38" t="str">
        <f>IF(CRUCE[[#This Row],[TOTAL]]="", "PENDIENTE", IF(CRUCE[[#This Row],[Diferencia]]=0, "CUADRADO", IF(CRUCE[[#This Row],[Diferencia]]&gt;0, "SOBRANTE", "FALTANTE")))</f>
        <v>PENDIENTE</v>
      </c>
      <c r="M306" s="71" t="str">
        <f>IF(CRUCE[[#This Row],[Diferencia]]="","",IF(CRUCE[[#This Row],[Diferencia]]=0,"OK","RECONTEO"))</f>
        <v/>
      </c>
      <c r="N306" s="39" t="str">
        <f>_xlfn.XLOOKUP(CRUCE[[#This Row],[Ubicacion]],Registros[Ubicacion],Registros[Codigo], "")</f>
        <v/>
      </c>
      <c r="O306" s="25"/>
      <c r="P306" s="25"/>
      <c r="Q306" s="39" t="str">
        <f>IF(CRUCE[[#This Row],[TOTAL2]]="", "PENDIENTE", IF(CRUCE[[#This Row],[DIFERENCIA2]]=0, "CUADRADO", IF(CRUCE[[#This Row],[DIFERENCIA2]]&gt;0, "SOBRANTE", "FALTANTE")))</f>
        <v>PENDIENTE</v>
      </c>
      <c r="R306" s="103" t="s">
        <v>5081</v>
      </c>
      <c r="S306" s="127" t="s">
        <v>5390</v>
      </c>
    </row>
    <row r="307" spans="1:19">
      <c r="A307" s="92" t="s">
        <v>5379</v>
      </c>
      <c r="B307" s="39" t="s">
        <v>4094</v>
      </c>
      <c r="C307" s="39">
        <v>8600136</v>
      </c>
      <c r="D307" s="73">
        <v>17750243080467</v>
      </c>
      <c r="E307" s="39" t="s">
        <v>2769</v>
      </c>
      <c r="F307" s="39">
        <v>68</v>
      </c>
      <c r="G307" s="39" t="s">
        <v>9</v>
      </c>
      <c r="H307" s="39" t="str">
        <f>_xlfn.XLOOKUP(CRUCE[[#This Row],[Ubicacion]],Registros[Ubicacion],Registros[Codigo], "")</f>
        <v/>
      </c>
      <c r="I307" s="26" t="str">
        <f>_xlfn.XLOOKUP(CRUCE[[#This Row],[Ubicacion]],Registros[Ubicacion],Registros[Total], "")</f>
        <v/>
      </c>
      <c r="J307" s="26" t="str">
        <f>_xlfn.XLOOKUP(CRUCE[[#This Row],[Ubicacion]],Registros[Ubicacion],Registros[UMA], "")</f>
        <v/>
      </c>
      <c r="K307" s="26" t="str">
        <f>IF(CRUCE[[#This Row],[TOTAL]]="","",CRUCE[[#This Row],[TOTAL]]-CRUCE[[#This Row],[BULTOS]])</f>
        <v/>
      </c>
      <c r="L307" s="39" t="str">
        <f>IF(CRUCE[[#This Row],[TOTAL]]="", "PENDIENTE", IF(CRUCE[[#This Row],[Diferencia]]=0, "CUADRADO", IF(CRUCE[[#This Row],[Diferencia]]&gt;0, "SOBRANTE", "FALTANTE")))</f>
        <v>PENDIENTE</v>
      </c>
      <c r="M307" s="72" t="str">
        <f>IF(CRUCE[[#This Row],[Diferencia]]="","",IF(CRUCE[[#This Row],[Diferencia]]=0,"OK","RECONTEO"))</f>
        <v/>
      </c>
      <c r="N307" s="39" t="str">
        <f>_xlfn.XLOOKUP(CRUCE[[#This Row],[Ubicacion]],Registros[Ubicacion],Registros[Codigo], "")</f>
        <v/>
      </c>
      <c r="O307" s="26"/>
      <c r="P307" s="26"/>
      <c r="Q307" s="39" t="str">
        <f>IF(CRUCE[[#This Row],[TOTAL2]]="", "PENDIENTE", IF(CRUCE[[#This Row],[DIFERENCIA2]]=0, "CUADRADO", IF(CRUCE[[#This Row],[DIFERENCIA2]]&gt;0, "SOBRANTE", "FALTANTE")))</f>
        <v>PENDIENTE</v>
      </c>
      <c r="R307" s="102" t="s">
        <v>5081</v>
      </c>
      <c r="S307" s="127" t="s">
        <v>5391</v>
      </c>
    </row>
    <row r="308" spans="1:19">
      <c r="A308" s="93" t="s">
        <v>5379</v>
      </c>
      <c r="B308" s="38" t="s">
        <v>4096</v>
      </c>
      <c r="C308" s="38">
        <v>8600136</v>
      </c>
      <c r="D308" s="74">
        <v>17750243080467</v>
      </c>
      <c r="E308" s="38" t="s">
        <v>2769</v>
      </c>
      <c r="F308" s="38">
        <v>68</v>
      </c>
      <c r="G308" s="38" t="s">
        <v>9</v>
      </c>
      <c r="H308" s="39" t="str">
        <f>_xlfn.XLOOKUP(CRUCE[[#This Row],[Ubicacion]],Registros[Ubicacion],Registros[Codigo], "")</f>
        <v/>
      </c>
      <c r="I308" s="25" t="str">
        <f>_xlfn.XLOOKUP(CRUCE[[#This Row],[Ubicacion]],Registros[Ubicacion],Registros[Total], "")</f>
        <v/>
      </c>
      <c r="J308" s="25" t="str">
        <f>_xlfn.XLOOKUP(CRUCE[[#This Row],[Ubicacion]],Registros[Ubicacion],Registros[UMA], "")</f>
        <v/>
      </c>
      <c r="K308" s="25" t="str">
        <f>IF(CRUCE[[#This Row],[TOTAL]]="","",CRUCE[[#This Row],[TOTAL]]-CRUCE[[#This Row],[BULTOS]])</f>
        <v/>
      </c>
      <c r="L308" s="38" t="str">
        <f>IF(CRUCE[[#This Row],[TOTAL]]="", "PENDIENTE", IF(CRUCE[[#This Row],[Diferencia]]=0, "CUADRADO", IF(CRUCE[[#This Row],[Diferencia]]&gt;0, "SOBRANTE", "FALTANTE")))</f>
        <v>PENDIENTE</v>
      </c>
      <c r="M308" s="71" t="str">
        <f>IF(CRUCE[[#This Row],[Diferencia]]="","",IF(CRUCE[[#This Row],[Diferencia]]=0,"OK","RECONTEO"))</f>
        <v/>
      </c>
      <c r="N308" s="39" t="str">
        <f>_xlfn.XLOOKUP(CRUCE[[#This Row],[Ubicacion]],Registros[Ubicacion],Registros[Codigo], "")</f>
        <v/>
      </c>
      <c r="O308" s="25"/>
      <c r="P308" s="25"/>
      <c r="Q308" s="39" t="str">
        <f>IF(CRUCE[[#This Row],[TOTAL2]]="", "PENDIENTE", IF(CRUCE[[#This Row],[DIFERENCIA2]]=0, "CUADRADO", IF(CRUCE[[#This Row],[DIFERENCIA2]]&gt;0, "SOBRANTE", "FALTANTE")))</f>
        <v>PENDIENTE</v>
      </c>
      <c r="R308" s="103" t="s">
        <v>5081</v>
      </c>
      <c r="S308" s="127" t="s">
        <v>5392</v>
      </c>
    </row>
    <row r="309" spans="1:19">
      <c r="A309" s="92" t="s">
        <v>5379</v>
      </c>
      <c r="B309" s="39" t="s">
        <v>4099</v>
      </c>
      <c r="C309" s="39">
        <v>8600137</v>
      </c>
      <c r="D309" s="73">
        <v>17750243080474</v>
      </c>
      <c r="E309" s="39" t="s">
        <v>2771</v>
      </c>
      <c r="F309" s="39">
        <v>31</v>
      </c>
      <c r="G309" s="39" t="s">
        <v>9</v>
      </c>
      <c r="H309" s="39" t="str">
        <f>_xlfn.XLOOKUP(CRUCE[[#This Row],[Ubicacion]],Registros[Ubicacion],Registros[Codigo], "")</f>
        <v/>
      </c>
      <c r="I309" s="26" t="str">
        <f>_xlfn.XLOOKUP(CRUCE[[#This Row],[Ubicacion]],Registros[Ubicacion],Registros[Total], "")</f>
        <v/>
      </c>
      <c r="J309" s="26" t="str">
        <f>_xlfn.XLOOKUP(CRUCE[[#This Row],[Ubicacion]],Registros[Ubicacion],Registros[UMA], "")</f>
        <v/>
      </c>
      <c r="K309" s="26" t="str">
        <f>IF(CRUCE[[#This Row],[TOTAL]]="","",CRUCE[[#This Row],[TOTAL]]-CRUCE[[#This Row],[BULTOS]])</f>
        <v/>
      </c>
      <c r="L309" s="39" t="str">
        <f>IF(CRUCE[[#This Row],[TOTAL]]="", "PENDIENTE", IF(CRUCE[[#This Row],[Diferencia]]=0, "CUADRADO", IF(CRUCE[[#This Row],[Diferencia]]&gt;0, "SOBRANTE", "FALTANTE")))</f>
        <v>PENDIENTE</v>
      </c>
      <c r="M309" s="72" t="str">
        <f>IF(CRUCE[[#This Row],[Diferencia]]="","",IF(CRUCE[[#This Row],[Diferencia]]=0,"OK","RECONTEO"))</f>
        <v/>
      </c>
      <c r="N309" s="39" t="str">
        <f>_xlfn.XLOOKUP(CRUCE[[#This Row],[Ubicacion]],Registros[Ubicacion],Registros[Codigo], "")</f>
        <v/>
      </c>
      <c r="O309" s="26"/>
      <c r="P309" s="26"/>
      <c r="Q309" s="39" t="str">
        <f>IF(CRUCE[[#This Row],[TOTAL2]]="", "PENDIENTE", IF(CRUCE[[#This Row],[DIFERENCIA2]]=0, "CUADRADO", IF(CRUCE[[#This Row],[DIFERENCIA2]]&gt;0, "SOBRANTE", "FALTANTE")))</f>
        <v>PENDIENTE</v>
      </c>
      <c r="R309" s="102" t="s">
        <v>5081</v>
      </c>
      <c r="S309" s="127" t="s">
        <v>5393</v>
      </c>
    </row>
    <row r="310" spans="1:19">
      <c r="A310" s="93" t="s">
        <v>5379</v>
      </c>
      <c r="B310" s="38" t="s">
        <v>4119</v>
      </c>
      <c r="C310" s="38">
        <v>8600143</v>
      </c>
      <c r="D310" s="74">
        <v>17750243081563</v>
      </c>
      <c r="E310" s="38" t="s">
        <v>2783</v>
      </c>
      <c r="F310" s="38">
        <v>54</v>
      </c>
      <c r="G310" s="38" t="s">
        <v>9</v>
      </c>
      <c r="H310" s="39" t="str">
        <f>_xlfn.XLOOKUP(CRUCE[[#This Row],[Ubicacion]],Registros[Ubicacion],Registros[Codigo], "")</f>
        <v/>
      </c>
      <c r="I310" s="25" t="str">
        <f>_xlfn.XLOOKUP(CRUCE[[#This Row],[Ubicacion]],Registros[Ubicacion],Registros[Total], "")</f>
        <v/>
      </c>
      <c r="J310" s="25" t="str">
        <f>_xlfn.XLOOKUP(CRUCE[[#This Row],[Ubicacion]],Registros[Ubicacion],Registros[UMA], "")</f>
        <v/>
      </c>
      <c r="K310" s="25" t="str">
        <f>IF(CRUCE[[#This Row],[TOTAL]]="","",CRUCE[[#This Row],[TOTAL]]-CRUCE[[#This Row],[BULTOS]])</f>
        <v/>
      </c>
      <c r="L310" s="38" t="str">
        <f>IF(CRUCE[[#This Row],[TOTAL]]="", "PENDIENTE", IF(CRUCE[[#This Row],[Diferencia]]=0, "CUADRADO", IF(CRUCE[[#This Row],[Diferencia]]&gt;0, "SOBRANTE", "FALTANTE")))</f>
        <v>PENDIENTE</v>
      </c>
      <c r="M310" s="71" t="str">
        <f>IF(CRUCE[[#This Row],[Diferencia]]="","",IF(CRUCE[[#This Row],[Diferencia]]=0,"OK","RECONTEO"))</f>
        <v/>
      </c>
      <c r="N310" s="39" t="str">
        <f>_xlfn.XLOOKUP(CRUCE[[#This Row],[Ubicacion]],Registros[Ubicacion],Registros[Codigo], "")</f>
        <v/>
      </c>
      <c r="O310" s="25"/>
      <c r="P310" s="25"/>
      <c r="Q310" s="39" t="str">
        <f>IF(CRUCE[[#This Row],[TOTAL2]]="", "PENDIENTE", IF(CRUCE[[#This Row],[DIFERENCIA2]]=0, "CUADRADO", IF(CRUCE[[#This Row],[DIFERENCIA2]]&gt;0, "SOBRANTE", "FALTANTE")))</f>
        <v>PENDIENTE</v>
      </c>
      <c r="R310" s="103" t="s">
        <v>5081</v>
      </c>
      <c r="S310" s="127" t="s">
        <v>5394</v>
      </c>
    </row>
    <row r="311" spans="1:19">
      <c r="A311" s="92" t="s">
        <v>5379</v>
      </c>
      <c r="B311" s="39" t="s">
        <v>4092</v>
      </c>
      <c r="C311" s="39">
        <v>8600135</v>
      </c>
      <c r="D311" s="73">
        <v>17750243080009</v>
      </c>
      <c r="E311" s="39" t="s">
        <v>2767</v>
      </c>
      <c r="F311" s="39">
        <v>36</v>
      </c>
      <c r="G311" s="39" t="s">
        <v>9</v>
      </c>
      <c r="H311" s="39" t="str">
        <f>_xlfn.XLOOKUP(CRUCE[[#This Row],[Ubicacion]],Registros[Ubicacion],Registros[Codigo], "")</f>
        <v/>
      </c>
      <c r="I311" s="26" t="str">
        <f>_xlfn.XLOOKUP(CRUCE[[#This Row],[Ubicacion]],Registros[Ubicacion],Registros[Total], "")</f>
        <v/>
      </c>
      <c r="J311" s="26" t="str">
        <f>_xlfn.XLOOKUP(CRUCE[[#This Row],[Ubicacion]],Registros[Ubicacion],Registros[UMA], "")</f>
        <v/>
      </c>
      <c r="K311" s="26" t="str">
        <f>IF(CRUCE[[#This Row],[TOTAL]]="","",CRUCE[[#This Row],[TOTAL]]-CRUCE[[#This Row],[BULTOS]])</f>
        <v/>
      </c>
      <c r="L311" s="39" t="str">
        <f>IF(CRUCE[[#This Row],[TOTAL]]="", "PENDIENTE", IF(CRUCE[[#This Row],[Diferencia]]=0, "CUADRADO", IF(CRUCE[[#This Row],[Diferencia]]&gt;0, "SOBRANTE", "FALTANTE")))</f>
        <v>PENDIENTE</v>
      </c>
      <c r="M311" s="72" t="str">
        <f>IF(CRUCE[[#This Row],[Diferencia]]="","",IF(CRUCE[[#This Row],[Diferencia]]=0,"OK","RECONTEO"))</f>
        <v/>
      </c>
      <c r="N311" s="39" t="str">
        <f>_xlfn.XLOOKUP(CRUCE[[#This Row],[Ubicacion]],Registros[Ubicacion],Registros[Codigo], "")</f>
        <v/>
      </c>
      <c r="O311" s="26"/>
      <c r="P311" s="26"/>
      <c r="Q311" s="39" t="str">
        <f>IF(CRUCE[[#This Row],[TOTAL2]]="", "PENDIENTE", IF(CRUCE[[#This Row],[DIFERENCIA2]]=0, "CUADRADO", IF(CRUCE[[#This Row],[DIFERENCIA2]]&gt;0, "SOBRANTE", "FALTANTE")))</f>
        <v>PENDIENTE</v>
      </c>
      <c r="R311" s="102" t="s">
        <v>5081</v>
      </c>
      <c r="S311" s="127" t="s">
        <v>5395</v>
      </c>
    </row>
    <row r="312" spans="1:19">
      <c r="A312" s="93" t="s">
        <v>5379</v>
      </c>
      <c r="B312" s="38" t="s">
        <v>4089</v>
      </c>
      <c r="C312" s="38">
        <v>8600134</v>
      </c>
      <c r="D312" s="74">
        <v>17750243079997</v>
      </c>
      <c r="E312" s="38" t="s">
        <v>2765</v>
      </c>
      <c r="F312" s="38">
        <v>41</v>
      </c>
      <c r="G312" s="38" t="s">
        <v>9</v>
      </c>
      <c r="H312" s="39" t="str">
        <f>_xlfn.XLOOKUP(CRUCE[[#This Row],[Ubicacion]],Registros[Ubicacion],Registros[Codigo], "")</f>
        <v/>
      </c>
      <c r="I312" s="25" t="str">
        <f>_xlfn.XLOOKUP(CRUCE[[#This Row],[Ubicacion]],Registros[Ubicacion],Registros[Total], "")</f>
        <v/>
      </c>
      <c r="J312" s="25" t="str">
        <f>_xlfn.XLOOKUP(CRUCE[[#This Row],[Ubicacion]],Registros[Ubicacion],Registros[UMA], "")</f>
        <v/>
      </c>
      <c r="K312" s="25" t="str">
        <f>IF(CRUCE[[#This Row],[TOTAL]]="","",CRUCE[[#This Row],[TOTAL]]-CRUCE[[#This Row],[BULTOS]])</f>
        <v/>
      </c>
      <c r="L312" s="38" t="str">
        <f>IF(CRUCE[[#This Row],[TOTAL]]="", "PENDIENTE", IF(CRUCE[[#This Row],[Diferencia]]=0, "CUADRADO", IF(CRUCE[[#This Row],[Diferencia]]&gt;0, "SOBRANTE", "FALTANTE")))</f>
        <v>PENDIENTE</v>
      </c>
      <c r="M312" s="71" t="str">
        <f>IF(CRUCE[[#This Row],[Diferencia]]="","",IF(CRUCE[[#This Row],[Diferencia]]=0,"OK","RECONTEO"))</f>
        <v/>
      </c>
      <c r="N312" s="39" t="str">
        <f>_xlfn.XLOOKUP(CRUCE[[#This Row],[Ubicacion]],Registros[Ubicacion],Registros[Codigo], "")</f>
        <v/>
      </c>
      <c r="O312" s="25"/>
      <c r="P312" s="25"/>
      <c r="Q312" s="39" t="str">
        <f>IF(CRUCE[[#This Row],[TOTAL2]]="", "PENDIENTE", IF(CRUCE[[#This Row],[DIFERENCIA2]]=0, "CUADRADO", IF(CRUCE[[#This Row],[DIFERENCIA2]]&gt;0, "SOBRANTE", "FALTANTE")))</f>
        <v>PENDIENTE</v>
      </c>
      <c r="R312" s="103" t="s">
        <v>5081</v>
      </c>
      <c r="S312" s="127" t="s">
        <v>5396</v>
      </c>
    </row>
    <row r="313" spans="1:19">
      <c r="A313" s="92" t="s">
        <v>5379</v>
      </c>
      <c r="B313" s="39" t="s">
        <v>4113</v>
      </c>
      <c r="C313" s="39">
        <v>8600141</v>
      </c>
      <c r="D313" s="73">
        <v>17750243080726</v>
      </c>
      <c r="E313" s="39" t="s">
        <v>2779</v>
      </c>
      <c r="F313" s="39">
        <v>35</v>
      </c>
      <c r="G313" s="39" t="s">
        <v>9</v>
      </c>
      <c r="H313" s="39" t="str">
        <f>_xlfn.XLOOKUP(CRUCE[[#This Row],[Ubicacion]],Registros[Ubicacion],Registros[Codigo], "")</f>
        <v/>
      </c>
      <c r="I313" s="26" t="str">
        <f>_xlfn.XLOOKUP(CRUCE[[#This Row],[Ubicacion]],Registros[Ubicacion],Registros[Total], "")</f>
        <v/>
      </c>
      <c r="J313" s="26" t="str">
        <f>_xlfn.XLOOKUP(CRUCE[[#This Row],[Ubicacion]],Registros[Ubicacion],Registros[UMA], "")</f>
        <v/>
      </c>
      <c r="K313" s="26" t="str">
        <f>IF(CRUCE[[#This Row],[TOTAL]]="","",CRUCE[[#This Row],[TOTAL]]-CRUCE[[#This Row],[BULTOS]])</f>
        <v/>
      </c>
      <c r="L313" s="39" t="str">
        <f>IF(CRUCE[[#This Row],[TOTAL]]="", "PENDIENTE", IF(CRUCE[[#This Row],[Diferencia]]=0, "CUADRADO", IF(CRUCE[[#This Row],[Diferencia]]&gt;0, "SOBRANTE", "FALTANTE")))</f>
        <v>PENDIENTE</v>
      </c>
      <c r="M313" s="72" t="str">
        <f>IF(CRUCE[[#This Row],[Diferencia]]="","",IF(CRUCE[[#This Row],[Diferencia]]=0,"OK","RECONTEO"))</f>
        <v/>
      </c>
      <c r="N313" s="39" t="str">
        <f>_xlfn.XLOOKUP(CRUCE[[#This Row],[Ubicacion]],Registros[Ubicacion],Registros[Codigo], "")</f>
        <v/>
      </c>
      <c r="O313" s="26"/>
      <c r="P313" s="26"/>
      <c r="Q313" s="39" t="str">
        <f>IF(CRUCE[[#This Row],[TOTAL2]]="", "PENDIENTE", IF(CRUCE[[#This Row],[DIFERENCIA2]]=0, "CUADRADO", IF(CRUCE[[#This Row],[DIFERENCIA2]]&gt;0, "SOBRANTE", "FALTANTE")))</f>
        <v>PENDIENTE</v>
      </c>
      <c r="R313" s="102" t="s">
        <v>5081</v>
      </c>
      <c r="S313" s="127" t="s">
        <v>5397</v>
      </c>
    </row>
    <row r="314" spans="1:19">
      <c r="A314" s="93" t="s">
        <v>5379</v>
      </c>
      <c r="B314" s="38" t="s">
        <v>3556</v>
      </c>
      <c r="C314" s="38">
        <v>8315061</v>
      </c>
      <c r="D314" s="74">
        <v>17751851020050</v>
      </c>
      <c r="E314" s="38" t="s">
        <v>843</v>
      </c>
      <c r="F314" s="38">
        <v>24</v>
      </c>
      <c r="G314" s="38" t="s">
        <v>9</v>
      </c>
      <c r="H314" s="39" t="str">
        <f>_xlfn.XLOOKUP(CRUCE[[#This Row],[Ubicacion]],Registros[Ubicacion],Registros[Codigo], "")</f>
        <v/>
      </c>
      <c r="I314" s="25" t="str">
        <f>_xlfn.XLOOKUP(CRUCE[[#This Row],[Ubicacion]],Registros[Ubicacion],Registros[Total], "")</f>
        <v/>
      </c>
      <c r="J314" s="25" t="str">
        <f>_xlfn.XLOOKUP(CRUCE[[#This Row],[Ubicacion]],Registros[Ubicacion],Registros[UMA], "")</f>
        <v/>
      </c>
      <c r="K314" s="25" t="str">
        <f>IF(CRUCE[[#This Row],[TOTAL]]="","",CRUCE[[#This Row],[TOTAL]]-CRUCE[[#This Row],[BULTOS]])</f>
        <v/>
      </c>
      <c r="L314" s="38" t="str">
        <f>IF(CRUCE[[#This Row],[TOTAL]]="", "PENDIENTE", IF(CRUCE[[#This Row],[Diferencia]]=0, "CUADRADO", IF(CRUCE[[#This Row],[Diferencia]]&gt;0, "SOBRANTE", "FALTANTE")))</f>
        <v>PENDIENTE</v>
      </c>
      <c r="M314" s="71" t="str">
        <f>IF(CRUCE[[#This Row],[Diferencia]]="","",IF(CRUCE[[#This Row],[Diferencia]]=0,"OK","RECONTEO"))</f>
        <v/>
      </c>
      <c r="N314" s="39" t="str">
        <f>_xlfn.XLOOKUP(CRUCE[[#This Row],[Ubicacion]],Registros[Ubicacion],Registros[Codigo], "")</f>
        <v/>
      </c>
      <c r="O314" s="25"/>
      <c r="P314" s="25"/>
      <c r="Q314" s="39" t="str">
        <f>IF(CRUCE[[#This Row],[TOTAL2]]="", "PENDIENTE", IF(CRUCE[[#This Row],[DIFERENCIA2]]=0, "CUADRADO", IF(CRUCE[[#This Row],[DIFERENCIA2]]&gt;0, "SOBRANTE", "FALTANTE")))</f>
        <v>PENDIENTE</v>
      </c>
      <c r="R314" s="103" t="s">
        <v>5081</v>
      </c>
      <c r="S314" s="127" t="s">
        <v>5398</v>
      </c>
    </row>
    <row r="315" spans="1:19">
      <c r="A315" s="92" t="s">
        <v>5379</v>
      </c>
      <c r="B315" s="39" t="s">
        <v>3541</v>
      </c>
      <c r="C315" s="39">
        <v>8315044</v>
      </c>
      <c r="D315" s="73">
        <v>17751851020067</v>
      </c>
      <c r="E315" s="39" t="s">
        <v>825</v>
      </c>
      <c r="F315" s="39">
        <v>37</v>
      </c>
      <c r="G315" s="39" t="s">
        <v>9</v>
      </c>
      <c r="H315" s="39" t="str">
        <f>_xlfn.XLOOKUP(CRUCE[[#This Row],[Ubicacion]],Registros[Ubicacion],Registros[Codigo], "")</f>
        <v/>
      </c>
      <c r="I315" s="26" t="str">
        <f>_xlfn.XLOOKUP(CRUCE[[#This Row],[Ubicacion]],Registros[Ubicacion],Registros[Total], "")</f>
        <v/>
      </c>
      <c r="J315" s="26" t="str">
        <f>_xlfn.XLOOKUP(CRUCE[[#This Row],[Ubicacion]],Registros[Ubicacion],Registros[UMA], "")</f>
        <v/>
      </c>
      <c r="K315" s="26" t="str">
        <f>IF(CRUCE[[#This Row],[TOTAL]]="","",CRUCE[[#This Row],[TOTAL]]-CRUCE[[#This Row],[BULTOS]])</f>
        <v/>
      </c>
      <c r="L315" s="39" t="str">
        <f>IF(CRUCE[[#This Row],[TOTAL]]="", "PENDIENTE", IF(CRUCE[[#This Row],[Diferencia]]=0, "CUADRADO", IF(CRUCE[[#This Row],[Diferencia]]&gt;0, "SOBRANTE", "FALTANTE")))</f>
        <v>PENDIENTE</v>
      </c>
      <c r="M315" s="72" t="str">
        <f>IF(CRUCE[[#This Row],[Diferencia]]="","",IF(CRUCE[[#This Row],[Diferencia]]=0,"OK","RECONTEO"))</f>
        <v/>
      </c>
      <c r="N315" s="39" t="str">
        <f>_xlfn.XLOOKUP(CRUCE[[#This Row],[Ubicacion]],Registros[Ubicacion],Registros[Codigo], "")</f>
        <v/>
      </c>
      <c r="O315" s="26"/>
      <c r="P315" s="26"/>
      <c r="Q315" s="39" t="str">
        <f>IF(CRUCE[[#This Row],[TOTAL2]]="", "PENDIENTE", IF(CRUCE[[#This Row],[DIFERENCIA2]]=0, "CUADRADO", IF(CRUCE[[#This Row],[DIFERENCIA2]]&gt;0, "SOBRANTE", "FALTANTE")))</f>
        <v>PENDIENTE</v>
      </c>
      <c r="R315" s="102" t="s">
        <v>5081</v>
      </c>
      <c r="S315" s="127" t="s">
        <v>5399</v>
      </c>
    </row>
    <row r="316" spans="1:19">
      <c r="A316" s="93" t="s">
        <v>5379</v>
      </c>
      <c r="B316" s="38" t="s">
        <v>3595</v>
      </c>
      <c r="C316" s="38">
        <v>8316036</v>
      </c>
      <c r="D316" s="74">
        <v>17751851008591</v>
      </c>
      <c r="E316" s="38" t="s">
        <v>925</v>
      </c>
      <c r="F316" s="38">
        <v>24</v>
      </c>
      <c r="G316" s="38" t="s">
        <v>9</v>
      </c>
      <c r="H316" s="39" t="str">
        <f>_xlfn.XLOOKUP(CRUCE[[#This Row],[Ubicacion]],Registros[Ubicacion],Registros[Codigo], "")</f>
        <v/>
      </c>
      <c r="I316" s="25" t="str">
        <f>_xlfn.XLOOKUP(CRUCE[[#This Row],[Ubicacion]],Registros[Ubicacion],Registros[Total], "")</f>
        <v/>
      </c>
      <c r="J316" s="25" t="str">
        <f>_xlfn.XLOOKUP(CRUCE[[#This Row],[Ubicacion]],Registros[Ubicacion],Registros[UMA], "")</f>
        <v/>
      </c>
      <c r="K316" s="25" t="str">
        <f>IF(CRUCE[[#This Row],[TOTAL]]="","",CRUCE[[#This Row],[TOTAL]]-CRUCE[[#This Row],[BULTOS]])</f>
        <v/>
      </c>
      <c r="L316" s="38" t="str">
        <f>IF(CRUCE[[#This Row],[TOTAL]]="", "PENDIENTE", IF(CRUCE[[#This Row],[Diferencia]]=0, "CUADRADO", IF(CRUCE[[#This Row],[Diferencia]]&gt;0, "SOBRANTE", "FALTANTE")))</f>
        <v>PENDIENTE</v>
      </c>
      <c r="M316" s="71" t="str">
        <f>IF(CRUCE[[#This Row],[Diferencia]]="","",IF(CRUCE[[#This Row],[Diferencia]]=0,"OK","RECONTEO"))</f>
        <v/>
      </c>
      <c r="N316" s="39" t="str">
        <f>_xlfn.XLOOKUP(CRUCE[[#This Row],[Ubicacion]],Registros[Ubicacion],Registros[Codigo], "")</f>
        <v/>
      </c>
      <c r="O316" s="25"/>
      <c r="P316" s="25"/>
      <c r="Q316" s="39" t="str">
        <f>IF(CRUCE[[#This Row],[TOTAL2]]="", "PENDIENTE", IF(CRUCE[[#This Row],[DIFERENCIA2]]=0, "CUADRADO", IF(CRUCE[[#This Row],[DIFERENCIA2]]&gt;0, "SOBRANTE", "FALTANTE")))</f>
        <v>PENDIENTE</v>
      </c>
      <c r="R316" s="103" t="s">
        <v>5081</v>
      </c>
      <c r="S316" s="127" t="s">
        <v>5400</v>
      </c>
    </row>
    <row r="317" spans="1:19">
      <c r="A317" s="92" t="s">
        <v>5379</v>
      </c>
      <c r="B317" s="39" t="s">
        <v>3410</v>
      </c>
      <c r="C317" s="39">
        <v>8305366</v>
      </c>
      <c r="D317" s="73">
        <v>27750243087043</v>
      </c>
      <c r="E317" s="39" t="s">
        <v>571</v>
      </c>
      <c r="F317" s="39">
        <v>18</v>
      </c>
      <c r="G317" s="39" t="s">
        <v>9</v>
      </c>
      <c r="H317" s="39" t="str">
        <f>_xlfn.XLOOKUP(CRUCE[[#This Row],[Ubicacion]],Registros[Ubicacion],Registros[Codigo], "")</f>
        <v/>
      </c>
      <c r="I317" s="26" t="str">
        <f>_xlfn.XLOOKUP(CRUCE[[#This Row],[Ubicacion]],Registros[Ubicacion],Registros[Total], "")</f>
        <v/>
      </c>
      <c r="J317" s="26" t="str">
        <f>_xlfn.XLOOKUP(CRUCE[[#This Row],[Ubicacion]],Registros[Ubicacion],Registros[UMA], "")</f>
        <v/>
      </c>
      <c r="K317" s="26" t="str">
        <f>IF(CRUCE[[#This Row],[TOTAL]]="","",CRUCE[[#This Row],[TOTAL]]-CRUCE[[#This Row],[BULTOS]])</f>
        <v/>
      </c>
      <c r="L317" s="39" t="str">
        <f>IF(CRUCE[[#This Row],[TOTAL]]="", "PENDIENTE", IF(CRUCE[[#This Row],[Diferencia]]=0, "CUADRADO", IF(CRUCE[[#This Row],[Diferencia]]&gt;0, "SOBRANTE", "FALTANTE")))</f>
        <v>PENDIENTE</v>
      </c>
      <c r="M317" s="72" t="str">
        <f>IF(CRUCE[[#This Row],[Diferencia]]="","",IF(CRUCE[[#This Row],[Diferencia]]=0,"OK","RECONTEO"))</f>
        <v/>
      </c>
      <c r="N317" s="39" t="str">
        <f>_xlfn.XLOOKUP(CRUCE[[#This Row],[Ubicacion]],Registros[Ubicacion],Registros[Codigo], "")</f>
        <v/>
      </c>
      <c r="O317" s="26"/>
      <c r="P317" s="26"/>
      <c r="Q317" s="39" t="str">
        <f>IF(CRUCE[[#This Row],[TOTAL2]]="", "PENDIENTE", IF(CRUCE[[#This Row],[DIFERENCIA2]]=0, "CUADRADO", IF(CRUCE[[#This Row],[DIFERENCIA2]]&gt;0, "SOBRANTE", "FALTANTE")))</f>
        <v>PENDIENTE</v>
      </c>
      <c r="R317" s="102" t="s">
        <v>5081</v>
      </c>
      <c r="S317" s="127" t="s">
        <v>5401</v>
      </c>
    </row>
    <row r="318" spans="1:19">
      <c r="A318" s="93" t="s">
        <v>5379</v>
      </c>
      <c r="B318" s="38" t="s">
        <v>3355</v>
      </c>
      <c r="C318" s="38">
        <v>8305337</v>
      </c>
      <c r="D318" s="74">
        <v>17750243085431</v>
      </c>
      <c r="E318" s="38" t="s">
        <v>521</v>
      </c>
      <c r="F318" s="38">
        <v>42</v>
      </c>
      <c r="G318" s="38" t="s">
        <v>9</v>
      </c>
      <c r="H318" s="39" t="str">
        <f>_xlfn.XLOOKUP(CRUCE[[#This Row],[Ubicacion]],Registros[Ubicacion],Registros[Codigo], "")</f>
        <v/>
      </c>
      <c r="I318" s="25" t="str">
        <f>_xlfn.XLOOKUP(CRUCE[[#This Row],[Ubicacion]],Registros[Ubicacion],Registros[Total], "")</f>
        <v/>
      </c>
      <c r="J318" s="25" t="str">
        <f>_xlfn.XLOOKUP(CRUCE[[#This Row],[Ubicacion]],Registros[Ubicacion],Registros[UMA], "")</f>
        <v/>
      </c>
      <c r="K318" s="25" t="str">
        <f>IF(CRUCE[[#This Row],[TOTAL]]="","",CRUCE[[#This Row],[TOTAL]]-CRUCE[[#This Row],[BULTOS]])</f>
        <v/>
      </c>
      <c r="L318" s="38" t="str">
        <f>IF(CRUCE[[#This Row],[TOTAL]]="", "PENDIENTE", IF(CRUCE[[#This Row],[Diferencia]]=0, "CUADRADO", IF(CRUCE[[#This Row],[Diferencia]]&gt;0, "SOBRANTE", "FALTANTE")))</f>
        <v>PENDIENTE</v>
      </c>
      <c r="M318" s="71" t="str">
        <f>IF(CRUCE[[#This Row],[Diferencia]]="","",IF(CRUCE[[#This Row],[Diferencia]]=0,"OK","RECONTEO"))</f>
        <v/>
      </c>
      <c r="N318" s="39" t="str">
        <f>_xlfn.XLOOKUP(CRUCE[[#This Row],[Ubicacion]],Registros[Ubicacion],Registros[Codigo], "")</f>
        <v/>
      </c>
      <c r="O318" s="25"/>
      <c r="P318" s="25"/>
      <c r="Q318" s="39" t="str">
        <f>IF(CRUCE[[#This Row],[TOTAL2]]="", "PENDIENTE", IF(CRUCE[[#This Row],[DIFERENCIA2]]=0, "CUADRADO", IF(CRUCE[[#This Row],[DIFERENCIA2]]&gt;0, "SOBRANTE", "FALTANTE")))</f>
        <v>PENDIENTE</v>
      </c>
      <c r="R318" s="103" t="s">
        <v>5081</v>
      </c>
      <c r="S318" s="127" t="s">
        <v>5402</v>
      </c>
    </row>
    <row r="319" spans="1:19">
      <c r="A319" s="92" t="s">
        <v>5379</v>
      </c>
      <c r="B319" s="39" t="s">
        <v>3303</v>
      </c>
      <c r="C319" s="39">
        <v>8305274</v>
      </c>
      <c r="D319" s="73">
        <v>37751851010765</v>
      </c>
      <c r="E319" s="39" t="s">
        <v>442</v>
      </c>
      <c r="F319" s="39">
        <v>60</v>
      </c>
      <c r="G319" s="39" t="s">
        <v>9</v>
      </c>
      <c r="H319" s="39" t="str">
        <f>_xlfn.XLOOKUP(CRUCE[[#This Row],[Ubicacion]],Registros[Ubicacion],Registros[Codigo], "")</f>
        <v/>
      </c>
      <c r="I319" s="26" t="str">
        <f>_xlfn.XLOOKUP(CRUCE[[#This Row],[Ubicacion]],Registros[Ubicacion],Registros[Total], "")</f>
        <v/>
      </c>
      <c r="J319" s="26" t="str">
        <f>_xlfn.XLOOKUP(CRUCE[[#This Row],[Ubicacion]],Registros[Ubicacion],Registros[UMA], "")</f>
        <v/>
      </c>
      <c r="K319" s="26" t="str">
        <f>IF(CRUCE[[#This Row],[TOTAL]]="","",CRUCE[[#This Row],[TOTAL]]-CRUCE[[#This Row],[BULTOS]])</f>
        <v/>
      </c>
      <c r="L319" s="39" t="str">
        <f>IF(CRUCE[[#This Row],[TOTAL]]="", "PENDIENTE", IF(CRUCE[[#This Row],[Diferencia]]=0, "CUADRADO", IF(CRUCE[[#This Row],[Diferencia]]&gt;0, "SOBRANTE", "FALTANTE")))</f>
        <v>PENDIENTE</v>
      </c>
      <c r="M319" s="72" t="str">
        <f>IF(CRUCE[[#This Row],[Diferencia]]="","",IF(CRUCE[[#This Row],[Diferencia]]=0,"OK","RECONTEO"))</f>
        <v/>
      </c>
      <c r="N319" s="39" t="str">
        <f>_xlfn.XLOOKUP(CRUCE[[#This Row],[Ubicacion]],Registros[Ubicacion],Registros[Codigo], "")</f>
        <v/>
      </c>
      <c r="O319" s="26"/>
      <c r="P319" s="26"/>
      <c r="Q319" s="39" t="str">
        <f>IF(CRUCE[[#This Row],[TOTAL2]]="", "PENDIENTE", IF(CRUCE[[#This Row],[DIFERENCIA2]]=0, "CUADRADO", IF(CRUCE[[#This Row],[DIFERENCIA2]]&gt;0, "SOBRANTE", "FALTANTE")))</f>
        <v>PENDIENTE</v>
      </c>
      <c r="R319" s="102" t="s">
        <v>5081</v>
      </c>
      <c r="S319" s="127" t="s">
        <v>5403</v>
      </c>
    </row>
    <row r="320" spans="1:19">
      <c r="A320" s="93" t="s">
        <v>5379</v>
      </c>
      <c r="B320" s="38" t="s">
        <v>3306</v>
      </c>
      <c r="C320" s="38">
        <v>8305274</v>
      </c>
      <c r="D320" s="74">
        <v>37751851010765</v>
      </c>
      <c r="E320" s="38" t="s">
        <v>442</v>
      </c>
      <c r="F320" s="38">
        <v>60</v>
      </c>
      <c r="G320" s="38" t="s">
        <v>9</v>
      </c>
      <c r="H320" s="39" t="str">
        <f>_xlfn.XLOOKUP(CRUCE[[#This Row],[Ubicacion]],Registros[Ubicacion],Registros[Codigo], "")</f>
        <v/>
      </c>
      <c r="I320" s="25" t="str">
        <f>_xlfn.XLOOKUP(CRUCE[[#This Row],[Ubicacion]],Registros[Ubicacion],Registros[Total], "")</f>
        <v/>
      </c>
      <c r="J320" s="25" t="str">
        <f>_xlfn.XLOOKUP(CRUCE[[#This Row],[Ubicacion]],Registros[Ubicacion],Registros[UMA], "")</f>
        <v/>
      </c>
      <c r="K320" s="25" t="str">
        <f>IF(CRUCE[[#This Row],[TOTAL]]="","",CRUCE[[#This Row],[TOTAL]]-CRUCE[[#This Row],[BULTOS]])</f>
        <v/>
      </c>
      <c r="L320" s="38" t="str">
        <f>IF(CRUCE[[#This Row],[TOTAL]]="", "PENDIENTE", IF(CRUCE[[#This Row],[Diferencia]]=0, "CUADRADO", IF(CRUCE[[#This Row],[Diferencia]]&gt;0, "SOBRANTE", "FALTANTE")))</f>
        <v>PENDIENTE</v>
      </c>
      <c r="M320" s="71" t="str">
        <f>IF(CRUCE[[#This Row],[Diferencia]]="","",IF(CRUCE[[#This Row],[Diferencia]]=0,"OK","RECONTEO"))</f>
        <v/>
      </c>
      <c r="N320" s="39" t="str">
        <f>_xlfn.XLOOKUP(CRUCE[[#This Row],[Ubicacion]],Registros[Ubicacion],Registros[Codigo], "")</f>
        <v/>
      </c>
      <c r="O320" s="25"/>
      <c r="P320" s="25"/>
      <c r="Q320" s="39" t="str">
        <f>IF(CRUCE[[#This Row],[TOTAL2]]="", "PENDIENTE", IF(CRUCE[[#This Row],[DIFERENCIA2]]=0, "CUADRADO", IF(CRUCE[[#This Row],[DIFERENCIA2]]&gt;0, "SOBRANTE", "FALTANTE")))</f>
        <v>PENDIENTE</v>
      </c>
      <c r="R320" s="103" t="s">
        <v>5081</v>
      </c>
      <c r="S320" s="127" t="s">
        <v>5404</v>
      </c>
    </row>
    <row r="321" spans="1:19">
      <c r="A321" s="92" t="s">
        <v>5379</v>
      </c>
      <c r="B321" s="39" t="s">
        <v>3317</v>
      </c>
      <c r="C321" s="39">
        <v>8305290</v>
      </c>
      <c r="D321" s="73">
        <v>37751851010789</v>
      </c>
      <c r="E321" s="39" t="s">
        <v>462</v>
      </c>
      <c r="F321" s="39">
        <v>38</v>
      </c>
      <c r="G321" s="39" t="s">
        <v>9</v>
      </c>
      <c r="H321" s="39" t="str">
        <f>_xlfn.XLOOKUP(CRUCE[[#This Row],[Ubicacion]],Registros[Ubicacion],Registros[Codigo], "")</f>
        <v/>
      </c>
      <c r="I321" s="26" t="str">
        <f>_xlfn.XLOOKUP(CRUCE[[#This Row],[Ubicacion]],Registros[Ubicacion],Registros[Total], "")</f>
        <v/>
      </c>
      <c r="J321" s="26" t="str">
        <f>_xlfn.XLOOKUP(CRUCE[[#This Row],[Ubicacion]],Registros[Ubicacion],Registros[UMA], "")</f>
        <v/>
      </c>
      <c r="K321" s="26" t="str">
        <f>IF(CRUCE[[#This Row],[TOTAL]]="","",CRUCE[[#This Row],[TOTAL]]-CRUCE[[#This Row],[BULTOS]])</f>
        <v/>
      </c>
      <c r="L321" s="39" t="str">
        <f>IF(CRUCE[[#This Row],[TOTAL]]="", "PENDIENTE", IF(CRUCE[[#This Row],[Diferencia]]=0, "CUADRADO", IF(CRUCE[[#This Row],[Diferencia]]&gt;0, "SOBRANTE", "FALTANTE")))</f>
        <v>PENDIENTE</v>
      </c>
      <c r="M321" s="72" t="str">
        <f>IF(CRUCE[[#This Row],[Diferencia]]="","",IF(CRUCE[[#This Row],[Diferencia]]=0,"OK","RECONTEO"))</f>
        <v/>
      </c>
      <c r="N321" s="39" t="str">
        <f>_xlfn.XLOOKUP(CRUCE[[#This Row],[Ubicacion]],Registros[Ubicacion],Registros[Codigo], "")</f>
        <v/>
      </c>
      <c r="O321" s="26"/>
      <c r="P321" s="26"/>
      <c r="Q321" s="39" t="str">
        <f>IF(CRUCE[[#This Row],[TOTAL2]]="", "PENDIENTE", IF(CRUCE[[#This Row],[DIFERENCIA2]]=0, "CUADRADO", IF(CRUCE[[#This Row],[DIFERENCIA2]]&gt;0, "SOBRANTE", "FALTANTE")))</f>
        <v>PENDIENTE</v>
      </c>
      <c r="R321" s="102" t="s">
        <v>5081</v>
      </c>
      <c r="S321" s="127" t="s">
        <v>5405</v>
      </c>
    </row>
    <row r="322" spans="1:19">
      <c r="A322" s="93" t="s">
        <v>5379</v>
      </c>
      <c r="B322" s="38" t="s">
        <v>3634</v>
      </c>
      <c r="C322" s="38">
        <v>8317048</v>
      </c>
      <c r="D322" s="74">
        <v>17751851033340</v>
      </c>
      <c r="E322" s="38" t="s">
        <v>1015</v>
      </c>
      <c r="F322" s="38">
        <v>32</v>
      </c>
      <c r="G322" s="38" t="s">
        <v>9</v>
      </c>
      <c r="H322" s="39" t="str">
        <f>_xlfn.XLOOKUP(CRUCE[[#This Row],[Ubicacion]],Registros[Ubicacion],Registros[Codigo], "")</f>
        <v/>
      </c>
      <c r="I322" s="25" t="str">
        <f>_xlfn.XLOOKUP(CRUCE[[#This Row],[Ubicacion]],Registros[Ubicacion],Registros[Total], "")</f>
        <v/>
      </c>
      <c r="J322" s="25" t="str">
        <f>_xlfn.XLOOKUP(CRUCE[[#This Row],[Ubicacion]],Registros[Ubicacion],Registros[UMA], "")</f>
        <v/>
      </c>
      <c r="K322" s="25" t="str">
        <f>IF(CRUCE[[#This Row],[TOTAL]]="","",CRUCE[[#This Row],[TOTAL]]-CRUCE[[#This Row],[BULTOS]])</f>
        <v/>
      </c>
      <c r="L322" s="38" t="str">
        <f>IF(CRUCE[[#This Row],[TOTAL]]="", "PENDIENTE", IF(CRUCE[[#This Row],[Diferencia]]=0, "CUADRADO", IF(CRUCE[[#This Row],[Diferencia]]&gt;0, "SOBRANTE", "FALTANTE")))</f>
        <v>PENDIENTE</v>
      </c>
      <c r="M322" s="71" t="str">
        <f>IF(CRUCE[[#This Row],[Diferencia]]="","",IF(CRUCE[[#This Row],[Diferencia]]=0,"OK","RECONTEO"))</f>
        <v/>
      </c>
      <c r="N322" s="39" t="str">
        <f>_xlfn.XLOOKUP(CRUCE[[#This Row],[Ubicacion]],Registros[Ubicacion],Registros[Codigo], "")</f>
        <v/>
      </c>
      <c r="O322" s="25"/>
      <c r="P322" s="25"/>
      <c r="Q322" s="39" t="str">
        <f>IF(CRUCE[[#This Row],[TOTAL2]]="", "PENDIENTE", IF(CRUCE[[#This Row],[DIFERENCIA2]]=0, "CUADRADO", IF(CRUCE[[#This Row],[DIFERENCIA2]]&gt;0, "SOBRANTE", "FALTANTE")))</f>
        <v>PENDIENTE</v>
      </c>
      <c r="R322" s="103" t="s">
        <v>5081</v>
      </c>
      <c r="S322" s="127" t="s">
        <v>5406</v>
      </c>
    </row>
    <row r="323" spans="1:19">
      <c r="A323" s="92" t="s">
        <v>5379</v>
      </c>
      <c r="B323" s="39" t="s">
        <v>3632</v>
      </c>
      <c r="C323" s="39">
        <v>8317047</v>
      </c>
      <c r="D323" s="73">
        <v>17751851033333</v>
      </c>
      <c r="E323" s="39" t="s">
        <v>1013</v>
      </c>
      <c r="F323" s="39">
        <v>1</v>
      </c>
      <c r="G323" s="39" t="s">
        <v>9</v>
      </c>
      <c r="H323" s="39" t="str">
        <f>_xlfn.XLOOKUP(CRUCE[[#This Row],[Ubicacion]],Registros[Ubicacion],Registros[Codigo], "")</f>
        <v/>
      </c>
      <c r="I323" s="26" t="str">
        <f>_xlfn.XLOOKUP(CRUCE[[#This Row],[Ubicacion]],Registros[Ubicacion],Registros[Total], "")</f>
        <v/>
      </c>
      <c r="J323" s="26" t="str">
        <f>_xlfn.XLOOKUP(CRUCE[[#This Row],[Ubicacion]],Registros[Ubicacion],Registros[UMA], "")</f>
        <v/>
      </c>
      <c r="K323" s="26" t="str">
        <f>IF(CRUCE[[#This Row],[TOTAL]]="","",CRUCE[[#This Row],[TOTAL]]-CRUCE[[#This Row],[BULTOS]])</f>
        <v/>
      </c>
      <c r="L323" s="39" t="str">
        <f>IF(CRUCE[[#This Row],[TOTAL]]="", "PENDIENTE", IF(CRUCE[[#This Row],[Diferencia]]=0, "CUADRADO", IF(CRUCE[[#This Row],[Diferencia]]&gt;0, "SOBRANTE", "FALTANTE")))</f>
        <v>PENDIENTE</v>
      </c>
      <c r="M323" s="72" t="str">
        <f>IF(CRUCE[[#This Row],[Diferencia]]="","",IF(CRUCE[[#This Row],[Diferencia]]=0,"OK","RECONTEO"))</f>
        <v/>
      </c>
      <c r="N323" s="39" t="str">
        <f>_xlfn.XLOOKUP(CRUCE[[#This Row],[Ubicacion]],Registros[Ubicacion],Registros[Codigo], "")</f>
        <v/>
      </c>
      <c r="O323" s="26"/>
      <c r="P323" s="26"/>
      <c r="Q323" s="39" t="str">
        <f>IF(CRUCE[[#This Row],[TOTAL2]]="", "PENDIENTE", IF(CRUCE[[#This Row],[DIFERENCIA2]]=0, "CUADRADO", IF(CRUCE[[#This Row],[DIFERENCIA2]]&gt;0, "SOBRANTE", "FALTANTE")))</f>
        <v>PENDIENTE</v>
      </c>
      <c r="R323" s="102" t="s">
        <v>5081</v>
      </c>
      <c r="S323" s="127" t="s">
        <v>5407</v>
      </c>
    </row>
    <row r="324" spans="1:19">
      <c r="A324" s="93" t="s">
        <v>5379</v>
      </c>
      <c r="B324" s="38" t="s">
        <v>3630</v>
      </c>
      <c r="C324" s="38">
        <v>8317046</v>
      </c>
      <c r="D324" s="74">
        <v>17751851033326</v>
      </c>
      <c r="E324" s="38" t="s">
        <v>1011</v>
      </c>
      <c r="F324" s="38">
        <v>36</v>
      </c>
      <c r="G324" s="38" t="s">
        <v>9</v>
      </c>
      <c r="H324" s="39" t="str">
        <f>_xlfn.XLOOKUP(CRUCE[[#This Row],[Ubicacion]],Registros[Ubicacion],Registros[Codigo], "")</f>
        <v/>
      </c>
      <c r="I324" s="25" t="str">
        <f>_xlfn.XLOOKUP(CRUCE[[#This Row],[Ubicacion]],Registros[Ubicacion],Registros[Total], "")</f>
        <v/>
      </c>
      <c r="J324" s="25" t="str">
        <f>_xlfn.XLOOKUP(CRUCE[[#This Row],[Ubicacion]],Registros[Ubicacion],Registros[UMA], "")</f>
        <v/>
      </c>
      <c r="K324" s="25" t="str">
        <f>IF(CRUCE[[#This Row],[TOTAL]]="","",CRUCE[[#This Row],[TOTAL]]-CRUCE[[#This Row],[BULTOS]])</f>
        <v/>
      </c>
      <c r="L324" s="38" t="str">
        <f>IF(CRUCE[[#This Row],[TOTAL]]="", "PENDIENTE", IF(CRUCE[[#This Row],[Diferencia]]=0, "CUADRADO", IF(CRUCE[[#This Row],[Diferencia]]&gt;0, "SOBRANTE", "FALTANTE")))</f>
        <v>PENDIENTE</v>
      </c>
      <c r="M324" s="71" t="str">
        <f>IF(CRUCE[[#This Row],[Diferencia]]="","",IF(CRUCE[[#This Row],[Diferencia]]=0,"OK","RECONTEO"))</f>
        <v/>
      </c>
      <c r="N324" s="39" t="str">
        <f>_xlfn.XLOOKUP(CRUCE[[#This Row],[Ubicacion]],Registros[Ubicacion],Registros[Codigo], "")</f>
        <v/>
      </c>
      <c r="O324" s="25"/>
      <c r="P324" s="25"/>
      <c r="Q324" s="39" t="str">
        <f>IF(CRUCE[[#This Row],[TOTAL2]]="", "PENDIENTE", IF(CRUCE[[#This Row],[DIFERENCIA2]]=0, "CUADRADO", IF(CRUCE[[#This Row],[DIFERENCIA2]]&gt;0, "SOBRANTE", "FALTANTE")))</f>
        <v>PENDIENTE</v>
      </c>
      <c r="R324" s="103" t="s">
        <v>5081</v>
      </c>
      <c r="S324" s="127" t="s">
        <v>5408</v>
      </c>
    </row>
    <row r="325" spans="1:19">
      <c r="A325" s="92" t="s">
        <v>5379</v>
      </c>
      <c r="B325" s="39" t="s">
        <v>3850</v>
      </c>
      <c r="C325" s="39">
        <v>8400701</v>
      </c>
      <c r="D325" s="73">
        <v>27750243085018</v>
      </c>
      <c r="E325" s="39" t="s">
        <v>2106</v>
      </c>
      <c r="F325" s="39">
        <v>36</v>
      </c>
      <c r="G325" s="39" t="s">
        <v>9</v>
      </c>
      <c r="H325" s="39" t="str">
        <f>_xlfn.XLOOKUP(CRUCE[[#This Row],[Ubicacion]],Registros[Ubicacion],Registros[Codigo], "")</f>
        <v/>
      </c>
      <c r="I325" s="26" t="str">
        <f>_xlfn.XLOOKUP(CRUCE[[#This Row],[Ubicacion]],Registros[Ubicacion],Registros[Total], "")</f>
        <v/>
      </c>
      <c r="J325" s="26" t="str">
        <f>_xlfn.XLOOKUP(CRUCE[[#This Row],[Ubicacion]],Registros[Ubicacion],Registros[UMA], "")</f>
        <v/>
      </c>
      <c r="K325" s="26" t="str">
        <f>IF(CRUCE[[#This Row],[TOTAL]]="","",CRUCE[[#This Row],[TOTAL]]-CRUCE[[#This Row],[BULTOS]])</f>
        <v/>
      </c>
      <c r="L325" s="39" t="str">
        <f>IF(CRUCE[[#This Row],[TOTAL]]="", "PENDIENTE", IF(CRUCE[[#This Row],[Diferencia]]=0, "CUADRADO", IF(CRUCE[[#This Row],[Diferencia]]&gt;0, "SOBRANTE", "FALTANTE")))</f>
        <v>PENDIENTE</v>
      </c>
      <c r="M325" s="72" t="str">
        <f>IF(CRUCE[[#This Row],[Diferencia]]="","",IF(CRUCE[[#This Row],[Diferencia]]=0,"OK","RECONTEO"))</f>
        <v/>
      </c>
      <c r="N325" s="39" t="str">
        <f>_xlfn.XLOOKUP(CRUCE[[#This Row],[Ubicacion]],Registros[Ubicacion],Registros[Codigo], "")</f>
        <v/>
      </c>
      <c r="O325" s="26"/>
      <c r="P325" s="26"/>
      <c r="Q325" s="39" t="str">
        <f>IF(CRUCE[[#This Row],[TOTAL2]]="", "PENDIENTE", IF(CRUCE[[#This Row],[DIFERENCIA2]]=0, "CUADRADO", IF(CRUCE[[#This Row],[DIFERENCIA2]]&gt;0, "SOBRANTE", "FALTANTE")))</f>
        <v>PENDIENTE</v>
      </c>
      <c r="R325" s="102" t="s">
        <v>5081</v>
      </c>
      <c r="S325" s="127" t="s">
        <v>5409</v>
      </c>
    </row>
    <row r="326" spans="1:19">
      <c r="A326" s="93" t="s">
        <v>5379</v>
      </c>
      <c r="B326" s="38" t="s">
        <v>3514</v>
      </c>
      <c r="C326" s="38">
        <v>8315014</v>
      </c>
      <c r="D326" s="74">
        <v>17751851024324</v>
      </c>
      <c r="E326" s="38" t="s">
        <v>791</v>
      </c>
      <c r="F326" s="38">
        <v>6</v>
      </c>
      <c r="G326" s="38" t="s">
        <v>9</v>
      </c>
      <c r="H326" s="39" t="str">
        <f>_xlfn.XLOOKUP(CRUCE[[#This Row],[Ubicacion]],Registros[Ubicacion],Registros[Codigo], "")</f>
        <v/>
      </c>
      <c r="I326" s="25" t="str">
        <f>_xlfn.XLOOKUP(CRUCE[[#This Row],[Ubicacion]],Registros[Ubicacion],Registros[Total], "")</f>
        <v/>
      </c>
      <c r="J326" s="25" t="str">
        <f>_xlfn.XLOOKUP(CRUCE[[#This Row],[Ubicacion]],Registros[Ubicacion],Registros[UMA], "")</f>
        <v/>
      </c>
      <c r="K326" s="25" t="str">
        <f>IF(CRUCE[[#This Row],[TOTAL]]="","",CRUCE[[#This Row],[TOTAL]]-CRUCE[[#This Row],[BULTOS]])</f>
        <v/>
      </c>
      <c r="L326" s="38" t="str">
        <f>IF(CRUCE[[#This Row],[TOTAL]]="", "PENDIENTE", IF(CRUCE[[#This Row],[Diferencia]]=0, "CUADRADO", IF(CRUCE[[#This Row],[Diferencia]]&gt;0, "SOBRANTE", "FALTANTE")))</f>
        <v>PENDIENTE</v>
      </c>
      <c r="M326" s="71" t="str">
        <f>IF(CRUCE[[#This Row],[Diferencia]]="","",IF(CRUCE[[#This Row],[Diferencia]]=0,"OK","RECONTEO"))</f>
        <v/>
      </c>
      <c r="N326" s="39" t="str">
        <f>_xlfn.XLOOKUP(CRUCE[[#This Row],[Ubicacion]],Registros[Ubicacion],Registros[Codigo], "")</f>
        <v/>
      </c>
      <c r="O326" s="25"/>
      <c r="P326" s="25"/>
      <c r="Q326" s="39" t="str">
        <f>IF(CRUCE[[#This Row],[TOTAL2]]="", "PENDIENTE", IF(CRUCE[[#This Row],[DIFERENCIA2]]=0, "CUADRADO", IF(CRUCE[[#This Row],[DIFERENCIA2]]&gt;0, "SOBRANTE", "FALTANTE")))</f>
        <v>PENDIENTE</v>
      </c>
      <c r="R326" s="103" t="s">
        <v>5081</v>
      </c>
      <c r="S326" s="127" t="s">
        <v>5410</v>
      </c>
    </row>
    <row r="327" spans="1:19">
      <c r="A327" s="92" t="s">
        <v>5379</v>
      </c>
      <c r="B327" s="39" t="s">
        <v>3516</v>
      </c>
      <c r="C327" s="39">
        <v>8315017</v>
      </c>
      <c r="D327" s="73">
        <v>17751851024010</v>
      </c>
      <c r="E327" s="39" t="s">
        <v>797</v>
      </c>
      <c r="F327" s="39">
        <v>40</v>
      </c>
      <c r="G327" s="39" t="s">
        <v>9</v>
      </c>
      <c r="H327" s="39" t="str">
        <f>_xlfn.XLOOKUP(CRUCE[[#This Row],[Ubicacion]],Registros[Ubicacion],Registros[Codigo], "")</f>
        <v/>
      </c>
      <c r="I327" s="26" t="str">
        <f>_xlfn.XLOOKUP(CRUCE[[#This Row],[Ubicacion]],Registros[Ubicacion],Registros[Total], "")</f>
        <v/>
      </c>
      <c r="J327" s="26" t="str">
        <f>_xlfn.XLOOKUP(CRUCE[[#This Row],[Ubicacion]],Registros[Ubicacion],Registros[UMA], "")</f>
        <v/>
      </c>
      <c r="K327" s="26" t="str">
        <f>IF(CRUCE[[#This Row],[TOTAL]]="","",CRUCE[[#This Row],[TOTAL]]-CRUCE[[#This Row],[BULTOS]])</f>
        <v/>
      </c>
      <c r="L327" s="39" t="str">
        <f>IF(CRUCE[[#This Row],[TOTAL]]="", "PENDIENTE", IF(CRUCE[[#This Row],[Diferencia]]=0, "CUADRADO", IF(CRUCE[[#This Row],[Diferencia]]&gt;0, "SOBRANTE", "FALTANTE")))</f>
        <v>PENDIENTE</v>
      </c>
      <c r="M327" s="72" t="str">
        <f>IF(CRUCE[[#This Row],[Diferencia]]="","",IF(CRUCE[[#This Row],[Diferencia]]=0,"OK","RECONTEO"))</f>
        <v/>
      </c>
      <c r="N327" s="39" t="str">
        <f>_xlfn.XLOOKUP(CRUCE[[#This Row],[Ubicacion]],Registros[Ubicacion],Registros[Codigo], "")</f>
        <v/>
      </c>
      <c r="O327" s="26"/>
      <c r="P327" s="26"/>
      <c r="Q327" s="39" t="str">
        <f>IF(CRUCE[[#This Row],[TOTAL2]]="", "PENDIENTE", IF(CRUCE[[#This Row],[DIFERENCIA2]]=0, "CUADRADO", IF(CRUCE[[#This Row],[DIFERENCIA2]]&gt;0, "SOBRANTE", "FALTANTE")))</f>
        <v>PENDIENTE</v>
      </c>
      <c r="R327" s="102" t="s">
        <v>5081</v>
      </c>
      <c r="S327" s="127" t="s">
        <v>5411</v>
      </c>
    </row>
    <row r="328" spans="1:19">
      <c r="A328" s="93" t="s">
        <v>5379</v>
      </c>
      <c r="B328" s="38" t="s">
        <v>3568</v>
      </c>
      <c r="C328" s="38">
        <v>8315151</v>
      </c>
      <c r="D328" s="74">
        <v>27750243086695</v>
      </c>
      <c r="E328" s="38" t="s">
        <v>871</v>
      </c>
      <c r="F328" s="38">
        <v>31</v>
      </c>
      <c r="G328" s="38" t="s">
        <v>9</v>
      </c>
      <c r="H328" s="39" t="str">
        <f>_xlfn.XLOOKUP(CRUCE[[#This Row],[Ubicacion]],Registros[Ubicacion],Registros[Codigo], "")</f>
        <v/>
      </c>
      <c r="I328" s="25" t="str">
        <f>_xlfn.XLOOKUP(CRUCE[[#This Row],[Ubicacion]],Registros[Ubicacion],Registros[Total], "")</f>
        <v/>
      </c>
      <c r="J328" s="25" t="str">
        <f>_xlfn.XLOOKUP(CRUCE[[#This Row],[Ubicacion]],Registros[Ubicacion],Registros[UMA], "")</f>
        <v/>
      </c>
      <c r="K328" s="25" t="str">
        <f>IF(CRUCE[[#This Row],[TOTAL]]="","",CRUCE[[#This Row],[TOTAL]]-CRUCE[[#This Row],[BULTOS]])</f>
        <v/>
      </c>
      <c r="L328" s="38" t="str">
        <f>IF(CRUCE[[#This Row],[TOTAL]]="", "PENDIENTE", IF(CRUCE[[#This Row],[Diferencia]]=0, "CUADRADO", IF(CRUCE[[#This Row],[Diferencia]]&gt;0, "SOBRANTE", "FALTANTE")))</f>
        <v>PENDIENTE</v>
      </c>
      <c r="M328" s="71" t="str">
        <f>IF(CRUCE[[#This Row],[Diferencia]]="","",IF(CRUCE[[#This Row],[Diferencia]]=0,"OK","RECONTEO"))</f>
        <v/>
      </c>
      <c r="N328" s="39" t="str">
        <f>_xlfn.XLOOKUP(CRUCE[[#This Row],[Ubicacion]],Registros[Ubicacion],Registros[Codigo], "")</f>
        <v/>
      </c>
      <c r="O328" s="25"/>
      <c r="P328" s="25"/>
      <c r="Q328" s="39" t="str">
        <f>IF(CRUCE[[#This Row],[TOTAL2]]="", "PENDIENTE", IF(CRUCE[[#This Row],[DIFERENCIA2]]=0, "CUADRADO", IF(CRUCE[[#This Row],[DIFERENCIA2]]&gt;0, "SOBRANTE", "FALTANTE")))</f>
        <v>PENDIENTE</v>
      </c>
      <c r="R328" s="103" t="s">
        <v>5081</v>
      </c>
      <c r="S328" s="127" t="s">
        <v>5412</v>
      </c>
    </row>
    <row r="329" spans="1:19">
      <c r="A329" s="92" t="s">
        <v>5379</v>
      </c>
      <c r="B329" s="39" t="s">
        <v>4195</v>
      </c>
      <c r="C329" s="39">
        <v>9350421</v>
      </c>
      <c r="D329" s="73">
        <v>17750243084342</v>
      </c>
      <c r="E329" s="39" t="s">
        <v>3097</v>
      </c>
      <c r="F329" s="39">
        <v>29</v>
      </c>
      <c r="G329" s="39" t="s">
        <v>9</v>
      </c>
      <c r="H329" s="39" t="str">
        <f>_xlfn.XLOOKUP(CRUCE[[#This Row],[Ubicacion]],Registros[Ubicacion],Registros[Codigo], "")</f>
        <v/>
      </c>
      <c r="I329" s="26" t="str">
        <f>_xlfn.XLOOKUP(CRUCE[[#This Row],[Ubicacion]],Registros[Ubicacion],Registros[Total], "")</f>
        <v/>
      </c>
      <c r="J329" s="26" t="str">
        <f>_xlfn.XLOOKUP(CRUCE[[#This Row],[Ubicacion]],Registros[Ubicacion],Registros[UMA], "")</f>
        <v/>
      </c>
      <c r="K329" s="26" t="str">
        <f>IF(CRUCE[[#This Row],[TOTAL]]="","",CRUCE[[#This Row],[TOTAL]]-CRUCE[[#This Row],[BULTOS]])</f>
        <v/>
      </c>
      <c r="L329" s="39" t="str">
        <f>IF(CRUCE[[#This Row],[TOTAL]]="", "PENDIENTE", IF(CRUCE[[#This Row],[Diferencia]]=0, "CUADRADO", IF(CRUCE[[#This Row],[Diferencia]]&gt;0, "SOBRANTE", "FALTANTE")))</f>
        <v>PENDIENTE</v>
      </c>
      <c r="M329" s="72" t="str">
        <f>IF(CRUCE[[#This Row],[Diferencia]]="","",IF(CRUCE[[#This Row],[Diferencia]]=0,"OK","RECONTEO"))</f>
        <v/>
      </c>
      <c r="N329" s="39" t="str">
        <f>_xlfn.XLOOKUP(CRUCE[[#This Row],[Ubicacion]],Registros[Ubicacion],Registros[Codigo], "")</f>
        <v/>
      </c>
      <c r="O329" s="26"/>
      <c r="P329" s="26"/>
      <c r="Q329" s="39" t="str">
        <f>IF(CRUCE[[#This Row],[TOTAL2]]="", "PENDIENTE", IF(CRUCE[[#This Row],[DIFERENCIA2]]=0, "CUADRADO", IF(CRUCE[[#This Row],[DIFERENCIA2]]&gt;0, "SOBRANTE", "FALTANTE")))</f>
        <v>PENDIENTE</v>
      </c>
      <c r="R329" s="102" t="s">
        <v>5081</v>
      </c>
      <c r="S329" s="127" t="s">
        <v>5413</v>
      </c>
    </row>
    <row r="330" spans="1:19">
      <c r="A330" s="93" t="s">
        <v>5379</v>
      </c>
      <c r="B330" s="38" t="s">
        <v>4147</v>
      </c>
      <c r="C330" s="38">
        <v>9350406</v>
      </c>
      <c r="D330" s="74">
        <v>17750243083031</v>
      </c>
      <c r="E330" s="38" t="s">
        <v>3069</v>
      </c>
      <c r="F330" s="38">
        <v>39</v>
      </c>
      <c r="G330" s="38" t="s">
        <v>9</v>
      </c>
      <c r="H330" s="39" t="str">
        <f>_xlfn.XLOOKUP(CRUCE[[#This Row],[Ubicacion]],Registros[Ubicacion],Registros[Codigo], "")</f>
        <v/>
      </c>
      <c r="I330" s="25" t="str">
        <f>_xlfn.XLOOKUP(CRUCE[[#This Row],[Ubicacion]],Registros[Ubicacion],Registros[Total], "")</f>
        <v/>
      </c>
      <c r="J330" s="25" t="str">
        <f>_xlfn.XLOOKUP(CRUCE[[#This Row],[Ubicacion]],Registros[Ubicacion],Registros[UMA], "")</f>
        <v/>
      </c>
      <c r="K330" s="25" t="str">
        <f>IF(CRUCE[[#This Row],[TOTAL]]="","",CRUCE[[#This Row],[TOTAL]]-CRUCE[[#This Row],[BULTOS]])</f>
        <v/>
      </c>
      <c r="L330" s="38" t="str">
        <f>IF(CRUCE[[#This Row],[TOTAL]]="", "PENDIENTE", IF(CRUCE[[#This Row],[Diferencia]]=0, "CUADRADO", IF(CRUCE[[#This Row],[Diferencia]]&gt;0, "SOBRANTE", "FALTANTE")))</f>
        <v>PENDIENTE</v>
      </c>
      <c r="M330" s="71" t="str">
        <f>IF(CRUCE[[#This Row],[Diferencia]]="","",IF(CRUCE[[#This Row],[Diferencia]]=0,"OK","RECONTEO"))</f>
        <v/>
      </c>
      <c r="N330" s="39" t="str">
        <f>_xlfn.XLOOKUP(CRUCE[[#This Row],[Ubicacion]],Registros[Ubicacion],Registros[Codigo], "")</f>
        <v/>
      </c>
      <c r="O330" s="25"/>
      <c r="P330" s="25"/>
      <c r="Q330" s="39" t="str">
        <f>IF(CRUCE[[#This Row],[TOTAL2]]="", "PENDIENTE", IF(CRUCE[[#This Row],[DIFERENCIA2]]=0, "CUADRADO", IF(CRUCE[[#This Row],[DIFERENCIA2]]&gt;0, "SOBRANTE", "FALTANTE")))</f>
        <v>PENDIENTE</v>
      </c>
      <c r="R330" s="103" t="s">
        <v>5081</v>
      </c>
      <c r="S330" s="127" t="s">
        <v>5414</v>
      </c>
    </row>
    <row r="331" spans="1:19">
      <c r="A331" s="92" t="s">
        <v>5379</v>
      </c>
      <c r="B331" s="39" t="s">
        <v>4151</v>
      </c>
      <c r="C331" s="39">
        <v>9350406</v>
      </c>
      <c r="D331" s="73">
        <v>17750243083031</v>
      </c>
      <c r="E331" s="39" t="s">
        <v>3069</v>
      </c>
      <c r="F331" s="39">
        <v>39</v>
      </c>
      <c r="G331" s="39" t="s">
        <v>9</v>
      </c>
      <c r="H331" s="39" t="str">
        <f>_xlfn.XLOOKUP(CRUCE[[#This Row],[Ubicacion]],Registros[Ubicacion],Registros[Codigo], "")</f>
        <v/>
      </c>
      <c r="I331" s="26" t="str">
        <f>_xlfn.XLOOKUP(CRUCE[[#This Row],[Ubicacion]],Registros[Ubicacion],Registros[Total], "")</f>
        <v/>
      </c>
      <c r="J331" s="26" t="str">
        <f>_xlfn.XLOOKUP(CRUCE[[#This Row],[Ubicacion]],Registros[Ubicacion],Registros[UMA], "")</f>
        <v/>
      </c>
      <c r="K331" s="26" t="str">
        <f>IF(CRUCE[[#This Row],[TOTAL]]="","",CRUCE[[#This Row],[TOTAL]]-CRUCE[[#This Row],[BULTOS]])</f>
        <v/>
      </c>
      <c r="L331" s="39" t="str">
        <f>IF(CRUCE[[#This Row],[TOTAL]]="", "PENDIENTE", IF(CRUCE[[#This Row],[Diferencia]]=0, "CUADRADO", IF(CRUCE[[#This Row],[Diferencia]]&gt;0, "SOBRANTE", "FALTANTE")))</f>
        <v>PENDIENTE</v>
      </c>
      <c r="M331" s="72" t="str">
        <f>IF(CRUCE[[#This Row],[Diferencia]]="","",IF(CRUCE[[#This Row],[Diferencia]]=0,"OK","RECONTEO"))</f>
        <v/>
      </c>
      <c r="N331" s="39" t="str">
        <f>_xlfn.XLOOKUP(CRUCE[[#This Row],[Ubicacion]],Registros[Ubicacion],Registros[Codigo], "")</f>
        <v/>
      </c>
      <c r="O331" s="26"/>
      <c r="P331" s="26"/>
      <c r="Q331" s="39" t="str">
        <f>IF(CRUCE[[#This Row],[TOTAL2]]="", "PENDIENTE", IF(CRUCE[[#This Row],[DIFERENCIA2]]=0, "CUADRADO", IF(CRUCE[[#This Row],[DIFERENCIA2]]&gt;0, "SOBRANTE", "FALTANTE")))</f>
        <v>PENDIENTE</v>
      </c>
      <c r="R331" s="102" t="s">
        <v>5081</v>
      </c>
      <c r="S331" s="127" t="s">
        <v>5415</v>
      </c>
    </row>
    <row r="332" spans="1:19">
      <c r="A332" s="93" t="s">
        <v>5379</v>
      </c>
      <c r="B332" s="38" t="s">
        <v>3398</v>
      </c>
      <c r="C332" s="38">
        <v>8305360</v>
      </c>
      <c r="D332" s="74">
        <v>17861036793676</v>
      </c>
      <c r="E332" s="38" t="s">
        <v>561</v>
      </c>
      <c r="F332" s="38">
        <v>30</v>
      </c>
      <c r="G332" s="38" t="s">
        <v>9</v>
      </c>
      <c r="H332" s="39" t="str">
        <f>_xlfn.XLOOKUP(CRUCE[[#This Row],[Ubicacion]],Registros[Ubicacion],Registros[Codigo], "")</f>
        <v/>
      </c>
      <c r="I332" s="25" t="str">
        <f>_xlfn.XLOOKUP(CRUCE[[#This Row],[Ubicacion]],Registros[Ubicacion],Registros[Total], "")</f>
        <v/>
      </c>
      <c r="J332" s="25" t="str">
        <f>_xlfn.XLOOKUP(CRUCE[[#This Row],[Ubicacion]],Registros[Ubicacion],Registros[UMA], "")</f>
        <v/>
      </c>
      <c r="K332" s="25" t="str">
        <f>IF(CRUCE[[#This Row],[TOTAL]]="","",CRUCE[[#This Row],[TOTAL]]-CRUCE[[#This Row],[BULTOS]])</f>
        <v/>
      </c>
      <c r="L332" s="38" t="str">
        <f>IF(CRUCE[[#This Row],[TOTAL]]="", "PENDIENTE", IF(CRUCE[[#This Row],[Diferencia]]=0, "CUADRADO", IF(CRUCE[[#This Row],[Diferencia]]&gt;0, "SOBRANTE", "FALTANTE")))</f>
        <v>PENDIENTE</v>
      </c>
      <c r="M332" s="71" t="str">
        <f>IF(CRUCE[[#This Row],[Diferencia]]="","",IF(CRUCE[[#This Row],[Diferencia]]=0,"OK","RECONTEO"))</f>
        <v/>
      </c>
      <c r="N332" s="39" t="str">
        <f>_xlfn.XLOOKUP(CRUCE[[#This Row],[Ubicacion]],Registros[Ubicacion],Registros[Codigo], "")</f>
        <v/>
      </c>
      <c r="O332" s="25"/>
      <c r="P332" s="25"/>
      <c r="Q332" s="39" t="str">
        <f>IF(CRUCE[[#This Row],[TOTAL2]]="", "PENDIENTE", IF(CRUCE[[#This Row],[DIFERENCIA2]]=0, "CUADRADO", IF(CRUCE[[#This Row],[DIFERENCIA2]]&gt;0, "SOBRANTE", "FALTANTE")))</f>
        <v>PENDIENTE</v>
      </c>
      <c r="R332" s="103" t="s">
        <v>5081</v>
      </c>
      <c r="S332" s="127" t="s">
        <v>5416</v>
      </c>
    </row>
    <row r="333" spans="1:19">
      <c r="A333" s="92" t="s">
        <v>5379</v>
      </c>
      <c r="B333" s="39" t="s">
        <v>3369</v>
      </c>
      <c r="C333" s="39">
        <v>8305345</v>
      </c>
      <c r="D333" s="73">
        <v>17861036793089</v>
      </c>
      <c r="E333" s="39" t="s">
        <v>531</v>
      </c>
      <c r="F333" s="39">
        <v>22</v>
      </c>
      <c r="G333" s="39" t="s">
        <v>9</v>
      </c>
      <c r="H333" s="39" t="str">
        <f>_xlfn.XLOOKUP(CRUCE[[#This Row],[Ubicacion]],Registros[Ubicacion],Registros[Codigo], "")</f>
        <v/>
      </c>
      <c r="I333" s="26" t="str">
        <f>_xlfn.XLOOKUP(CRUCE[[#This Row],[Ubicacion]],Registros[Ubicacion],Registros[Total], "")</f>
        <v/>
      </c>
      <c r="J333" s="26" t="str">
        <f>_xlfn.XLOOKUP(CRUCE[[#This Row],[Ubicacion]],Registros[Ubicacion],Registros[UMA], "")</f>
        <v/>
      </c>
      <c r="K333" s="26" t="str">
        <f>IF(CRUCE[[#This Row],[TOTAL]]="","",CRUCE[[#This Row],[TOTAL]]-CRUCE[[#This Row],[BULTOS]])</f>
        <v/>
      </c>
      <c r="L333" s="39" t="str">
        <f>IF(CRUCE[[#This Row],[TOTAL]]="", "PENDIENTE", IF(CRUCE[[#This Row],[Diferencia]]=0, "CUADRADO", IF(CRUCE[[#This Row],[Diferencia]]&gt;0, "SOBRANTE", "FALTANTE")))</f>
        <v>PENDIENTE</v>
      </c>
      <c r="M333" s="72" t="str">
        <f>IF(CRUCE[[#This Row],[Diferencia]]="","",IF(CRUCE[[#This Row],[Diferencia]]=0,"OK","RECONTEO"))</f>
        <v/>
      </c>
      <c r="N333" s="39" t="str">
        <f>_xlfn.XLOOKUP(CRUCE[[#This Row],[Ubicacion]],Registros[Ubicacion],Registros[Codigo], "")</f>
        <v/>
      </c>
      <c r="O333" s="26"/>
      <c r="P333" s="26"/>
      <c r="Q333" s="39" t="str">
        <f>IF(CRUCE[[#This Row],[TOTAL2]]="", "PENDIENTE", IF(CRUCE[[#This Row],[DIFERENCIA2]]=0, "CUADRADO", IF(CRUCE[[#This Row],[DIFERENCIA2]]&gt;0, "SOBRANTE", "FALTANTE")))</f>
        <v>PENDIENTE</v>
      </c>
      <c r="R333" s="102" t="s">
        <v>5081</v>
      </c>
      <c r="S333" s="127" t="s">
        <v>5417</v>
      </c>
    </row>
    <row r="334" spans="1:19">
      <c r="A334" s="93" t="s">
        <v>5379</v>
      </c>
      <c r="B334" s="38" t="s">
        <v>3374</v>
      </c>
      <c r="C334" s="38">
        <v>8305349</v>
      </c>
      <c r="D334" s="74">
        <v>17861036793126</v>
      </c>
      <c r="E334" s="38" t="s">
        <v>539</v>
      </c>
      <c r="F334" s="38">
        <v>22</v>
      </c>
      <c r="G334" s="38" t="s">
        <v>9</v>
      </c>
      <c r="H334" s="39" t="str">
        <f>_xlfn.XLOOKUP(CRUCE[[#This Row],[Ubicacion]],Registros[Ubicacion],Registros[Codigo], "")</f>
        <v/>
      </c>
      <c r="I334" s="25" t="str">
        <f>_xlfn.XLOOKUP(CRUCE[[#This Row],[Ubicacion]],Registros[Ubicacion],Registros[Total], "")</f>
        <v/>
      </c>
      <c r="J334" s="25" t="str">
        <f>_xlfn.XLOOKUP(CRUCE[[#This Row],[Ubicacion]],Registros[Ubicacion],Registros[UMA], "")</f>
        <v/>
      </c>
      <c r="K334" s="25" t="str">
        <f>IF(CRUCE[[#This Row],[TOTAL]]="","",CRUCE[[#This Row],[TOTAL]]-CRUCE[[#This Row],[BULTOS]])</f>
        <v/>
      </c>
      <c r="L334" s="38" t="str">
        <f>IF(CRUCE[[#This Row],[TOTAL]]="", "PENDIENTE", IF(CRUCE[[#This Row],[Diferencia]]=0, "CUADRADO", IF(CRUCE[[#This Row],[Diferencia]]&gt;0, "SOBRANTE", "FALTANTE")))</f>
        <v>PENDIENTE</v>
      </c>
      <c r="M334" s="71" t="str">
        <f>IF(CRUCE[[#This Row],[Diferencia]]="","",IF(CRUCE[[#This Row],[Diferencia]]=0,"OK","RECONTEO"))</f>
        <v/>
      </c>
      <c r="N334" s="39" t="str">
        <f>_xlfn.XLOOKUP(CRUCE[[#This Row],[Ubicacion]],Registros[Ubicacion],Registros[Codigo], "")</f>
        <v/>
      </c>
      <c r="O334" s="25"/>
      <c r="P334" s="25"/>
      <c r="Q334" s="39" t="str">
        <f>IF(CRUCE[[#This Row],[TOTAL2]]="", "PENDIENTE", IF(CRUCE[[#This Row],[DIFERENCIA2]]=0, "CUADRADO", IF(CRUCE[[#This Row],[DIFERENCIA2]]&gt;0, "SOBRANTE", "FALTANTE")))</f>
        <v>PENDIENTE</v>
      </c>
      <c r="R334" s="103" t="s">
        <v>5081</v>
      </c>
      <c r="S334" s="127" t="s">
        <v>5418</v>
      </c>
    </row>
    <row r="335" spans="1:19">
      <c r="A335" s="92" t="s">
        <v>5379</v>
      </c>
      <c r="B335" s="39" t="s">
        <v>3372</v>
      </c>
      <c r="C335" s="39">
        <v>8305347</v>
      </c>
      <c r="D335" s="73">
        <v>17861036793102</v>
      </c>
      <c r="E335" s="39" t="s">
        <v>535</v>
      </c>
      <c r="F335" s="39">
        <v>40</v>
      </c>
      <c r="G335" s="39" t="s">
        <v>9</v>
      </c>
      <c r="H335" s="39" t="str">
        <f>_xlfn.XLOOKUP(CRUCE[[#This Row],[Ubicacion]],Registros[Ubicacion],Registros[Codigo], "")</f>
        <v/>
      </c>
      <c r="I335" s="26" t="str">
        <f>_xlfn.XLOOKUP(CRUCE[[#This Row],[Ubicacion]],Registros[Ubicacion],Registros[Total], "")</f>
        <v/>
      </c>
      <c r="J335" s="26" t="str">
        <f>_xlfn.XLOOKUP(CRUCE[[#This Row],[Ubicacion]],Registros[Ubicacion],Registros[UMA], "")</f>
        <v/>
      </c>
      <c r="K335" s="26" t="str">
        <f>IF(CRUCE[[#This Row],[TOTAL]]="","",CRUCE[[#This Row],[TOTAL]]-CRUCE[[#This Row],[BULTOS]])</f>
        <v/>
      </c>
      <c r="L335" s="39" t="str">
        <f>IF(CRUCE[[#This Row],[TOTAL]]="", "PENDIENTE", IF(CRUCE[[#This Row],[Diferencia]]=0, "CUADRADO", IF(CRUCE[[#This Row],[Diferencia]]&gt;0, "SOBRANTE", "FALTANTE")))</f>
        <v>PENDIENTE</v>
      </c>
      <c r="M335" s="72" t="str">
        <f>IF(CRUCE[[#This Row],[Diferencia]]="","",IF(CRUCE[[#This Row],[Diferencia]]=0,"OK","RECONTEO"))</f>
        <v/>
      </c>
      <c r="N335" s="39" t="str">
        <f>_xlfn.XLOOKUP(CRUCE[[#This Row],[Ubicacion]],Registros[Ubicacion],Registros[Codigo], "")</f>
        <v/>
      </c>
      <c r="O335" s="26"/>
      <c r="P335" s="26"/>
      <c r="Q335" s="39" t="str">
        <f>IF(CRUCE[[#This Row],[TOTAL2]]="", "PENDIENTE", IF(CRUCE[[#This Row],[DIFERENCIA2]]=0, "CUADRADO", IF(CRUCE[[#This Row],[DIFERENCIA2]]&gt;0, "SOBRANTE", "FALTANTE")))</f>
        <v>PENDIENTE</v>
      </c>
      <c r="R335" s="102" t="s">
        <v>5081</v>
      </c>
      <c r="S335" s="127" t="s">
        <v>5419</v>
      </c>
    </row>
    <row r="336" spans="1:19">
      <c r="A336" s="93" t="s">
        <v>5379</v>
      </c>
      <c r="B336" s="38" t="s">
        <v>4680</v>
      </c>
      <c r="C336" s="25"/>
      <c r="D336" s="34"/>
      <c r="E336" s="25"/>
      <c r="F336" s="25"/>
      <c r="G336" s="25"/>
      <c r="H336" s="39" t="str">
        <f>_xlfn.XLOOKUP(CRUCE[[#This Row],[Ubicacion]],Registros[Ubicacion],Registros[Codigo], "")</f>
        <v/>
      </c>
      <c r="I336" s="25" t="str">
        <f>_xlfn.XLOOKUP(CRUCE[[#This Row],[Ubicacion]],Registros[Ubicacion],Registros[Total], "")</f>
        <v/>
      </c>
      <c r="J336" s="25" t="str">
        <f>_xlfn.XLOOKUP(CRUCE[[#This Row],[Ubicacion]],Registros[Ubicacion],Registros[UMA], "")</f>
        <v/>
      </c>
      <c r="K336" s="25" t="str">
        <f>IF(CRUCE[[#This Row],[TOTAL]]="","",CRUCE[[#This Row],[TOTAL]]-CRUCE[[#This Row],[BULTOS]])</f>
        <v/>
      </c>
      <c r="L336" s="38" t="str">
        <f>IF(CRUCE[[#This Row],[TOTAL]]="", "PENDIENTE", IF(CRUCE[[#This Row],[Diferencia]]=0, "CUADRADO", IF(CRUCE[[#This Row],[Diferencia]]&gt;0, "SOBRANTE", "FALTANTE")))</f>
        <v>PENDIENTE</v>
      </c>
      <c r="M336" s="71" t="str">
        <f>IF(CRUCE[[#This Row],[Diferencia]]="","",IF(CRUCE[[#This Row],[Diferencia]]=0,"OK","RECONTEO"))</f>
        <v/>
      </c>
      <c r="N336" s="39" t="str">
        <f>_xlfn.XLOOKUP(CRUCE[[#This Row],[Ubicacion]],Registros[Ubicacion],Registros[Codigo], "")</f>
        <v/>
      </c>
      <c r="O336" s="25"/>
      <c r="P336" s="25"/>
      <c r="Q336" s="39" t="str">
        <f>IF(CRUCE[[#This Row],[TOTAL2]]="", "PENDIENTE", IF(CRUCE[[#This Row],[DIFERENCIA2]]=0, "CUADRADO", IF(CRUCE[[#This Row],[DIFERENCIA2]]&gt;0, "SOBRANTE", "FALTANTE")))</f>
        <v>PENDIENTE</v>
      </c>
      <c r="R336" s="103" t="s">
        <v>5081</v>
      </c>
      <c r="S336" s="127" t="s">
        <v>5420</v>
      </c>
    </row>
    <row r="337" spans="1:19">
      <c r="A337" s="92" t="s">
        <v>5379</v>
      </c>
      <c r="B337" s="39" t="s">
        <v>4682</v>
      </c>
      <c r="C337" s="26"/>
      <c r="D337" s="35"/>
      <c r="E337" s="26"/>
      <c r="F337" s="26"/>
      <c r="G337" s="26"/>
      <c r="H337" s="39" t="str">
        <f>_xlfn.XLOOKUP(CRUCE[[#This Row],[Ubicacion]],Registros[Ubicacion],Registros[Codigo], "")</f>
        <v/>
      </c>
      <c r="I337" s="26" t="str">
        <f>_xlfn.XLOOKUP(CRUCE[[#This Row],[Ubicacion]],Registros[Ubicacion],Registros[Total], "")</f>
        <v/>
      </c>
      <c r="J337" s="26" t="str">
        <f>_xlfn.XLOOKUP(CRUCE[[#This Row],[Ubicacion]],Registros[Ubicacion],Registros[UMA], "")</f>
        <v/>
      </c>
      <c r="K337" s="26" t="str">
        <f>IF(CRUCE[[#This Row],[TOTAL]]="","",CRUCE[[#This Row],[TOTAL]]-CRUCE[[#This Row],[BULTOS]])</f>
        <v/>
      </c>
      <c r="L337" s="39" t="str">
        <f>IF(CRUCE[[#This Row],[TOTAL]]="", "PENDIENTE", IF(CRUCE[[#This Row],[Diferencia]]=0, "CUADRADO", IF(CRUCE[[#This Row],[Diferencia]]&gt;0, "SOBRANTE", "FALTANTE")))</f>
        <v>PENDIENTE</v>
      </c>
      <c r="M337" s="72" t="str">
        <f>IF(CRUCE[[#This Row],[Diferencia]]="","",IF(CRUCE[[#This Row],[Diferencia]]=0,"OK","RECONTEO"))</f>
        <v/>
      </c>
      <c r="N337" s="39" t="str">
        <f>_xlfn.XLOOKUP(CRUCE[[#This Row],[Ubicacion]],Registros[Ubicacion],Registros[Codigo], "")</f>
        <v/>
      </c>
      <c r="O337" s="26"/>
      <c r="P337" s="26"/>
      <c r="Q337" s="39" t="str">
        <f>IF(CRUCE[[#This Row],[TOTAL2]]="", "PENDIENTE", IF(CRUCE[[#This Row],[DIFERENCIA2]]=0, "CUADRADO", IF(CRUCE[[#This Row],[DIFERENCIA2]]&gt;0, "SOBRANTE", "FALTANTE")))</f>
        <v>PENDIENTE</v>
      </c>
      <c r="R337" s="102" t="s">
        <v>5081</v>
      </c>
      <c r="S337" s="127" t="s">
        <v>5421</v>
      </c>
    </row>
    <row r="338" spans="1:19">
      <c r="A338" s="93" t="s">
        <v>5379</v>
      </c>
      <c r="B338" s="38" t="s">
        <v>4190</v>
      </c>
      <c r="C338" s="38">
        <v>9350420</v>
      </c>
      <c r="D338" s="74">
        <v>17750243084335</v>
      </c>
      <c r="E338" s="38" t="s">
        <v>3095</v>
      </c>
      <c r="F338" s="38">
        <v>49</v>
      </c>
      <c r="G338" s="38" t="s">
        <v>9</v>
      </c>
      <c r="H338" s="39" t="str">
        <f>_xlfn.XLOOKUP(CRUCE[[#This Row],[Ubicacion]],Registros[Ubicacion],Registros[Codigo], "")</f>
        <v/>
      </c>
      <c r="I338" s="25" t="str">
        <f>_xlfn.XLOOKUP(CRUCE[[#This Row],[Ubicacion]],Registros[Ubicacion],Registros[Total], "")</f>
        <v/>
      </c>
      <c r="J338" s="25" t="str">
        <f>_xlfn.XLOOKUP(CRUCE[[#This Row],[Ubicacion]],Registros[Ubicacion],Registros[UMA], "")</f>
        <v/>
      </c>
      <c r="K338" s="25" t="str">
        <f>IF(CRUCE[[#This Row],[TOTAL]]="","",CRUCE[[#This Row],[TOTAL]]-CRUCE[[#This Row],[BULTOS]])</f>
        <v/>
      </c>
      <c r="L338" s="38" t="str">
        <f>IF(CRUCE[[#This Row],[TOTAL]]="", "PENDIENTE", IF(CRUCE[[#This Row],[Diferencia]]=0, "CUADRADO", IF(CRUCE[[#This Row],[Diferencia]]&gt;0, "SOBRANTE", "FALTANTE")))</f>
        <v>PENDIENTE</v>
      </c>
      <c r="M338" s="71" t="str">
        <f>IF(CRUCE[[#This Row],[Diferencia]]="","",IF(CRUCE[[#This Row],[Diferencia]]=0,"OK","RECONTEO"))</f>
        <v/>
      </c>
      <c r="N338" s="39" t="str">
        <f>_xlfn.XLOOKUP(CRUCE[[#This Row],[Ubicacion]],Registros[Ubicacion],Registros[Codigo], "")</f>
        <v/>
      </c>
      <c r="O338" s="25"/>
      <c r="P338" s="25"/>
      <c r="Q338" s="39" t="str">
        <f>IF(CRUCE[[#This Row],[TOTAL2]]="", "PENDIENTE", IF(CRUCE[[#This Row],[DIFERENCIA2]]=0, "CUADRADO", IF(CRUCE[[#This Row],[DIFERENCIA2]]&gt;0, "SOBRANTE", "FALTANTE")))</f>
        <v>PENDIENTE</v>
      </c>
      <c r="R338" s="103" t="s">
        <v>5081</v>
      </c>
      <c r="S338" s="127" t="s">
        <v>5422</v>
      </c>
    </row>
    <row r="339" spans="1:19">
      <c r="A339" s="92" t="s">
        <v>5379</v>
      </c>
      <c r="B339" s="39" t="s">
        <v>4193</v>
      </c>
      <c r="C339" s="39">
        <v>9350420</v>
      </c>
      <c r="D339" s="73">
        <v>17750243084335</v>
      </c>
      <c r="E339" s="39" t="s">
        <v>3095</v>
      </c>
      <c r="F339" s="39">
        <v>49</v>
      </c>
      <c r="G339" s="39" t="s">
        <v>9</v>
      </c>
      <c r="H339" s="39" t="str">
        <f>_xlfn.XLOOKUP(CRUCE[[#This Row],[Ubicacion]],Registros[Ubicacion],Registros[Codigo], "")</f>
        <v/>
      </c>
      <c r="I339" s="26" t="str">
        <f>_xlfn.XLOOKUP(CRUCE[[#This Row],[Ubicacion]],Registros[Ubicacion],Registros[Total], "")</f>
        <v/>
      </c>
      <c r="J339" s="26" t="str">
        <f>_xlfn.XLOOKUP(CRUCE[[#This Row],[Ubicacion]],Registros[Ubicacion],Registros[UMA], "")</f>
        <v/>
      </c>
      <c r="K339" s="26" t="str">
        <f>IF(CRUCE[[#This Row],[TOTAL]]="","",CRUCE[[#This Row],[TOTAL]]-CRUCE[[#This Row],[BULTOS]])</f>
        <v/>
      </c>
      <c r="L339" s="39" t="str">
        <f>IF(CRUCE[[#This Row],[TOTAL]]="", "PENDIENTE", IF(CRUCE[[#This Row],[Diferencia]]=0, "CUADRADO", IF(CRUCE[[#This Row],[Diferencia]]&gt;0, "SOBRANTE", "FALTANTE")))</f>
        <v>PENDIENTE</v>
      </c>
      <c r="M339" s="72" t="str">
        <f>IF(CRUCE[[#This Row],[Diferencia]]="","",IF(CRUCE[[#This Row],[Diferencia]]=0,"OK","RECONTEO"))</f>
        <v/>
      </c>
      <c r="N339" s="39" t="str">
        <f>_xlfn.XLOOKUP(CRUCE[[#This Row],[Ubicacion]],Registros[Ubicacion],Registros[Codigo], "")</f>
        <v/>
      </c>
      <c r="O339" s="26"/>
      <c r="P339" s="26"/>
      <c r="Q339" s="39" t="str">
        <f>IF(CRUCE[[#This Row],[TOTAL2]]="", "PENDIENTE", IF(CRUCE[[#This Row],[DIFERENCIA2]]=0, "CUADRADO", IF(CRUCE[[#This Row],[DIFERENCIA2]]&gt;0, "SOBRANTE", "FALTANTE")))</f>
        <v>PENDIENTE</v>
      </c>
      <c r="R339" s="102" t="s">
        <v>5081</v>
      </c>
      <c r="S339" s="127" t="s">
        <v>5423</v>
      </c>
    </row>
    <row r="340" spans="1:19">
      <c r="A340" s="93" t="s">
        <v>5379</v>
      </c>
      <c r="B340" s="38" t="s">
        <v>3560</v>
      </c>
      <c r="C340" s="38">
        <v>8315138</v>
      </c>
      <c r="D340" s="74">
        <v>17750243065754</v>
      </c>
      <c r="E340" s="38" t="s">
        <v>851</v>
      </c>
      <c r="F340" s="38">
        <v>35</v>
      </c>
      <c r="G340" s="38" t="s">
        <v>9</v>
      </c>
      <c r="H340" s="39" t="str">
        <f>_xlfn.XLOOKUP(CRUCE[[#This Row],[Ubicacion]],Registros[Ubicacion],Registros[Codigo], "")</f>
        <v/>
      </c>
      <c r="I340" s="25" t="str">
        <f>_xlfn.XLOOKUP(CRUCE[[#This Row],[Ubicacion]],Registros[Ubicacion],Registros[Total], "")</f>
        <v/>
      </c>
      <c r="J340" s="25" t="str">
        <f>_xlfn.XLOOKUP(CRUCE[[#This Row],[Ubicacion]],Registros[Ubicacion],Registros[UMA], "")</f>
        <v/>
      </c>
      <c r="K340" s="25" t="str">
        <f>IF(CRUCE[[#This Row],[TOTAL]]="","",CRUCE[[#This Row],[TOTAL]]-CRUCE[[#This Row],[BULTOS]])</f>
        <v/>
      </c>
      <c r="L340" s="38" t="str">
        <f>IF(CRUCE[[#This Row],[TOTAL]]="", "PENDIENTE", IF(CRUCE[[#This Row],[Diferencia]]=0, "CUADRADO", IF(CRUCE[[#This Row],[Diferencia]]&gt;0, "SOBRANTE", "FALTANTE")))</f>
        <v>PENDIENTE</v>
      </c>
      <c r="M340" s="71" t="str">
        <f>IF(CRUCE[[#This Row],[Diferencia]]="","",IF(CRUCE[[#This Row],[Diferencia]]=0,"OK","RECONTEO"))</f>
        <v/>
      </c>
      <c r="N340" s="39" t="str">
        <f>_xlfn.XLOOKUP(CRUCE[[#This Row],[Ubicacion]],Registros[Ubicacion],Registros[Codigo], "")</f>
        <v/>
      </c>
      <c r="O340" s="25"/>
      <c r="P340" s="25"/>
      <c r="Q340" s="39" t="str">
        <f>IF(CRUCE[[#This Row],[TOTAL2]]="", "PENDIENTE", IF(CRUCE[[#This Row],[DIFERENCIA2]]=0, "CUADRADO", IF(CRUCE[[#This Row],[DIFERENCIA2]]&gt;0, "SOBRANTE", "FALTANTE")))</f>
        <v>PENDIENTE</v>
      </c>
      <c r="R340" s="103" t="s">
        <v>5081</v>
      </c>
      <c r="S340" s="127" t="s">
        <v>5424</v>
      </c>
    </row>
    <row r="341" spans="1:19">
      <c r="A341" s="92" t="s">
        <v>5379</v>
      </c>
      <c r="B341" s="39" t="s">
        <v>3413</v>
      </c>
      <c r="C341" s="39">
        <v>8305373</v>
      </c>
      <c r="D341" s="73">
        <v>2000431649814</v>
      </c>
      <c r="E341" s="39" t="s">
        <v>583</v>
      </c>
      <c r="F341" s="39">
        <v>3</v>
      </c>
      <c r="G341" s="39" t="s">
        <v>9</v>
      </c>
      <c r="H341" s="39" t="str">
        <f>_xlfn.XLOOKUP(CRUCE[[#This Row],[Ubicacion]],Registros[Ubicacion],Registros[Codigo], "")</f>
        <v/>
      </c>
      <c r="I341" s="26" t="str">
        <f>_xlfn.XLOOKUP(CRUCE[[#This Row],[Ubicacion]],Registros[Ubicacion],Registros[Total], "")</f>
        <v/>
      </c>
      <c r="J341" s="26" t="str">
        <f>_xlfn.XLOOKUP(CRUCE[[#This Row],[Ubicacion]],Registros[Ubicacion],Registros[UMA], "")</f>
        <v/>
      </c>
      <c r="K341" s="26" t="str">
        <f>IF(CRUCE[[#This Row],[TOTAL]]="","",CRUCE[[#This Row],[TOTAL]]-CRUCE[[#This Row],[BULTOS]])</f>
        <v/>
      </c>
      <c r="L341" s="39" t="str">
        <f>IF(CRUCE[[#This Row],[TOTAL]]="", "PENDIENTE", IF(CRUCE[[#This Row],[Diferencia]]=0, "CUADRADO", IF(CRUCE[[#This Row],[Diferencia]]&gt;0, "SOBRANTE", "FALTANTE")))</f>
        <v>PENDIENTE</v>
      </c>
      <c r="M341" s="72" t="str">
        <f>IF(CRUCE[[#This Row],[Diferencia]]="","",IF(CRUCE[[#This Row],[Diferencia]]=0,"OK","RECONTEO"))</f>
        <v/>
      </c>
      <c r="N341" s="39" t="str">
        <f>_xlfn.XLOOKUP(CRUCE[[#This Row],[Ubicacion]],Registros[Ubicacion],Registros[Codigo], "")</f>
        <v/>
      </c>
      <c r="O341" s="26"/>
      <c r="P341" s="26"/>
      <c r="Q341" s="39" t="str">
        <f>IF(CRUCE[[#This Row],[TOTAL2]]="", "PENDIENTE", IF(CRUCE[[#This Row],[DIFERENCIA2]]=0, "CUADRADO", IF(CRUCE[[#This Row],[DIFERENCIA2]]&gt;0, "SOBRANTE", "FALTANTE")))</f>
        <v>PENDIENTE</v>
      </c>
      <c r="R341" s="102" t="s">
        <v>5081</v>
      </c>
      <c r="S341" s="127" t="s">
        <v>5425</v>
      </c>
    </row>
    <row r="342" spans="1:19">
      <c r="A342" s="93" t="s">
        <v>5379</v>
      </c>
      <c r="B342" s="38" t="s">
        <v>3638</v>
      </c>
      <c r="C342" s="38">
        <v>8317103</v>
      </c>
      <c r="D342" s="74">
        <v>17750243081174</v>
      </c>
      <c r="E342" s="38" t="s">
        <v>1023</v>
      </c>
      <c r="F342" s="38">
        <v>55</v>
      </c>
      <c r="G342" s="38" t="s">
        <v>9</v>
      </c>
      <c r="H342" s="39" t="str">
        <f>_xlfn.XLOOKUP(CRUCE[[#This Row],[Ubicacion]],Registros[Ubicacion],Registros[Codigo], "")</f>
        <v/>
      </c>
      <c r="I342" s="25" t="str">
        <f>_xlfn.XLOOKUP(CRUCE[[#This Row],[Ubicacion]],Registros[Ubicacion],Registros[Total], "")</f>
        <v/>
      </c>
      <c r="J342" s="25" t="str">
        <f>_xlfn.XLOOKUP(CRUCE[[#This Row],[Ubicacion]],Registros[Ubicacion],Registros[UMA], "")</f>
        <v/>
      </c>
      <c r="K342" s="25" t="str">
        <f>IF(CRUCE[[#This Row],[TOTAL]]="","",CRUCE[[#This Row],[TOTAL]]-CRUCE[[#This Row],[BULTOS]])</f>
        <v/>
      </c>
      <c r="L342" s="38" t="str">
        <f>IF(CRUCE[[#This Row],[TOTAL]]="", "PENDIENTE", IF(CRUCE[[#This Row],[Diferencia]]=0, "CUADRADO", IF(CRUCE[[#This Row],[Diferencia]]&gt;0, "SOBRANTE", "FALTANTE")))</f>
        <v>PENDIENTE</v>
      </c>
      <c r="M342" s="71" t="str">
        <f>IF(CRUCE[[#This Row],[Diferencia]]="","",IF(CRUCE[[#This Row],[Diferencia]]=0,"OK","RECONTEO"))</f>
        <v/>
      </c>
      <c r="N342" s="39" t="str">
        <f>_xlfn.XLOOKUP(CRUCE[[#This Row],[Ubicacion]],Registros[Ubicacion],Registros[Codigo], "")</f>
        <v/>
      </c>
      <c r="O342" s="25"/>
      <c r="P342" s="25"/>
      <c r="Q342" s="39" t="str">
        <f>IF(CRUCE[[#This Row],[TOTAL2]]="", "PENDIENTE", IF(CRUCE[[#This Row],[DIFERENCIA2]]=0, "CUADRADO", IF(CRUCE[[#This Row],[DIFERENCIA2]]&gt;0, "SOBRANTE", "FALTANTE")))</f>
        <v>PENDIENTE</v>
      </c>
      <c r="R342" s="103" t="s">
        <v>5081</v>
      </c>
      <c r="S342" s="127" t="s">
        <v>5426</v>
      </c>
    </row>
    <row r="343" spans="1:19">
      <c r="A343" s="92" t="s">
        <v>5379</v>
      </c>
      <c r="B343" s="39" t="s">
        <v>3644</v>
      </c>
      <c r="C343" s="39">
        <v>8317113</v>
      </c>
      <c r="D343" s="73">
        <v>17750243081198</v>
      </c>
      <c r="E343" s="39" t="s">
        <v>1041</v>
      </c>
      <c r="F343" s="39">
        <v>27</v>
      </c>
      <c r="G343" s="39" t="s">
        <v>9</v>
      </c>
      <c r="H343" s="39" t="str">
        <f>_xlfn.XLOOKUP(CRUCE[[#This Row],[Ubicacion]],Registros[Ubicacion],Registros[Codigo], "")</f>
        <v/>
      </c>
      <c r="I343" s="26" t="str">
        <f>_xlfn.XLOOKUP(CRUCE[[#This Row],[Ubicacion]],Registros[Ubicacion],Registros[Total], "")</f>
        <v/>
      </c>
      <c r="J343" s="26" t="str">
        <f>_xlfn.XLOOKUP(CRUCE[[#This Row],[Ubicacion]],Registros[Ubicacion],Registros[UMA], "")</f>
        <v/>
      </c>
      <c r="K343" s="26" t="str">
        <f>IF(CRUCE[[#This Row],[TOTAL]]="","",CRUCE[[#This Row],[TOTAL]]-CRUCE[[#This Row],[BULTOS]])</f>
        <v/>
      </c>
      <c r="L343" s="39" t="str">
        <f>IF(CRUCE[[#This Row],[TOTAL]]="", "PENDIENTE", IF(CRUCE[[#This Row],[Diferencia]]=0, "CUADRADO", IF(CRUCE[[#This Row],[Diferencia]]&gt;0, "SOBRANTE", "FALTANTE")))</f>
        <v>PENDIENTE</v>
      </c>
      <c r="M343" s="72" t="str">
        <f>IF(CRUCE[[#This Row],[Diferencia]]="","",IF(CRUCE[[#This Row],[Diferencia]]=0,"OK","RECONTEO"))</f>
        <v/>
      </c>
      <c r="N343" s="39" t="str">
        <f>_xlfn.XLOOKUP(CRUCE[[#This Row],[Ubicacion]],Registros[Ubicacion],Registros[Codigo], "")</f>
        <v/>
      </c>
      <c r="O343" s="26"/>
      <c r="P343" s="26"/>
      <c r="Q343" s="39" t="str">
        <f>IF(CRUCE[[#This Row],[TOTAL2]]="", "PENDIENTE", IF(CRUCE[[#This Row],[DIFERENCIA2]]=0, "CUADRADO", IF(CRUCE[[#This Row],[DIFERENCIA2]]&gt;0, "SOBRANTE", "FALTANTE")))</f>
        <v>PENDIENTE</v>
      </c>
      <c r="R343" s="102" t="s">
        <v>5081</v>
      </c>
      <c r="S343" s="127" t="s">
        <v>5427</v>
      </c>
    </row>
    <row r="344" spans="1:19">
      <c r="A344" s="93" t="s">
        <v>5379</v>
      </c>
      <c r="B344" s="38" t="s">
        <v>3640</v>
      </c>
      <c r="C344" s="38">
        <v>8317104</v>
      </c>
      <c r="D344" s="74">
        <v>17750243081181</v>
      </c>
      <c r="E344" s="38" t="s">
        <v>1025</v>
      </c>
      <c r="F344" s="38">
        <v>18</v>
      </c>
      <c r="G344" s="38" t="s">
        <v>9</v>
      </c>
      <c r="H344" s="39" t="str">
        <f>_xlfn.XLOOKUP(CRUCE[[#This Row],[Ubicacion]],Registros[Ubicacion],Registros[Codigo], "")</f>
        <v/>
      </c>
      <c r="I344" s="25" t="str">
        <f>_xlfn.XLOOKUP(CRUCE[[#This Row],[Ubicacion]],Registros[Ubicacion],Registros[Total], "")</f>
        <v/>
      </c>
      <c r="J344" s="25" t="str">
        <f>_xlfn.XLOOKUP(CRUCE[[#This Row],[Ubicacion]],Registros[Ubicacion],Registros[UMA], "")</f>
        <v/>
      </c>
      <c r="K344" s="25" t="str">
        <f>IF(CRUCE[[#This Row],[TOTAL]]="","",CRUCE[[#This Row],[TOTAL]]-CRUCE[[#This Row],[BULTOS]])</f>
        <v/>
      </c>
      <c r="L344" s="38" t="str">
        <f>IF(CRUCE[[#This Row],[TOTAL]]="", "PENDIENTE", IF(CRUCE[[#This Row],[Diferencia]]=0, "CUADRADO", IF(CRUCE[[#This Row],[Diferencia]]&gt;0, "SOBRANTE", "FALTANTE")))</f>
        <v>PENDIENTE</v>
      </c>
      <c r="M344" s="71" t="str">
        <f>IF(CRUCE[[#This Row],[Diferencia]]="","",IF(CRUCE[[#This Row],[Diferencia]]=0,"OK","RECONTEO"))</f>
        <v/>
      </c>
      <c r="N344" s="39" t="str">
        <f>_xlfn.XLOOKUP(CRUCE[[#This Row],[Ubicacion]],Registros[Ubicacion],Registros[Codigo], "")</f>
        <v/>
      </c>
      <c r="O344" s="25"/>
      <c r="P344" s="25"/>
      <c r="Q344" s="39" t="str">
        <f>IF(CRUCE[[#This Row],[TOTAL2]]="", "PENDIENTE", IF(CRUCE[[#This Row],[DIFERENCIA2]]=0, "CUADRADO", IF(CRUCE[[#This Row],[DIFERENCIA2]]&gt;0, "SOBRANTE", "FALTANTE")))</f>
        <v>PENDIENTE</v>
      </c>
      <c r="R344" s="103" t="s">
        <v>5081</v>
      </c>
      <c r="S344" s="127" t="s">
        <v>5428</v>
      </c>
    </row>
    <row r="345" spans="1:19">
      <c r="A345" s="92" t="s">
        <v>5379</v>
      </c>
      <c r="B345" s="39" t="s">
        <v>3577</v>
      </c>
      <c r="C345" s="39">
        <v>8316017</v>
      </c>
      <c r="D345" s="73">
        <v>17751851012307</v>
      </c>
      <c r="E345" s="39" t="s">
        <v>897</v>
      </c>
      <c r="F345" s="39">
        <v>8</v>
      </c>
      <c r="G345" s="39" t="s">
        <v>9</v>
      </c>
      <c r="H345" s="39" t="str">
        <f>_xlfn.XLOOKUP(CRUCE[[#This Row],[Ubicacion]],Registros[Ubicacion],Registros[Codigo], "")</f>
        <v/>
      </c>
      <c r="I345" s="26" t="str">
        <f>_xlfn.XLOOKUP(CRUCE[[#This Row],[Ubicacion]],Registros[Ubicacion],Registros[Total], "")</f>
        <v/>
      </c>
      <c r="J345" s="26" t="str">
        <f>_xlfn.XLOOKUP(CRUCE[[#This Row],[Ubicacion]],Registros[Ubicacion],Registros[UMA], "")</f>
        <v/>
      </c>
      <c r="K345" s="26" t="str">
        <f>IF(CRUCE[[#This Row],[TOTAL]]="","",CRUCE[[#This Row],[TOTAL]]-CRUCE[[#This Row],[BULTOS]])</f>
        <v/>
      </c>
      <c r="L345" s="39" t="str">
        <f>IF(CRUCE[[#This Row],[TOTAL]]="", "PENDIENTE", IF(CRUCE[[#This Row],[Diferencia]]=0, "CUADRADO", IF(CRUCE[[#This Row],[Diferencia]]&gt;0, "SOBRANTE", "FALTANTE")))</f>
        <v>PENDIENTE</v>
      </c>
      <c r="M345" s="72" t="str">
        <f>IF(CRUCE[[#This Row],[Diferencia]]="","",IF(CRUCE[[#This Row],[Diferencia]]=0,"OK","RECONTEO"))</f>
        <v/>
      </c>
      <c r="N345" s="39" t="str">
        <f>_xlfn.XLOOKUP(CRUCE[[#This Row],[Ubicacion]],Registros[Ubicacion],Registros[Codigo], "")</f>
        <v/>
      </c>
      <c r="O345" s="26"/>
      <c r="P345" s="26"/>
      <c r="Q345" s="39" t="str">
        <f>IF(CRUCE[[#This Row],[TOTAL2]]="", "PENDIENTE", IF(CRUCE[[#This Row],[DIFERENCIA2]]=0, "CUADRADO", IF(CRUCE[[#This Row],[DIFERENCIA2]]&gt;0, "SOBRANTE", "FALTANTE")))</f>
        <v>PENDIENTE</v>
      </c>
      <c r="R345" s="102" t="s">
        <v>5081</v>
      </c>
      <c r="S345" s="127" t="s">
        <v>5429</v>
      </c>
    </row>
    <row r="346" spans="1:19">
      <c r="A346" s="93" t="s">
        <v>5379</v>
      </c>
      <c r="B346" s="38" t="s">
        <v>3483</v>
      </c>
      <c r="C346" s="38">
        <v>8312015</v>
      </c>
      <c r="D346" s="74">
        <v>17751851012949</v>
      </c>
      <c r="E346" s="38" t="s">
        <v>747</v>
      </c>
      <c r="F346" s="38">
        <v>1</v>
      </c>
      <c r="G346" s="38" t="s">
        <v>9</v>
      </c>
      <c r="H346" s="39" t="str">
        <f>_xlfn.XLOOKUP(CRUCE[[#This Row],[Ubicacion]],Registros[Ubicacion],Registros[Codigo], "")</f>
        <v/>
      </c>
      <c r="I346" s="25" t="str">
        <f>_xlfn.XLOOKUP(CRUCE[[#This Row],[Ubicacion]],Registros[Ubicacion],Registros[Total], "")</f>
        <v/>
      </c>
      <c r="J346" s="25" t="str">
        <f>_xlfn.XLOOKUP(CRUCE[[#This Row],[Ubicacion]],Registros[Ubicacion],Registros[UMA], "")</f>
        <v/>
      </c>
      <c r="K346" s="25" t="str">
        <f>IF(CRUCE[[#This Row],[TOTAL]]="","",CRUCE[[#This Row],[TOTAL]]-CRUCE[[#This Row],[BULTOS]])</f>
        <v/>
      </c>
      <c r="L346" s="38" t="str">
        <f>IF(CRUCE[[#This Row],[TOTAL]]="", "PENDIENTE", IF(CRUCE[[#This Row],[Diferencia]]=0, "CUADRADO", IF(CRUCE[[#This Row],[Diferencia]]&gt;0, "SOBRANTE", "FALTANTE")))</f>
        <v>PENDIENTE</v>
      </c>
      <c r="M346" s="71" t="str">
        <f>IF(CRUCE[[#This Row],[Diferencia]]="","",IF(CRUCE[[#This Row],[Diferencia]]=0,"OK","RECONTEO"))</f>
        <v/>
      </c>
      <c r="N346" s="39" t="str">
        <f>_xlfn.XLOOKUP(CRUCE[[#This Row],[Ubicacion]],Registros[Ubicacion],Registros[Codigo], "")</f>
        <v/>
      </c>
      <c r="O346" s="25"/>
      <c r="P346" s="25"/>
      <c r="Q346" s="39" t="str">
        <f>IF(CRUCE[[#This Row],[TOTAL2]]="", "PENDIENTE", IF(CRUCE[[#This Row],[DIFERENCIA2]]=0, "CUADRADO", IF(CRUCE[[#This Row],[DIFERENCIA2]]&gt;0, "SOBRANTE", "FALTANTE")))</f>
        <v>PENDIENTE</v>
      </c>
      <c r="R346" s="103" t="s">
        <v>5081</v>
      </c>
      <c r="S346" s="127" t="s">
        <v>5430</v>
      </c>
    </row>
    <row r="347" spans="1:19">
      <c r="A347" s="92" t="s">
        <v>5431</v>
      </c>
      <c r="B347" s="39" t="s">
        <v>3933</v>
      </c>
      <c r="C347" s="39">
        <v>8406144</v>
      </c>
      <c r="D347" s="73">
        <v>17750243080610</v>
      </c>
      <c r="E347" s="39" t="s">
        <v>2255</v>
      </c>
      <c r="F347" s="39">
        <v>9</v>
      </c>
      <c r="G347" s="39" t="s">
        <v>288</v>
      </c>
      <c r="H347" s="39" t="str">
        <f>_xlfn.XLOOKUP(CRUCE[[#This Row],[Ubicacion]],Registros[Ubicacion],Registros[Codigo], "")</f>
        <v/>
      </c>
      <c r="I347" s="26" t="str">
        <f>_xlfn.XLOOKUP(CRUCE[[#This Row],[Ubicacion]],Registros[Ubicacion],Registros[Total], "")</f>
        <v/>
      </c>
      <c r="J347" s="26" t="str">
        <f>_xlfn.XLOOKUP(CRUCE[[#This Row],[Ubicacion]],Registros[Ubicacion],Registros[UMA], "")</f>
        <v/>
      </c>
      <c r="K347" s="26" t="str">
        <f>IF(CRUCE[[#This Row],[TOTAL]]="","",CRUCE[[#This Row],[TOTAL]]-CRUCE[[#This Row],[BULTOS]])</f>
        <v/>
      </c>
      <c r="L347" s="39" t="str">
        <f>IF(CRUCE[[#This Row],[TOTAL]]="", "PENDIENTE", IF(CRUCE[[#This Row],[Diferencia]]=0, "CUADRADO", IF(CRUCE[[#This Row],[Diferencia]]&gt;0, "SOBRANTE", "FALTANTE")))</f>
        <v>PENDIENTE</v>
      </c>
      <c r="M347" s="72" t="str">
        <f>IF(CRUCE[[#This Row],[Diferencia]]="","",IF(CRUCE[[#This Row],[Diferencia]]=0,"OK","RECONTEO"))</f>
        <v/>
      </c>
      <c r="N347" s="39" t="str">
        <f>_xlfn.XLOOKUP(CRUCE[[#This Row],[Ubicacion]],Registros[Ubicacion],Registros[Codigo], "")</f>
        <v/>
      </c>
      <c r="O347" s="26"/>
      <c r="P347" s="26"/>
      <c r="Q347" s="39" t="str">
        <f>IF(CRUCE[[#This Row],[TOTAL2]]="", "PENDIENTE", IF(CRUCE[[#This Row],[DIFERENCIA2]]=0, "CUADRADO", IF(CRUCE[[#This Row],[DIFERENCIA2]]&gt;0, "SOBRANTE", "FALTANTE")))</f>
        <v>PENDIENTE</v>
      </c>
      <c r="R347" s="102" t="s">
        <v>5081</v>
      </c>
      <c r="S347" s="127" t="s">
        <v>5432</v>
      </c>
    </row>
    <row r="348" spans="1:19">
      <c r="A348" s="93" t="s">
        <v>5431</v>
      </c>
      <c r="B348" s="38" t="s">
        <v>3816</v>
      </c>
      <c r="C348" s="38">
        <v>8400642</v>
      </c>
      <c r="D348" s="74">
        <v>17750243078976</v>
      </c>
      <c r="E348" s="38" t="s">
        <v>3817</v>
      </c>
      <c r="F348" s="38">
        <v>10</v>
      </c>
      <c r="G348" s="38" t="s">
        <v>288</v>
      </c>
      <c r="H348" s="39" t="str">
        <f>_xlfn.XLOOKUP(CRUCE[[#This Row],[Ubicacion]],Registros[Ubicacion],Registros[Codigo], "")</f>
        <v/>
      </c>
      <c r="I348" s="25" t="str">
        <f>_xlfn.XLOOKUP(CRUCE[[#This Row],[Ubicacion]],Registros[Ubicacion],Registros[Total], "")</f>
        <v/>
      </c>
      <c r="J348" s="25" t="str">
        <f>_xlfn.XLOOKUP(CRUCE[[#This Row],[Ubicacion]],Registros[Ubicacion],Registros[UMA], "")</f>
        <v/>
      </c>
      <c r="K348" s="25" t="str">
        <f>IF(CRUCE[[#This Row],[TOTAL]]="","",CRUCE[[#This Row],[TOTAL]]-CRUCE[[#This Row],[BULTOS]])</f>
        <v/>
      </c>
      <c r="L348" s="38" t="str">
        <f>IF(CRUCE[[#This Row],[TOTAL]]="", "PENDIENTE", IF(CRUCE[[#This Row],[Diferencia]]=0, "CUADRADO", IF(CRUCE[[#This Row],[Diferencia]]&gt;0, "SOBRANTE", "FALTANTE")))</f>
        <v>PENDIENTE</v>
      </c>
      <c r="M348" s="71" t="str">
        <f>IF(CRUCE[[#This Row],[Diferencia]]="","",IF(CRUCE[[#This Row],[Diferencia]]=0,"OK","RECONTEO"))</f>
        <v/>
      </c>
      <c r="N348" s="39" t="str">
        <f>_xlfn.XLOOKUP(CRUCE[[#This Row],[Ubicacion]],Registros[Ubicacion],Registros[Codigo], "")</f>
        <v/>
      </c>
      <c r="O348" s="25"/>
      <c r="P348" s="25"/>
      <c r="Q348" s="39" t="str">
        <f>IF(CRUCE[[#This Row],[TOTAL2]]="", "PENDIENTE", IF(CRUCE[[#This Row],[DIFERENCIA2]]=0, "CUADRADO", IF(CRUCE[[#This Row],[DIFERENCIA2]]&gt;0, "SOBRANTE", "FALTANTE")))</f>
        <v>PENDIENTE</v>
      </c>
      <c r="R348" s="103" t="s">
        <v>5081</v>
      </c>
      <c r="S348" s="127" t="s">
        <v>5433</v>
      </c>
    </row>
    <row r="349" spans="1:19">
      <c r="A349" s="92" t="s">
        <v>5431</v>
      </c>
      <c r="B349" s="39" t="s">
        <v>3980</v>
      </c>
      <c r="C349" s="39">
        <v>8408044</v>
      </c>
      <c r="D349" s="73">
        <v>17750243083888</v>
      </c>
      <c r="E349" s="39" t="s">
        <v>3981</v>
      </c>
      <c r="F349" s="39">
        <v>7</v>
      </c>
      <c r="G349" s="39" t="s">
        <v>288</v>
      </c>
      <c r="H349" s="39" t="str">
        <f>_xlfn.XLOOKUP(CRUCE[[#This Row],[Ubicacion]],Registros[Ubicacion],Registros[Codigo], "")</f>
        <v/>
      </c>
      <c r="I349" s="26" t="str">
        <f>_xlfn.XLOOKUP(CRUCE[[#This Row],[Ubicacion]],Registros[Ubicacion],Registros[Total], "")</f>
        <v/>
      </c>
      <c r="J349" s="26" t="str">
        <f>_xlfn.XLOOKUP(CRUCE[[#This Row],[Ubicacion]],Registros[Ubicacion],Registros[UMA], "")</f>
        <v/>
      </c>
      <c r="K349" s="26" t="str">
        <f>IF(CRUCE[[#This Row],[TOTAL]]="","",CRUCE[[#This Row],[TOTAL]]-CRUCE[[#This Row],[BULTOS]])</f>
        <v/>
      </c>
      <c r="L349" s="39" t="str">
        <f>IF(CRUCE[[#This Row],[TOTAL]]="", "PENDIENTE", IF(CRUCE[[#This Row],[Diferencia]]=0, "CUADRADO", IF(CRUCE[[#This Row],[Diferencia]]&gt;0, "SOBRANTE", "FALTANTE")))</f>
        <v>PENDIENTE</v>
      </c>
      <c r="M349" s="72" t="str">
        <f>IF(CRUCE[[#This Row],[Diferencia]]="","",IF(CRUCE[[#This Row],[Diferencia]]=0,"OK","RECONTEO"))</f>
        <v/>
      </c>
      <c r="N349" s="39" t="str">
        <f>_xlfn.XLOOKUP(CRUCE[[#This Row],[Ubicacion]],Registros[Ubicacion],Registros[Codigo], "")</f>
        <v/>
      </c>
      <c r="O349" s="26"/>
      <c r="P349" s="26"/>
      <c r="Q349" s="39" t="str">
        <f>IF(CRUCE[[#This Row],[TOTAL2]]="", "PENDIENTE", IF(CRUCE[[#This Row],[DIFERENCIA2]]=0, "CUADRADO", IF(CRUCE[[#This Row],[DIFERENCIA2]]&gt;0, "SOBRANTE", "FALTANTE")))</f>
        <v>PENDIENTE</v>
      </c>
      <c r="R349" s="102" t="s">
        <v>5081</v>
      </c>
      <c r="S349" s="127" t="s">
        <v>5434</v>
      </c>
    </row>
    <row r="350" spans="1:19">
      <c r="A350" s="93" t="s">
        <v>5431</v>
      </c>
      <c r="B350" s="38" t="s">
        <v>3236</v>
      </c>
      <c r="C350" s="38">
        <v>8303025</v>
      </c>
      <c r="D350" s="74">
        <v>17751851012154</v>
      </c>
      <c r="E350" s="38" t="s">
        <v>302</v>
      </c>
      <c r="F350" s="38">
        <v>28</v>
      </c>
      <c r="G350" s="38" t="s">
        <v>288</v>
      </c>
      <c r="H350" s="39" t="str">
        <f>_xlfn.XLOOKUP(CRUCE[[#This Row],[Ubicacion]],Registros[Ubicacion],Registros[Codigo], "")</f>
        <v/>
      </c>
      <c r="I350" s="25" t="str">
        <f>_xlfn.XLOOKUP(CRUCE[[#This Row],[Ubicacion]],Registros[Ubicacion],Registros[Total], "")</f>
        <v/>
      </c>
      <c r="J350" s="25" t="str">
        <f>_xlfn.XLOOKUP(CRUCE[[#This Row],[Ubicacion]],Registros[Ubicacion],Registros[UMA], "")</f>
        <v/>
      </c>
      <c r="K350" s="25" t="str">
        <f>IF(CRUCE[[#This Row],[TOTAL]]="","",CRUCE[[#This Row],[TOTAL]]-CRUCE[[#This Row],[BULTOS]])</f>
        <v/>
      </c>
      <c r="L350" s="38" t="str">
        <f>IF(CRUCE[[#This Row],[TOTAL]]="", "PENDIENTE", IF(CRUCE[[#This Row],[Diferencia]]=0, "CUADRADO", IF(CRUCE[[#This Row],[Diferencia]]&gt;0, "SOBRANTE", "FALTANTE")))</f>
        <v>PENDIENTE</v>
      </c>
      <c r="M350" s="71" t="str">
        <f>IF(CRUCE[[#This Row],[Diferencia]]="","",IF(CRUCE[[#This Row],[Diferencia]]=0,"OK","RECONTEO"))</f>
        <v/>
      </c>
      <c r="N350" s="39" t="str">
        <f>_xlfn.XLOOKUP(CRUCE[[#This Row],[Ubicacion]],Registros[Ubicacion],Registros[Codigo], "")</f>
        <v/>
      </c>
      <c r="O350" s="25"/>
      <c r="P350" s="25"/>
      <c r="Q350" s="39" t="str">
        <f>IF(CRUCE[[#This Row],[TOTAL2]]="", "PENDIENTE", IF(CRUCE[[#This Row],[DIFERENCIA2]]=0, "CUADRADO", IF(CRUCE[[#This Row],[DIFERENCIA2]]&gt;0, "SOBRANTE", "FALTANTE")))</f>
        <v>PENDIENTE</v>
      </c>
      <c r="R350" s="103" t="s">
        <v>5081</v>
      </c>
      <c r="S350" s="127" t="s">
        <v>5435</v>
      </c>
    </row>
    <row r="351" spans="1:19">
      <c r="A351" s="92" t="s">
        <v>5431</v>
      </c>
      <c r="B351" s="39" t="s">
        <v>3239</v>
      </c>
      <c r="C351" s="39">
        <v>8303028</v>
      </c>
      <c r="D351" s="73">
        <v>17751851013250</v>
      </c>
      <c r="E351" s="39" t="s">
        <v>306</v>
      </c>
      <c r="F351" s="39">
        <v>13</v>
      </c>
      <c r="G351" s="39" t="s">
        <v>288</v>
      </c>
      <c r="H351" s="39" t="str">
        <f>_xlfn.XLOOKUP(CRUCE[[#This Row],[Ubicacion]],Registros[Ubicacion],Registros[Codigo], "")</f>
        <v/>
      </c>
      <c r="I351" s="26" t="str">
        <f>_xlfn.XLOOKUP(CRUCE[[#This Row],[Ubicacion]],Registros[Ubicacion],Registros[Total], "")</f>
        <v/>
      </c>
      <c r="J351" s="26" t="str">
        <f>_xlfn.XLOOKUP(CRUCE[[#This Row],[Ubicacion]],Registros[Ubicacion],Registros[UMA], "")</f>
        <v/>
      </c>
      <c r="K351" s="26" t="str">
        <f>IF(CRUCE[[#This Row],[TOTAL]]="","",CRUCE[[#This Row],[TOTAL]]-CRUCE[[#This Row],[BULTOS]])</f>
        <v/>
      </c>
      <c r="L351" s="39" t="str">
        <f>IF(CRUCE[[#This Row],[TOTAL]]="", "PENDIENTE", IF(CRUCE[[#This Row],[Diferencia]]=0, "CUADRADO", IF(CRUCE[[#This Row],[Diferencia]]&gt;0, "SOBRANTE", "FALTANTE")))</f>
        <v>PENDIENTE</v>
      </c>
      <c r="M351" s="72" t="str">
        <f>IF(CRUCE[[#This Row],[Diferencia]]="","",IF(CRUCE[[#This Row],[Diferencia]]=0,"OK","RECONTEO"))</f>
        <v/>
      </c>
      <c r="N351" s="39" t="str">
        <f>_xlfn.XLOOKUP(CRUCE[[#This Row],[Ubicacion]],Registros[Ubicacion],Registros[Codigo], "")</f>
        <v/>
      </c>
      <c r="O351" s="26"/>
      <c r="P351" s="26"/>
      <c r="Q351" s="39" t="str">
        <f>IF(CRUCE[[#This Row],[TOTAL2]]="", "PENDIENTE", IF(CRUCE[[#This Row],[DIFERENCIA2]]=0, "CUADRADO", IF(CRUCE[[#This Row],[DIFERENCIA2]]&gt;0, "SOBRANTE", "FALTANTE")))</f>
        <v>PENDIENTE</v>
      </c>
      <c r="R351" s="102" t="s">
        <v>5081</v>
      </c>
      <c r="S351" s="127" t="s">
        <v>5436</v>
      </c>
    </row>
    <row r="352" spans="1:19">
      <c r="A352" s="93" t="s">
        <v>5431</v>
      </c>
      <c r="B352" s="38" t="s">
        <v>4042</v>
      </c>
      <c r="C352" s="38">
        <v>8412043</v>
      </c>
      <c r="D352" s="74">
        <v>17750243079737</v>
      </c>
      <c r="E352" s="38" t="s">
        <v>2598</v>
      </c>
      <c r="F352" s="38">
        <v>35</v>
      </c>
      <c r="G352" s="38" t="s">
        <v>288</v>
      </c>
      <c r="H352" s="39" t="str">
        <f>_xlfn.XLOOKUP(CRUCE[[#This Row],[Ubicacion]],Registros[Ubicacion],Registros[Codigo], "")</f>
        <v/>
      </c>
      <c r="I352" s="25" t="str">
        <f>_xlfn.XLOOKUP(CRUCE[[#This Row],[Ubicacion]],Registros[Ubicacion],Registros[Total], "")</f>
        <v/>
      </c>
      <c r="J352" s="25" t="str">
        <f>_xlfn.XLOOKUP(CRUCE[[#This Row],[Ubicacion]],Registros[Ubicacion],Registros[UMA], "")</f>
        <v/>
      </c>
      <c r="K352" s="25" t="str">
        <f>IF(CRUCE[[#This Row],[TOTAL]]="","",CRUCE[[#This Row],[TOTAL]]-CRUCE[[#This Row],[BULTOS]])</f>
        <v/>
      </c>
      <c r="L352" s="38" t="str">
        <f>IF(CRUCE[[#This Row],[TOTAL]]="", "PENDIENTE", IF(CRUCE[[#This Row],[Diferencia]]=0, "CUADRADO", IF(CRUCE[[#This Row],[Diferencia]]&gt;0, "SOBRANTE", "FALTANTE")))</f>
        <v>PENDIENTE</v>
      </c>
      <c r="M352" s="71" t="str">
        <f>IF(CRUCE[[#This Row],[Diferencia]]="","",IF(CRUCE[[#This Row],[Diferencia]]=0,"OK","RECONTEO"))</f>
        <v/>
      </c>
      <c r="N352" s="39" t="str">
        <f>_xlfn.XLOOKUP(CRUCE[[#This Row],[Ubicacion]],Registros[Ubicacion],Registros[Codigo], "")</f>
        <v/>
      </c>
      <c r="O352" s="25"/>
      <c r="P352" s="25"/>
      <c r="Q352" s="39" t="str">
        <f>IF(CRUCE[[#This Row],[TOTAL2]]="", "PENDIENTE", IF(CRUCE[[#This Row],[DIFERENCIA2]]=0, "CUADRADO", IF(CRUCE[[#This Row],[DIFERENCIA2]]&gt;0, "SOBRANTE", "FALTANTE")))</f>
        <v>PENDIENTE</v>
      </c>
      <c r="R352" s="103" t="s">
        <v>5081</v>
      </c>
      <c r="S352" s="127" t="s">
        <v>5437</v>
      </c>
    </row>
    <row r="353" spans="1:19">
      <c r="A353" s="92" t="s">
        <v>5431</v>
      </c>
      <c r="B353" s="39" t="s">
        <v>3929</v>
      </c>
      <c r="C353" s="39">
        <v>8406143</v>
      </c>
      <c r="D353" s="73">
        <v>17750243080603</v>
      </c>
      <c r="E353" s="39" t="s">
        <v>2253</v>
      </c>
      <c r="F353" s="39">
        <v>17</v>
      </c>
      <c r="G353" s="39" t="s">
        <v>288</v>
      </c>
      <c r="H353" s="39" t="str">
        <f>_xlfn.XLOOKUP(CRUCE[[#This Row],[Ubicacion]],Registros[Ubicacion],Registros[Codigo], "")</f>
        <v/>
      </c>
      <c r="I353" s="26" t="str">
        <f>_xlfn.XLOOKUP(CRUCE[[#This Row],[Ubicacion]],Registros[Ubicacion],Registros[Total], "")</f>
        <v/>
      </c>
      <c r="J353" s="26" t="str">
        <f>_xlfn.XLOOKUP(CRUCE[[#This Row],[Ubicacion]],Registros[Ubicacion],Registros[UMA], "")</f>
        <v/>
      </c>
      <c r="K353" s="26" t="str">
        <f>IF(CRUCE[[#This Row],[TOTAL]]="","",CRUCE[[#This Row],[TOTAL]]-CRUCE[[#This Row],[BULTOS]])</f>
        <v/>
      </c>
      <c r="L353" s="39" t="str">
        <f>IF(CRUCE[[#This Row],[TOTAL]]="", "PENDIENTE", IF(CRUCE[[#This Row],[Diferencia]]=0, "CUADRADO", IF(CRUCE[[#This Row],[Diferencia]]&gt;0, "SOBRANTE", "FALTANTE")))</f>
        <v>PENDIENTE</v>
      </c>
      <c r="M353" s="72" t="str">
        <f>IF(CRUCE[[#This Row],[Diferencia]]="","",IF(CRUCE[[#This Row],[Diferencia]]=0,"OK","RECONTEO"))</f>
        <v/>
      </c>
      <c r="N353" s="39" t="str">
        <f>_xlfn.XLOOKUP(CRUCE[[#This Row],[Ubicacion]],Registros[Ubicacion],Registros[Codigo], "")</f>
        <v/>
      </c>
      <c r="O353" s="26"/>
      <c r="P353" s="26"/>
      <c r="Q353" s="39" t="str">
        <f>IF(CRUCE[[#This Row],[TOTAL2]]="", "PENDIENTE", IF(CRUCE[[#This Row],[DIFERENCIA2]]=0, "CUADRADO", IF(CRUCE[[#This Row],[DIFERENCIA2]]&gt;0, "SOBRANTE", "FALTANTE")))</f>
        <v>PENDIENTE</v>
      </c>
      <c r="R353" s="102" t="s">
        <v>5081</v>
      </c>
      <c r="S353" s="127" t="s">
        <v>5438</v>
      </c>
    </row>
    <row r="354" spans="1:19">
      <c r="A354" s="93" t="s">
        <v>5431</v>
      </c>
      <c r="B354" s="38" t="s">
        <v>3931</v>
      </c>
      <c r="C354" s="38">
        <v>8406143</v>
      </c>
      <c r="D354" s="74">
        <v>17750243080603</v>
      </c>
      <c r="E354" s="38" t="s">
        <v>2253</v>
      </c>
      <c r="F354" s="38">
        <v>17</v>
      </c>
      <c r="G354" s="38" t="s">
        <v>288</v>
      </c>
      <c r="H354" s="39" t="str">
        <f>_xlfn.XLOOKUP(CRUCE[[#This Row],[Ubicacion]],Registros[Ubicacion],Registros[Codigo], "")</f>
        <v/>
      </c>
      <c r="I354" s="25" t="str">
        <f>_xlfn.XLOOKUP(CRUCE[[#This Row],[Ubicacion]],Registros[Ubicacion],Registros[Total], "")</f>
        <v/>
      </c>
      <c r="J354" s="25" t="str">
        <f>_xlfn.XLOOKUP(CRUCE[[#This Row],[Ubicacion]],Registros[Ubicacion],Registros[UMA], "")</f>
        <v/>
      </c>
      <c r="K354" s="25" t="str">
        <f>IF(CRUCE[[#This Row],[TOTAL]]="","",CRUCE[[#This Row],[TOTAL]]-CRUCE[[#This Row],[BULTOS]])</f>
        <v/>
      </c>
      <c r="L354" s="38" t="str">
        <f>IF(CRUCE[[#This Row],[TOTAL]]="", "PENDIENTE", IF(CRUCE[[#This Row],[Diferencia]]=0, "CUADRADO", IF(CRUCE[[#This Row],[Diferencia]]&gt;0, "SOBRANTE", "FALTANTE")))</f>
        <v>PENDIENTE</v>
      </c>
      <c r="M354" s="71" t="str">
        <f>IF(CRUCE[[#This Row],[Diferencia]]="","",IF(CRUCE[[#This Row],[Diferencia]]=0,"OK","RECONTEO"))</f>
        <v/>
      </c>
      <c r="N354" s="39" t="str">
        <f>_xlfn.XLOOKUP(CRUCE[[#This Row],[Ubicacion]],Registros[Ubicacion],Registros[Codigo], "")</f>
        <v/>
      </c>
      <c r="O354" s="25"/>
      <c r="P354" s="25"/>
      <c r="Q354" s="39" t="str">
        <f>IF(CRUCE[[#This Row],[TOTAL2]]="", "PENDIENTE", IF(CRUCE[[#This Row],[DIFERENCIA2]]=0, "CUADRADO", IF(CRUCE[[#This Row],[DIFERENCIA2]]&gt;0, "SOBRANTE", "FALTANTE")))</f>
        <v>PENDIENTE</v>
      </c>
      <c r="R354" s="103" t="s">
        <v>5081</v>
      </c>
      <c r="S354" s="127" t="s">
        <v>5439</v>
      </c>
    </row>
    <row r="355" spans="1:19">
      <c r="A355" s="92" t="s">
        <v>5431</v>
      </c>
      <c r="B355" s="39" t="s">
        <v>3824</v>
      </c>
      <c r="C355" s="39">
        <v>8400644</v>
      </c>
      <c r="D355" s="73">
        <v>17750243078969</v>
      </c>
      <c r="E355" s="39" t="s">
        <v>2044</v>
      </c>
      <c r="F355" s="39">
        <v>17</v>
      </c>
      <c r="G355" s="39" t="s">
        <v>288</v>
      </c>
      <c r="H355" s="39" t="str">
        <f>_xlfn.XLOOKUP(CRUCE[[#This Row],[Ubicacion]],Registros[Ubicacion],Registros[Codigo], "")</f>
        <v/>
      </c>
      <c r="I355" s="26" t="str">
        <f>_xlfn.XLOOKUP(CRUCE[[#This Row],[Ubicacion]],Registros[Ubicacion],Registros[Total], "")</f>
        <v/>
      </c>
      <c r="J355" s="26" t="str">
        <f>_xlfn.XLOOKUP(CRUCE[[#This Row],[Ubicacion]],Registros[Ubicacion],Registros[UMA], "")</f>
        <v/>
      </c>
      <c r="K355" s="26" t="str">
        <f>IF(CRUCE[[#This Row],[TOTAL]]="","",CRUCE[[#This Row],[TOTAL]]-CRUCE[[#This Row],[BULTOS]])</f>
        <v/>
      </c>
      <c r="L355" s="39" t="str">
        <f>IF(CRUCE[[#This Row],[TOTAL]]="", "PENDIENTE", IF(CRUCE[[#This Row],[Diferencia]]=0, "CUADRADO", IF(CRUCE[[#This Row],[Diferencia]]&gt;0, "SOBRANTE", "FALTANTE")))</f>
        <v>PENDIENTE</v>
      </c>
      <c r="M355" s="72" t="str">
        <f>IF(CRUCE[[#This Row],[Diferencia]]="","",IF(CRUCE[[#This Row],[Diferencia]]=0,"OK","RECONTEO"))</f>
        <v/>
      </c>
      <c r="N355" s="39" t="str">
        <f>_xlfn.XLOOKUP(CRUCE[[#This Row],[Ubicacion]],Registros[Ubicacion],Registros[Codigo], "")</f>
        <v/>
      </c>
      <c r="O355" s="26"/>
      <c r="P355" s="26"/>
      <c r="Q355" s="39" t="str">
        <f>IF(CRUCE[[#This Row],[TOTAL2]]="", "PENDIENTE", IF(CRUCE[[#This Row],[DIFERENCIA2]]=0, "CUADRADO", IF(CRUCE[[#This Row],[DIFERENCIA2]]&gt;0, "SOBRANTE", "FALTANTE")))</f>
        <v>PENDIENTE</v>
      </c>
      <c r="R355" s="102" t="s">
        <v>5081</v>
      </c>
      <c r="S355" s="127" t="s">
        <v>5440</v>
      </c>
    </row>
    <row r="356" spans="1:19">
      <c r="A356" s="93" t="s">
        <v>5431</v>
      </c>
      <c r="B356" s="38" t="s">
        <v>3826</v>
      </c>
      <c r="C356" s="38">
        <v>8400644</v>
      </c>
      <c r="D356" s="74">
        <v>17750243078969</v>
      </c>
      <c r="E356" s="38" t="s">
        <v>2044</v>
      </c>
      <c r="F356" s="38">
        <v>17</v>
      </c>
      <c r="G356" s="38" t="s">
        <v>288</v>
      </c>
      <c r="H356" s="39" t="str">
        <f>_xlfn.XLOOKUP(CRUCE[[#This Row],[Ubicacion]],Registros[Ubicacion],Registros[Codigo], "")</f>
        <v/>
      </c>
      <c r="I356" s="25" t="str">
        <f>_xlfn.XLOOKUP(CRUCE[[#This Row],[Ubicacion]],Registros[Ubicacion],Registros[Total], "")</f>
        <v/>
      </c>
      <c r="J356" s="25" t="str">
        <f>_xlfn.XLOOKUP(CRUCE[[#This Row],[Ubicacion]],Registros[Ubicacion],Registros[UMA], "")</f>
        <v/>
      </c>
      <c r="K356" s="25" t="str">
        <f>IF(CRUCE[[#This Row],[TOTAL]]="","",CRUCE[[#This Row],[TOTAL]]-CRUCE[[#This Row],[BULTOS]])</f>
        <v/>
      </c>
      <c r="L356" s="38" t="str">
        <f>IF(CRUCE[[#This Row],[TOTAL]]="", "PENDIENTE", IF(CRUCE[[#This Row],[Diferencia]]=0, "CUADRADO", IF(CRUCE[[#This Row],[Diferencia]]&gt;0, "SOBRANTE", "FALTANTE")))</f>
        <v>PENDIENTE</v>
      </c>
      <c r="M356" s="71" t="str">
        <f>IF(CRUCE[[#This Row],[Diferencia]]="","",IF(CRUCE[[#This Row],[Diferencia]]=0,"OK","RECONTEO"))</f>
        <v/>
      </c>
      <c r="N356" s="39" t="str">
        <f>_xlfn.XLOOKUP(CRUCE[[#This Row],[Ubicacion]],Registros[Ubicacion],Registros[Codigo], "")</f>
        <v/>
      </c>
      <c r="O356" s="25"/>
      <c r="P356" s="25"/>
      <c r="Q356" s="39" t="str">
        <f>IF(CRUCE[[#This Row],[TOTAL2]]="", "PENDIENTE", IF(CRUCE[[#This Row],[DIFERENCIA2]]=0, "CUADRADO", IF(CRUCE[[#This Row],[DIFERENCIA2]]&gt;0, "SOBRANTE", "FALTANTE")))</f>
        <v>PENDIENTE</v>
      </c>
      <c r="R356" s="103" t="s">
        <v>5081</v>
      </c>
      <c r="S356" s="127" t="s">
        <v>5441</v>
      </c>
    </row>
    <row r="357" spans="1:19">
      <c r="A357" s="92" t="s">
        <v>5431</v>
      </c>
      <c r="B357" s="39" t="s">
        <v>3785</v>
      </c>
      <c r="C357" s="39">
        <v>8400634</v>
      </c>
      <c r="D357" s="73">
        <v>17750243079010</v>
      </c>
      <c r="E357" s="39" t="s">
        <v>3786</v>
      </c>
      <c r="F357" s="39">
        <v>13</v>
      </c>
      <c r="G357" s="39" t="s">
        <v>288</v>
      </c>
      <c r="H357" s="39" t="str">
        <f>_xlfn.XLOOKUP(CRUCE[[#This Row],[Ubicacion]],Registros[Ubicacion],Registros[Codigo], "")</f>
        <v/>
      </c>
      <c r="I357" s="26" t="str">
        <f>_xlfn.XLOOKUP(CRUCE[[#This Row],[Ubicacion]],Registros[Ubicacion],Registros[Total], "")</f>
        <v/>
      </c>
      <c r="J357" s="26" t="str">
        <f>_xlfn.XLOOKUP(CRUCE[[#This Row],[Ubicacion]],Registros[Ubicacion],Registros[UMA], "")</f>
        <v/>
      </c>
      <c r="K357" s="26" t="str">
        <f>IF(CRUCE[[#This Row],[TOTAL]]="","",CRUCE[[#This Row],[TOTAL]]-CRUCE[[#This Row],[BULTOS]])</f>
        <v/>
      </c>
      <c r="L357" s="39" t="str">
        <f>IF(CRUCE[[#This Row],[TOTAL]]="", "PENDIENTE", IF(CRUCE[[#This Row],[Diferencia]]=0, "CUADRADO", IF(CRUCE[[#This Row],[Diferencia]]&gt;0, "SOBRANTE", "FALTANTE")))</f>
        <v>PENDIENTE</v>
      </c>
      <c r="M357" s="72" t="str">
        <f>IF(CRUCE[[#This Row],[Diferencia]]="","",IF(CRUCE[[#This Row],[Diferencia]]=0,"OK","RECONTEO"))</f>
        <v/>
      </c>
      <c r="N357" s="39" t="str">
        <f>_xlfn.XLOOKUP(CRUCE[[#This Row],[Ubicacion]],Registros[Ubicacion],Registros[Codigo], "")</f>
        <v/>
      </c>
      <c r="O357" s="26"/>
      <c r="P357" s="26"/>
      <c r="Q357" s="39" t="str">
        <f>IF(CRUCE[[#This Row],[TOTAL2]]="", "PENDIENTE", IF(CRUCE[[#This Row],[DIFERENCIA2]]=0, "CUADRADO", IF(CRUCE[[#This Row],[DIFERENCIA2]]&gt;0, "SOBRANTE", "FALTANTE")))</f>
        <v>PENDIENTE</v>
      </c>
      <c r="R357" s="102" t="s">
        <v>5081</v>
      </c>
      <c r="S357" s="127" t="s">
        <v>5442</v>
      </c>
    </row>
    <row r="358" spans="1:19">
      <c r="A358" s="93" t="s">
        <v>5431</v>
      </c>
      <c r="B358" s="38" t="s">
        <v>3793</v>
      </c>
      <c r="C358" s="38">
        <v>8400636</v>
      </c>
      <c r="D358" s="74">
        <v>17750243078990</v>
      </c>
      <c r="E358" s="38" t="s">
        <v>3794</v>
      </c>
      <c r="F358" s="38">
        <v>19</v>
      </c>
      <c r="G358" s="38" t="s">
        <v>288</v>
      </c>
      <c r="H358" s="39" t="str">
        <f>_xlfn.XLOOKUP(CRUCE[[#This Row],[Ubicacion]],Registros[Ubicacion],Registros[Codigo], "")</f>
        <v/>
      </c>
      <c r="I358" s="25" t="str">
        <f>_xlfn.XLOOKUP(CRUCE[[#This Row],[Ubicacion]],Registros[Ubicacion],Registros[Total], "")</f>
        <v/>
      </c>
      <c r="J358" s="25" t="str">
        <f>_xlfn.XLOOKUP(CRUCE[[#This Row],[Ubicacion]],Registros[Ubicacion],Registros[UMA], "")</f>
        <v/>
      </c>
      <c r="K358" s="25" t="str">
        <f>IF(CRUCE[[#This Row],[TOTAL]]="","",CRUCE[[#This Row],[TOTAL]]-CRUCE[[#This Row],[BULTOS]])</f>
        <v/>
      </c>
      <c r="L358" s="38" t="str">
        <f>IF(CRUCE[[#This Row],[TOTAL]]="", "PENDIENTE", IF(CRUCE[[#This Row],[Diferencia]]=0, "CUADRADO", IF(CRUCE[[#This Row],[Diferencia]]&gt;0, "SOBRANTE", "FALTANTE")))</f>
        <v>PENDIENTE</v>
      </c>
      <c r="M358" s="71" t="str">
        <f>IF(CRUCE[[#This Row],[Diferencia]]="","",IF(CRUCE[[#This Row],[Diferencia]]=0,"OK","RECONTEO"))</f>
        <v/>
      </c>
      <c r="N358" s="39" t="str">
        <f>_xlfn.XLOOKUP(CRUCE[[#This Row],[Ubicacion]],Registros[Ubicacion],Registros[Codigo], "")</f>
        <v/>
      </c>
      <c r="O358" s="25"/>
      <c r="P358" s="25"/>
      <c r="Q358" s="39" t="str">
        <f>IF(CRUCE[[#This Row],[TOTAL2]]="", "PENDIENTE", IF(CRUCE[[#This Row],[DIFERENCIA2]]=0, "CUADRADO", IF(CRUCE[[#This Row],[DIFERENCIA2]]&gt;0, "SOBRANTE", "FALTANTE")))</f>
        <v>PENDIENTE</v>
      </c>
      <c r="R358" s="103" t="s">
        <v>5081</v>
      </c>
      <c r="S358" s="127" t="s">
        <v>5443</v>
      </c>
    </row>
    <row r="359" spans="1:19">
      <c r="A359" s="92" t="s">
        <v>5431</v>
      </c>
      <c r="B359" s="39" t="s">
        <v>3945</v>
      </c>
      <c r="C359" s="39">
        <v>8406150</v>
      </c>
      <c r="D359" s="73">
        <v>17750243080665</v>
      </c>
      <c r="E359" s="39" t="s">
        <v>2267</v>
      </c>
      <c r="F359" s="39">
        <v>13</v>
      </c>
      <c r="G359" s="39" t="s">
        <v>288</v>
      </c>
      <c r="H359" s="39" t="str">
        <f>_xlfn.XLOOKUP(CRUCE[[#This Row],[Ubicacion]],Registros[Ubicacion],Registros[Codigo], "")</f>
        <v/>
      </c>
      <c r="I359" s="26" t="str">
        <f>_xlfn.XLOOKUP(CRUCE[[#This Row],[Ubicacion]],Registros[Ubicacion],Registros[Total], "")</f>
        <v/>
      </c>
      <c r="J359" s="26" t="str">
        <f>_xlfn.XLOOKUP(CRUCE[[#This Row],[Ubicacion]],Registros[Ubicacion],Registros[UMA], "")</f>
        <v/>
      </c>
      <c r="K359" s="26" t="str">
        <f>IF(CRUCE[[#This Row],[TOTAL]]="","",CRUCE[[#This Row],[TOTAL]]-CRUCE[[#This Row],[BULTOS]])</f>
        <v/>
      </c>
      <c r="L359" s="39" t="str">
        <f>IF(CRUCE[[#This Row],[TOTAL]]="", "PENDIENTE", IF(CRUCE[[#This Row],[Diferencia]]=0, "CUADRADO", IF(CRUCE[[#This Row],[Diferencia]]&gt;0, "SOBRANTE", "FALTANTE")))</f>
        <v>PENDIENTE</v>
      </c>
      <c r="M359" s="72" t="str">
        <f>IF(CRUCE[[#This Row],[Diferencia]]="","",IF(CRUCE[[#This Row],[Diferencia]]=0,"OK","RECONTEO"))</f>
        <v/>
      </c>
      <c r="N359" s="39" t="str">
        <f>_xlfn.XLOOKUP(CRUCE[[#This Row],[Ubicacion]],Registros[Ubicacion],Registros[Codigo], "")</f>
        <v/>
      </c>
      <c r="O359" s="26"/>
      <c r="P359" s="26"/>
      <c r="Q359" s="39" t="str">
        <f>IF(CRUCE[[#This Row],[TOTAL2]]="", "PENDIENTE", IF(CRUCE[[#This Row],[DIFERENCIA2]]=0, "CUADRADO", IF(CRUCE[[#This Row],[DIFERENCIA2]]&gt;0, "SOBRANTE", "FALTANTE")))</f>
        <v>PENDIENTE</v>
      </c>
      <c r="R359" s="102" t="s">
        <v>5081</v>
      </c>
      <c r="S359" s="127" t="s">
        <v>5444</v>
      </c>
    </row>
    <row r="360" spans="1:19">
      <c r="A360" s="93" t="s">
        <v>5431</v>
      </c>
      <c r="B360" s="38" t="s">
        <v>3843</v>
      </c>
      <c r="C360" s="38">
        <v>8400690</v>
      </c>
      <c r="D360" s="74">
        <v>37750243078963</v>
      </c>
      <c r="E360" s="38" t="s">
        <v>2098</v>
      </c>
      <c r="F360" s="38">
        <v>6</v>
      </c>
      <c r="G360" s="38" t="s">
        <v>288</v>
      </c>
      <c r="H360" s="39" t="str">
        <f>_xlfn.XLOOKUP(CRUCE[[#This Row],[Ubicacion]],Registros[Ubicacion],Registros[Codigo], "")</f>
        <v/>
      </c>
      <c r="I360" s="25" t="str">
        <f>_xlfn.XLOOKUP(CRUCE[[#This Row],[Ubicacion]],Registros[Ubicacion],Registros[Total], "")</f>
        <v/>
      </c>
      <c r="J360" s="25" t="str">
        <f>_xlfn.XLOOKUP(CRUCE[[#This Row],[Ubicacion]],Registros[Ubicacion],Registros[UMA], "")</f>
        <v/>
      </c>
      <c r="K360" s="25" t="str">
        <f>IF(CRUCE[[#This Row],[TOTAL]]="","",CRUCE[[#This Row],[TOTAL]]-CRUCE[[#This Row],[BULTOS]])</f>
        <v/>
      </c>
      <c r="L360" s="38" t="str">
        <f>IF(CRUCE[[#This Row],[TOTAL]]="", "PENDIENTE", IF(CRUCE[[#This Row],[Diferencia]]=0, "CUADRADO", IF(CRUCE[[#This Row],[Diferencia]]&gt;0, "SOBRANTE", "FALTANTE")))</f>
        <v>PENDIENTE</v>
      </c>
      <c r="M360" s="71" t="str">
        <f>IF(CRUCE[[#This Row],[Diferencia]]="","",IF(CRUCE[[#This Row],[Diferencia]]=0,"OK","RECONTEO"))</f>
        <v/>
      </c>
      <c r="N360" s="39" t="str">
        <f>_xlfn.XLOOKUP(CRUCE[[#This Row],[Ubicacion]],Registros[Ubicacion],Registros[Codigo], "")</f>
        <v/>
      </c>
      <c r="O360" s="25"/>
      <c r="P360" s="25"/>
      <c r="Q360" s="39" t="str">
        <f>IF(CRUCE[[#This Row],[TOTAL2]]="", "PENDIENTE", IF(CRUCE[[#This Row],[DIFERENCIA2]]=0, "CUADRADO", IF(CRUCE[[#This Row],[DIFERENCIA2]]&gt;0, "SOBRANTE", "FALTANTE")))</f>
        <v>PENDIENTE</v>
      </c>
      <c r="R360" s="103" t="s">
        <v>5081</v>
      </c>
      <c r="S360" s="127" t="s">
        <v>5445</v>
      </c>
    </row>
    <row r="361" spans="1:19">
      <c r="A361" s="92" t="s">
        <v>5431</v>
      </c>
      <c r="B361" s="39" t="s">
        <v>3953</v>
      </c>
      <c r="C361" s="39">
        <v>8406155</v>
      </c>
      <c r="D361" s="73">
        <v>17750243080702</v>
      </c>
      <c r="E361" s="39" t="s">
        <v>2277</v>
      </c>
      <c r="F361" s="39">
        <v>15</v>
      </c>
      <c r="G361" s="39" t="s">
        <v>288</v>
      </c>
      <c r="H361" s="39" t="str">
        <f>_xlfn.XLOOKUP(CRUCE[[#This Row],[Ubicacion]],Registros[Ubicacion],Registros[Codigo], "")</f>
        <v/>
      </c>
      <c r="I361" s="26" t="str">
        <f>_xlfn.XLOOKUP(CRUCE[[#This Row],[Ubicacion]],Registros[Ubicacion],Registros[Total], "")</f>
        <v/>
      </c>
      <c r="J361" s="26" t="str">
        <f>_xlfn.XLOOKUP(CRUCE[[#This Row],[Ubicacion]],Registros[Ubicacion],Registros[UMA], "")</f>
        <v/>
      </c>
      <c r="K361" s="26" t="str">
        <f>IF(CRUCE[[#This Row],[TOTAL]]="","",CRUCE[[#This Row],[TOTAL]]-CRUCE[[#This Row],[BULTOS]])</f>
        <v/>
      </c>
      <c r="L361" s="39" t="str">
        <f>IF(CRUCE[[#This Row],[TOTAL]]="", "PENDIENTE", IF(CRUCE[[#This Row],[Diferencia]]=0, "CUADRADO", IF(CRUCE[[#This Row],[Diferencia]]&gt;0, "SOBRANTE", "FALTANTE")))</f>
        <v>PENDIENTE</v>
      </c>
      <c r="M361" s="72" t="str">
        <f>IF(CRUCE[[#This Row],[Diferencia]]="","",IF(CRUCE[[#This Row],[Diferencia]]=0,"OK","RECONTEO"))</f>
        <v/>
      </c>
      <c r="N361" s="39" t="str">
        <f>_xlfn.XLOOKUP(CRUCE[[#This Row],[Ubicacion]],Registros[Ubicacion],Registros[Codigo], "")</f>
        <v/>
      </c>
      <c r="O361" s="26"/>
      <c r="P361" s="26"/>
      <c r="Q361" s="39" t="str">
        <f>IF(CRUCE[[#This Row],[TOTAL2]]="", "PENDIENTE", IF(CRUCE[[#This Row],[DIFERENCIA2]]=0, "CUADRADO", IF(CRUCE[[#This Row],[DIFERENCIA2]]&gt;0, "SOBRANTE", "FALTANTE")))</f>
        <v>PENDIENTE</v>
      </c>
      <c r="R361" s="102" t="s">
        <v>5081</v>
      </c>
      <c r="S361" s="127" t="s">
        <v>5446</v>
      </c>
    </row>
    <row r="362" spans="1:19">
      <c r="A362" s="93" t="s">
        <v>5431</v>
      </c>
      <c r="B362" s="38" t="s">
        <v>4038</v>
      </c>
      <c r="C362" s="38">
        <v>8412042</v>
      </c>
      <c r="D362" s="74">
        <v>17750243079720</v>
      </c>
      <c r="E362" s="38" t="s">
        <v>2596</v>
      </c>
      <c r="F362" s="38">
        <v>18</v>
      </c>
      <c r="G362" s="38" t="s">
        <v>288</v>
      </c>
      <c r="H362" s="39" t="str">
        <f>_xlfn.XLOOKUP(CRUCE[[#This Row],[Ubicacion]],Registros[Ubicacion],Registros[Codigo], "")</f>
        <v/>
      </c>
      <c r="I362" s="25" t="str">
        <f>_xlfn.XLOOKUP(CRUCE[[#This Row],[Ubicacion]],Registros[Ubicacion],Registros[Total], "")</f>
        <v/>
      </c>
      <c r="J362" s="25" t="str">
        <f>_xlfn.XLOOKUP(CRUCE[[#This Row],[Ubicacion]],Registros[Ubicacion],Registros[UMA], "")</f>
        <v/>
      </c>
      <c r="K362" s="25" t="str">
        <f>IF(CRUCE[[#This Row],[TOTAL]]="","",CRUCE[[#This Row],[TOTAL]]-CRUCE[[#This Row],[BULTOS]])</f>
        <v/>
      </c>
      <c r="L362" s="38" t="str">
        <f>IF(CRUCE[[#This Row],[TOTAL]]="", "PENDIENTE", IF(CRUCE[[#This Row],[Diferencia]]=0, "CUADRADO", IF(CRUCE[[#This Row],[Diferencia]]&gt;0, "SOBRANTE", "FALTANTE")))</f>
        <v>PENDIENTE</v>
      </c>
      <c r="M362" s="71" t="str">
        <f>IF(CRUCE[[#This Row],[Diferencia]]="","",IF(CRUCE[[#This Row],[Diferencia]]=0,"OK","RECONTEO"))</f>
        <v/>
      </c>
      <c r="N362" s="39" t="str">
        <f>_xlfn.XLOOKUP(CRUCE[[#This Row],[Ubicacion]],Registros[Ubicacion],Registros[Codigo], "")</f>
        <v/>
      </c>
      <c r="O362" s="25"/>
      <c r="P362" s="25"/>
      <c r="Q362" s="39" t="str">
        <f>IF(CRUCE[[#This Row],[TOTAL2]]="", "PENDIENTE", IF(CRUCE[[#This Row],[DIFERENCIA2]]=0, "CUADRADO", IF(CRUCE[[#This Row],[DIFERENCIA2]]&gt;0, "SOBRANTE", "FALTANTE")))</f>
        <v>PENDIENTE</v>
      </c>
      <c r="R362" s="103" t="s">
        <v>5081</v>
      </c>
      <c r="S362" s="127" t="s">
        <v>5447</v>
      </c>
    </row>
    <row r="363" spans="1:19">
      <c r="A363" s="92" t="s">
        <v>5431</v>
      </c>
      <c r="B363" s="39" t="s">
        <v>4040</v>
      </c>
      <c r="C363" s="39">
        <v>8412042</v>
      </c>
      <c r="D363" s="73">
        <v>17750243079720</v>
      </c>
      <c r="E363" s="39" t="s">
        <v>2596</v>
      </c>
      <c r="F363" s="39">
        <v>18</v>
      </c>
      <c r="G363" s="39" t="s">
        <v>288</v>
      </c>
      <c r="H363" s="39" t="str">
        <f>_xlfn.XLOOKUP(CRUCE[[#This Row],[Ubicacion]],Registros[Ubicacion],Registros[Codigo], "")</f>
        <v/>
      </c>
      <c r="I363" s="26" t="str">
        <f>_xlfn.XLOOKUP(CRUCE[[#This Row],[Ubicacion]],Registros[Ubicacion],Registros[Total], "")</f>
        <v/>
      </c>
      <c r="J363" s="26" t="str">
        <f>_xlfn.XLOOKUP(CRUCE[[#This Row],[Ubicacion]],Registros[Ubicacion],Registros[UMA], "")</f>
        <v/>
      </c>
      <c r="K363" s="26" t="str">
        <f>IF(CRUCE[[#This Row],[TOTAL]]="","",CRUCE[[#This Row],[TOTAL]]-CRUCE[[#This Row],[BULTOS]])</f>
        <v/>
      </c>
      <c r="L363" s="39" t="str">
        <f>IF(CRUCE[[#This Row],[TOTAL]]="", "PENDIENTE", IF(CRUCE[[#This Row],[Diferencia]]=0, "CUADRADO", IF(CRUCE[[#This Row],[Diferencia]]&gt;0, "SOBRANTE", "FALTANTE")))</f>
        <v>PENDIENTE</v>
      </c>
      <c r="M363" s="72" t="str">
        <f>IF(CRUCE[[#This Row],[Diferencia]]="","",IF(CRUCE[[#This Row],[Diferencia]]=0,"OK","RECONTEO"))</f>
        <v/>
      </c>
      <c r="N363" s="39" t="str">
        <f>_xlfn.XLOOKUP(CRUCE[[#This Row],[Ubicacion]],Registros[Ubicacion],Registros[Codigo], "")</f>
        <v/>
      </c>
      <c r="O363" s="26"/>
      <c r="P363" s="26"/>
      <c r="Q363" s="39" t="str">
        <f>IF(CRUCE[[#This Row],[TOTAL2]]="", "PENDIENTE", IF(CRUCE[[#This Row],[DIFERENCIA2]]=0, "CUADRADO", IF(CRUCE[[#This Row],[DIFERENCIA2]]&gt;0, "SOBRANTE", "FALTANTE")))</f>
        <v>PENDIENTE</v>
      </c>
      <c r="R363" s="102" t="s">
        <v>5081</v>
      </c>
      <c r="S363" s="127" t="s">
        <v>5448</v>
      </c>
    </row>
    <row r="364" spans="1:19">
      <c r="A364" s="93" t="s">
        <v>5431</v>
      </c>
      <c r="B364" s="38" t="s">
        <v>4710</v>
      </c>
      <c r="C364" s="25"/>
      <c r="D364" s="34"/>
      <c r="E364" s="25"/>
      <c r="F364" s="25"/>
      <c r="G364" s="25"/>
      <c r="H364" s="39" t="str">
        <f>_xlfn.XLOOKUP(CRUCE[[#This Row],[Ubicacion]],Registros[Ubicacion],Registros[Codigo], "")</f>
        <v/>
      </c>
      <c r="I364" s="25" t="str">
        <f>_xlfn.XLOOKUP(CRUCE[[#This Row],[Ubicacion]],Registros[Ubicacion],Registros[Total], "")</f>
        <v/>
      </c>
      <c r="J364" s="25" t="str">
        <f>_xlfn.XLOOKUP(CRUCE[[#This Row],[Ubicacion]],Registros[Ubicacion],Registros[UMA], "")</f>
        <v/>
      </c>
      <c r="K364" s="25" t="str">
        <f>IF(CRUCE[[#This Row],[TOTAL]]="","",CRUCE[[#This Row],[TOTAL]]-CRUCE[[#This Row],[BULTOS]])</f>
        <v/>
      </c>
      <c r="L364" s="38" t="str">
        <f>IF(CRUCE[[#This Row],[TOTAL]]="", "PENDIENTE", IF(CRUCE[[#This Row],[Diferencia]]=0, "CUADRADO", IF(CRUCE[[#This Row],[Diferencia]]&gt;0, "SOBRANTE", "FALTANTE")))</f>
        <v>PENDIENTE</v>
      </c>
      <c r="M364" s="71" t="str">
        <f>IF(CRUCE[[#This Row],[Diferencia]]="","",IF(CRUCE[[#This Row],[Diferencia]]=0,"OK","RECONTEO"))</f>
        <v/>
      </c>
      <c r="N364" s="39" t="str">
        <f>_xlfn.XLOOKUP(CRUCE[[#This Row],[Ubicacion]],Registros[Ubicacion],Registros[Codigo], "")</f>
        <v/>
      </c>
      <c r="O364" s="25"/>
      <c r="P364" s="25"/>
      <c r="Q364" s="39" t="str">
        <f>IF(CRUCE[[#This Row],[TOTAL2]]="", "PENDIENTE", IF(CRUCE[[#This Row],[DIFERENCIA2]]=0, "CUADRADO", IF(CRUCE[[#This Row],[DIFERENCIA2]]&gt;0, "SOBRANTE", "FALTANTE")))</f>
        <v>PENDIENTE</v>
      </c>
      <c r="R364" s="103" t="s">
        <v>5081</v>
      </c>
      <c r="S364" s="127" t="s">
        <v>5449</v>
      </c>
    </row>
    <row r="365" spans="1:19">
      <c r="A365" s="92" t="s">
        <v>5431</v>
      </c>
      <c r="B365" s="39" t="s">
        <v>3234</v>
      </c>
      <c r="C365" s="39">
        <v>8303023</v>
      </c>
      <c r="D365" s="73">
        <v>17751851025307</v>
      </c>
      <c r="E365" s="39" t="s">
        <v>300</v>
      </c>
      <c r="F365" s="39">
        <v>13</v>
      </c>
      <c r="G365" s="39" t="s">
        <v>288</v>
      </c>
      <c r="H365" s="39" t="str">
        <f>_xlfn.XLOOKUP(CRUCE[[#This Row],[Ubicacion]],Registros[Ubicacion],Registros[Codigo], "")</f>
        <v/>
      </c>
      <c r="I365" s="26" t="str">
        <f>_xlfn.XLOOKUP(CRUCE[[#This Row],[Ubicacion]],Registros[Ubicacion],Registros[Total], "")</f>
        <v/>
      </c>
      <c r="J365" s="26" t="str">
        <f>_xlfn.XLOOKUP(CRUCE[[#This Row],[Ubicacion]],Registros[Ubicacion],Registros[UMA], "")</f>
        <v/>
      </c>
      <c r="K365" s="26" t="str">
        <f>IF(CRUCE[[#This Row],[TOTAL]]="","",CRUCE[[#This Row],[TOTAL]]-CRUCE[[#This Row],[BULTOS]])</f>
        <v/>
      </c>
      <c r="L365" s="39" t="str">
        <f>IF(CRUCE[[#This Row],[TOTAL]]="", "PENDIENTE", IF(CRUCE[[#This Row],[Diferencia]]=0, "CUADRADO", IF(CRUCE[[#This Row],[Diferencia]]&gt;0, "SOBRANTE", "FALTANTE")))</f>
        <v>PENDIENTE</v>
      </c>
      <c r="M365" s="72" t="str">
        <f>IF(CRUCE[[#This Row],[Diferencia]]="","",IF(CRUCE[[#This Row],[Diferencia]]=0,"OK","RECONTEO"))</f>
        <v/>
      </c>
      <c r="N365" s="39" t="str">
        <f>_xlfn.XLOOKUP(CRUCE[[#This Row],[Ubicacion]],Registros[Ubicacion],Registros[Codigo], "")</f>
        <v/>
      </c>
      <c r="O365" s="26"/>
      <c r="P365" s="26"/>
      <c r="Q365" s="39" t="str">
        <f>IF(CRUCE[[#This Row],[TOTAL2]]="", "PENDIENTE", IF(CRUCE[[#This Row],[DIFERENCIA2]]=0, "CUADRADO", IF(CRUCE[[#This Row],[DIFERENCIA2]]&gt;0, "SOBRANTE", "FALTANTE")))</f>
        <v>PENDIENTE</v>
      </c>
      <c r="R365" s="102" t="s">
        <v>5081</v>
      </c>
      <c r="S365" s="127" t="s">
        <v>5450</v>
      </c>
    </row>
    <row r="366" spans="1:19">
      <c r="A366" s="93" t="s">
        <v>5431</v>
      </c>
      <c r="B366" s="38" t="s">
        <v>3886</v>
      </c>
      <c r="C366" s="38">
        <v>8404716</v>
      </c>
      <c r="D366" s="74">
        <v>17750243079843</v>
      </c>
      <c r="E366" s="38" t="s">
        <v>2200</v>
      </c>
      <c r="F366" s="38">
        <v>35</v>
      </c>
      <c r="G366" s="38" t="s">
        <v>288</v>
      </c>
      <c r="H366" s="39" t="str">
        <f>_xlfn.XLOOKUP(CRUCE[[#This Row],[Ubicacion]],Registros[Ubicacion],Registros[Codigo], "")</f>
        <v/>
      </c>
      <c r="I366" s="25" t="str">
        <f>_xlfn.XLOOKUP(CRUCE[[#This Row],[Ubicacion]],Registros[Ubicacion],Registros[Total], "")</f>
        <v/>
      </c>
      <c r="J366" s="25" t="str">
        <f>_xlfn.XLOOKUP(CRUCE[[#This Row],[Ubicacion]],Registros[Ubicacion],Registros[UMA], "")</f>
        <v/>
      </c>
      <c r="K366" s="25" t="str">
        <f>IF(CRUCE[[#This Row],[TOTAL]]="","",CRUCE[[#This Row],[TOTAL]]-CRUCE[[#This Row],[BULTOS]])</f>
        <v/>
      </c>
      <c r="L366" s="38" t="str">
        <f>IF(CRUCE[[#This Row],[TOTAL]]="", "PENDIENTE", IF(CRUCE[[#This Row],[Diferencia]]=0, "CUADRADO", IF(CRUCE[[#This Row],[Diferencia]]&gt;0, "SOBRANTE", "FALTANTE")))</f>
        <v>PENDIENTE</v>
      </c>
      <c r="M366" s="71" t="str">
        <f>IF(CRUCE[[#This Row],[Diferencia]]="","",IF(CRUCE[[#This Row],[Diferencia]]=0,"OK","RECONTEO"))</f>
        <v/>
      </c>
      <c r="N366" s="39" t="str">
        <f>_xlfn.XLOOKUP(CRUCE[[#This Row],[Ubicacion]],Registros[Ubicacion],Registros[Codigo], "")</f>
        <v/>
      </c>
      <c r="O366" s="25"/>
      <c r="P366" s="25"/>
      <c r="Q366" s="39" t="str">
        <f>IF(CRUCE[[#This Row],[TOTAL2]]="", "PENDIENTE", IF(CRUCE[[#This Row],[DIFERENCIA2]]=0, "CUADRADO", IF(CRUCE[[#This Row],[DIFERENCIA2]]&gt;0, "SOBRANTE", "FALTANTE")))</f>
        <v>PENDIENTE</v>
      </c>
      <c r="R366" s="103" t="s">
        <v>5081</v>
      </c>
      <c r="S366" s="127" t="s">
        <v>5451</v>
      </c>
    </row>
    <row r="367" spans="1:19">
      <c r="A367" s="92" t="s">
        <v>5431</v>
      </c>
      <c r="B367" s="39" t="s">
        <v>3888</v>
      </c>
      <c r="C367" s="39">
        <v>8404716</v>
      </c>
      <c r="D367" s="73">
        <v>17750243079843</v>
      </c>
      <c r="E367" s="39" t="s">
        <v>2200</v>
      </c>
      <c r="F367" s="39">
        <v>35</v>
      </c>
      <c r="G367" s="39" t="s">
        <v>288</v>
      </c>
      <c r="H367" s="39" t="str">
        <f>_xlfn.XLOOKUP(CRUCE[[#This Row],[Ubicacion]],Registros[Ubicacion],Registros[Codigo], "")</f>
        <v/>
      </c>
      <c r="I367" s="26" t="str">
        <f>_xlfn.XLOOKUP(CRUCE[[#This Row],[Ubicacion]],Registros[Ubicacion],Registros[Total], "")</f>
        <v/>
      </c>
      <c r="J367" s="26" t="str">
        <f>_xlfn.XLOOKUP(CRUCE[[#This Row],[Ubicacion]],Registros[Ubicacion],Registros[UMA], "")</f>
        <v/>
      </c>
      <c r="K367" s="26" t="str">
        <f>IF(CRUCE[[#This Row],[TOTAL]]="","",CRUCE[[#This Row],[TOTAL]]-CRUCE[[#This Row],[BULTOS]])</f>
        <v/>
      </c>
      <c r="L367" s="39" t="str">
        <f>IF(CRUCE[[#This Row],[TOTAL]]="", "PENDIENTE", IF(CRUCE[[#This Row],[Diferencia]]=0, "CUADRADO", IF(CRUCE[[#This Row],[Diferencia]]&gt;0, "SOBRANTE", "FALTANTE")))</f>
        <v>PENDIENTE</v>
      </c>
      <c r="M367" s="72" t="str">
        <f>IF(CRUCE[[#This Row],[Diferencia]]="","",IF(CRUCE[[#This Row],[Diferencia]]=0,"OK","RECONTEO"))</f>
        <v/>
      </c>
      <c r="N367" s="39" t="str">
        <f>_xlfn.XLOOKUP(CRUCE[[#This Row],[Ubicacion]],Registros[Ubicacion],Registros[Codigo], "")</f>
        <v/>
      </c>
      <c r="O367" s="26"/>
      <c r="P367" s="26"/>
      <c r="Q367" s="39" t="str">
        <f>IF(CRUCE[[#This Row],[TOTAL2]]="", "PENDIENTE", IF(CRUCE[[#This Row],[DIFERENCIA2]]=0, "CUADRADO", IF(CRUCE[[#This Row],[DIFERENCIA2]]&gt;0, "SOBRANTE", "FALTANTE")))</f>
        <v>PENDIENTE</v>
      </c>
      <c r="R367" s="102" t="s">
        <v>5081</v>
      </c>
      <c r="S367" s="127" t="s">
        <v>5452</v>
      </c>
    </row>
    <row r="368" spans="1:19">
      <c r="A368" s="93" t="s">
        <v>5431</v>
      </c>
      <c r="B368" s="38" t="s">
        <v>3856</v>
      </c>
      <c r="C368" s="38">
        <v>8404092</v>
      </c>
      <c r="D368" s="74">
        <v>17750243083581</v>
      </c>
      <c r="E368" s="38" t="s">
        <v>2164</v>
      </c>
      <c r="F368" s="38">
        <v>5</v>
      </c>
      <c r="G368" s="38" t="s">
        <v>288</v>
      </c>
      <c r="H368" s="39" t="str">
        <f>_xlfn.XLOOKUP(CRUCE[[#This Row],[Ubicacion]],Registros[Ubicacion],Registros[Codigo], "")</f>
        <v/>
      </c>
      <c r="I368" s="25" t="str">
        <f>_xlfn.XLOOKUP(CRUCE[[#This Row],[Ubicacion]],Registros[Ubicacion],Registros[Total], "")</f>
        <v/>
      </c>
      <c r="J368" s="25" t="str">
        <f>_xlfn.XLOOKUP(CRUCE[[#This Row],[Ubicacion]],Registros[Ubicacion],Registros[UMA], "")</f>
        <v/>
      </c>
      <c r="K368" s="25" t="str">
        <f>IF(CRUCE[[#This Row],[TOTAL]]="","",CRUCE[[#This Row],[TOTAL]]-CRUCE[[#This Row],[BULTOS]])</f>
        <v/>
      </c>
      <c r="L368" s="38" t="str">
        <f>IF(CRUCE[[#This Row],[TOTAL]]="", "PENDIENTE", IF(CRUCE[[#This Row],[Diferencia]]=0, "CUADRADO", IF(CRUCE[[#This Row],[Diferencia]]&gt;0, "SOBRANTE", "FALTANTE")))</f>
        <v>PENDIENTE</v>
      </c>
      <c r="M368" s="71" t="str">
        <f>IF(CRUCE[[#This Row],[Diferencia]]="","",IF(CRUCE[[#This Row],[Diferencia]]=0,"OK","RECONTEO"))</f>
        <v/>
      </c>
      <c r="N368" s="39" t="str">
        <f>_xlfn.XLOOKUP(CRUCE[[#This Row],[Ubicacion]],Registros[Ubicacion],Registros[Codigo], "")</f>
        <v/>
      </c>
      <c r="O368" s="25"/>
      <c r="P368" s="25"/>
      <c r="Q368" s="39" t="str">
        <f>IF(CRUCE[[#This Row],[TOTAL2]]="", "PENDIENTE", IF(CRUCE[[#This Row],[DIFERENCIA2]]=0, "CUADRADO", IF(CRUCE[[#This Row],[DIFERENCIA2]]&gt;0, "SOBRANTE", "FALTANTE")))</f>
        <v>PENDIENTE</v>
      </c>
      <c r="R368" s="103" t="s">
        <v>5081</v>
      </c>
      <c r="S368" s="127" t="s">
        <v>5453</v>
      </c>
    </row>
    <row r="369" spans="1:19">
      <c r="A369" s="92" t="s">
        <v>5431</v>
      </c>
      <c r="B369" s="39" t="s">
        <v>3877</v>
      </c>
      <c r="C369" s="39">
        <v>8404707</v>
      </c>
      <c r="D369" s="73">
        <v>17750243079133</v>
      </c>
      <c r="E369" s="39" t="s">
        <v>2182</v>
      </c>
      <c r="F369" s="39">
        <v>4</v>
      </c>
      <c r="G369" s="39" t="s">
        <v>288</v>
      </c>
      <c r="H369" s="39" t="str">
        <f>_xlfn.XLOOKUP(CRUCE[[#This Row],[Ubicacion]],Registros[Ubicacion],Registros[Codigo], "")</f>
        <v/>
      </c>
      <c r="I369" s="26" t="str">
        <f>_xlfn.XLOOKUP(CRUCE[[#This Row],[Ubicacion]],Registros[Ubicacion],Registros[Total], "")</f>
        <v/>
      </c>
      <c r="J369" s="26" t="str">
        <f>_xlfn.XLOOKUP(CRUCE[[#This Row],[Ubicacion]],Registros[Ubicacion],Registros[UMA], "")</f>
        <v/>
      </c>
      <c r="K369" s="26" t="str">
        <f>IF(CRUCE[[#This Row],[TOTAL]]="","",CRUCE[[#This Row],[TOTAL]]-CRUCE[[#This Row],[BULTOS]])</f>
        <v/>
      </c>
      <c r="L369" s="39" t="str">
        <f>IF(CRUCE[[#This Row],[TOTAL]]="", "PENDIENTE", IF(CRUCE[[#This Row],[Diferencia]]=0, "CUADRADO", IF(CRUCE[[#This Row],[Diferencia]]&gt;0, "SOBRANTE", "FALTANTE")))</f>
        <v>PENDIENTE</v>
      </c>
      <c r="M369" s="72" t="str">
        <f>IF(CRUCE[[#This Row],[Diferencia]]="","",IF(CRUCE[[#This Row],[Diferencia]]=0,"OK","RECONTEO"))</f>
        <v/>
      </c>
      <c r="N369" s="39" t="str">
        <f>_xlfn.XLOOKUP(CRUCE[[#This Row],[Ubicacion]],Registros[Ubicacion],Registros[Codigo], "")</f>
        <v/>
      </c>
      <c r="O369" s="26"/>
      <c r="P369" s="26"/>
      <c r="Q369" s="39" t="str">
        <f>IF(CRUCE[[#This Row],[TOTAL2]]="", "PENDIENTE", IF(CRUCE[[#This Row],[DIFERENCIA2]]=0, "CUADRADO", IF(CRUCE[[#This Row],[DIFERENCIA2]]&gt;0, "SOBRANTE", "FALTANTE")))</f>
        <v>PENDIENTE</v>
      </c>
      <c r="R369" s="102" t="s">
        <v>5081</v>
      </c>
      <c r="S369" s="127" t="s">
        <v>5454</v>
      </c>
    </row>
    <row r="370" spans="1:19">
      <c r="A370" s="93" t="s">
        <v>5431</v>
      </c>
      <c r="B370" s="38" t="s">
        <v>3971</v>
      </c>
      <c r="C370" s="38">
        <v>8408040</v>
      </c>
      <c r="D370" s="74">
        <v>7750243078474</v>
      </c>
      <c r="E370" s="38" t="s">
        <v>2400</v>
      </c>
      <c r="F370" s="38">
        <v>33</v>
      </c>
      <c r="G370" s="38" t="s">
        <v>100</v>
      </c>
      <c r="H370" s="39" t="str">
        <f>_xlfn.XLOOKUP(CRUCE[[#This Row],[Ubicacion]],Registros[Ubicacion],Registros[Codigo], "")</f>
        <v/>
      </c>
      <c r="I370" s="25" t="str">
        <f>_xlfn.XLOOKUP(CRUCE[[#This Row],[Ubicacion]],Registros[Ubicacion],Registros[Total], "")</f>
        <v/>
      </c>
      <c r="J370" s="25" t="str">
        <f>_xlfn.XLOOKUP(CRUCE[[#This Row],[Ubicacion]],Registros[Ubicacion],Registros[UMA], "")</f>
        <v/>
      </c>
      <c r="K370" s="25" t="str">
        <f>IF(CRUCE[[#This Row],[TOTAL]]="","",CRUCE[[#This Row],[TOTAL]]-CRUCE[[#This Row],[BULTOS]])</f>
        <v/>
      </c>
      <c r="L370" s="38" t="str">
        <f>IF(CRUCE[[#This Row],[TOTAL]]="", "PENDIENTE", IF(CRUCE[[#This Row],[Diferencia]]=0, "CUADRADO", IF(CRUCE[[#This Row],[Diferencia]]&gt;0, "SOBRANTE", "FALTANTE")))</f>
        <v>PENDIENTE</v>
      </c>
      <c r="M370" s="71" t="str">
        <f>IF(CRUCE[[#This Row],[Diferencia]]="","",IF(CRUCE[[#This Row],[Diferencia]]=0,"OK","RECONTEO"))</f>
        <v/>
      </c>
      <c r="N370" s="39" t="str">
        <f>_xlfn.XLOOKUP(CRUCE[[#This Row],[Ubicacion]],Registros[Ubicacion],Registros[Codigo], "")</f>
        <v/>
      </c>
      <c r="O370" s="25"/>
      <c r="P370" s="25"/>
      <c r="Q370" s="39" t="str">
        <f>IF(CRUCE[[#This Row],[TOTAL2]]="", "PENDIENTE", IF(CRUCE[[#This Row],[DIFERENCIA2]]=0, "CUADRADO", IF(CRUCE[[#This Row],[DIFERENCIA2]]&gt;0, "SOBRANTE", "FALTANTE")))</f>
        <v>PENDIENTE</v>
      </c>
      <c r="R370" s="103" t="s">
        <v>5081</v>
      </c>
      <c r="S370" s="127" t="s">
        <v>5455</v>
      </c>
    </row>
    <row r="371" spans="1:19">
      <c r="A371" s="92" t="s">
        <v>5431</v>
      </c>
      <c r="B371" s="39" t="s">
        <v>3978</v>
      </c>
      <c r="C371" s="39">
        <v>8408042</v>
      </c>
      <c r="D371" s="73">
        <v>7750243081214</v>
      </c>
      <c r="E371" s="39" t="s">
        <v>2404</v>
      </c>
      <c r="F371" s="39">
        <v>14</v>
      </c>
      <c r="G371" s="39" t="s">
        <v>100</v>
      </c>
      <c r="H371" s="39" t="str">
        <f>_xlfn.XLOOKUP(CRUCE[[#This Row],[Ubicacion]],Registros[Ubicacion],Registros[Codigo], "")</f>
        <v/>
      </c>
      <c r="I371" s="26" t="str">
        <f>_xlfn.XLOOKUP(CRUCE[[#This Row],[Ubicacion]],Registros[Ubicacion],Registros[Total], "")</f>
        <v/>
      </c>
      <c r="J371" s="26" t="str">
        <f>_xlfn.XLOOKUP(CRUCE[[#This Row],[Ubicacion]],Registros[Ubicacion],Registros[UMA], "")</f>
        <v/>
      </c>
      <c r="K371" s="26" t="str">
        <f>IF(CRUCE[[#This Row],[TOTAL]]="","",CRUCE[[#This Row],[TOTAL]]-CRUCE[[#This Row],[BULTOS]])</f>
        <v/>
      </c>
      <c r="L371" s="39" t="str">
        <f>IF(CRUCE[[#This Row],[TOTAL]]="", "PENDIENTE", IF(CRUCE[[#This Row],[Diferencia]]=0, "CUADRADO", IF(CRUCE[[#This Row],[Diferencia]]&gt;0, "SOBRANTE", "FALTANTE")))</f>
        <v>PENDIENTE</v>
      </c>
      <c r="M371" s="72" t="str">
        <f>IF(CRUCE[[#This Row],[Diferencia]]="","",IF(CRUCE[[#This Row],[Diferencia]]=0,"OK","RECONTEO"))</f>
        <v/>
      </c>
      <c r="N371" s="39" t="str">
        <f>_xlfn.XLOOKUP(CRUCE[[#This Row],[Ubicacion]],Registros[Ubicacion],Registros[Codigo], "")</f>
        <v/>
      </c>
      <c r="O371" s="26"/>
      <c r="P371" s="26"/>
      <c r="Q371" s="39" t="str">
        <f>IF(CRUCE[[#This Row],[TOTAL2]]="", "PENDIENTE", IF(CRUCE[[#This Row],[DIFERENCIA2]]=0, "CUADRADO", IF(CRUCE[[#This Row],[DIFERENCIA2]]&gt;0, "SOBRANTE", "FALTANTE")))</f>
        <v>PENDIENTE</v>
      </c>
      <c r="R371" s="102" t="s">
        <v>5081</v>
      </c>
      <c r="S371" s="127" t="s">
        <v>5456</v>
      </c>
    </row>
    <row r="372" spans="1:19">
      <c r="A372" s="93" t="s">
        <v>5431</v>
      </c>
      <c r="B372" s="38" t="s">
        <v>3983</v>
      </c>
      <c r="C372" s="38">
        <v>8408045</v>
      </c>
      <c r="D372" s="74">
        <v>7750243086424</v>
      </c>
      <c r="E372" s="38" t="s">
        <v>2408</v>
      </c>
      <c r="F372" s="38">
        <v>5</v>
      </c>
      <c r="G372" s="38" t="s">
        <v>100</v>
      </c>
      <c r="H372" s="39" t="str">
        <f>_xlfn.XLOOKUP(CRUCE[[#This Row],[Ubicacion]],Registros[Ubicacion],Registros[Codigo], "")</f>
        <v/>
      </c>
      <c r="I372" s="25" t="str">
        <f>_xlfn.XLOOKUP(CRUCE[[#This Row],[Ubicacion]],Registros[Ubicacion],Registros[Total], "")</f>
        <v/>
      </c>
      <c r="J372" s="25" t="str">
        <f>_xlfn.XLOOKUP(CRUCE[[#This Row],[Ubicacion]],Registros[Ubicacion],Registros[UMA], "")</f>
        <v/>
      </c>
      <c r="K372" s="25" t="str">
        <f>IF(CRUCE[[#This Row],[TOTAL]]="","",CRUCE[[#This Row],[TOTAL]]-CRUCE[[#This Row],[BULTOS]])</f>
        <v/>
      </c>
      <c r="L372" s="38" t="str">
        <f>IF(CRUCE[[#This Row],[TOTAL]]="", "PENDIENTE", IF(CRUCE[[#This Row],[Diferencia]]=0, "CUADRADO", IF(CRUCE[[#This Row],[Diferencia]]&gt;0, "SOBRANTE", "FALTANTE")))</f>
        <v>PENDIENTE</v>
      </c>
      <c r="M372" s="71" t="str">
        <f>IF(CRUCE[[#This Row],[Diferencia]]="","",IF(CRUCE[[#This Row],[Diferencia]]=0,"OK","RECONTEO"))</f>
        <v/>
      </c>
      <c r="N372" s="39" t="str">
        <f>_xlfn.XLOOKUP(CRUCE[[#This Row],[Ubicacion]],Registros[Ubicacion],Registros[Codigo], "")</f>
        <v/>
      </c>
      <c r="O372" s="25"/>
      <c r="P372" s="25"/>
      <c r="Q372" s="39" t="str">
        <f>IF(CRUCE[[#This Row],[TOTAL2]]="", "PENDIENTE", IF(CRUCE[[#This Row],[DIFERENCIA2]]=0, "CUADRADO", IF(CRUCE[[#This Row],[DIFERENCIA2]]&gt;0, "SOBRANTE", "FALTANTE")))</f>
        <v>PENDIENTE</v>
      </c>
      <c r="R372" s="103" t="s">
        <v>5081</v>
      </c>
      <c r="S372" s="127" t="s">
        <v>5457</v>
      </c>
    </row>
    <row r="373" spans="1:19">
      <c r="A373" s="92" t="s">
        <v>5431</v>
      </c>
      <c r="B373" s="39" t="s">
        <v>3819</v>
      </c>
      <c r="C373" s="39">
        <v>8400643</v>
      </c>
      <c r="D373" s="73">
        <v>17750243078952</v>
      </c>
      <c r="E373" s="39" t="s">
        <v>3820</v>
      </c>
      <c r="F373" s="39">
        <v>19</v>
      </c>
      <c r="G373" s="39" t="s">
        <v>288</v>
      </c>
      <c r="H373" s="39" t="str">
        <f>_xlfn.XLOOKUP(CRUCE[[#This Row],[Ubicacion]],Registros[Ubicacion],Registros[Codigo], "")</f>
        <v/>
      </c>
      <c r="I373" s="26" t="str">
        <f>_xlfn.XLOOKUP(CRUCE[[#This Row],[Ubicacion]],Registros[Ubicacion],Registros[Total], "")</f>
        <v/>
      </c>
      <c r="J373" s="26" t="str">
        <f>_xlfn.XLOOKUP(CRUCE[[#This Row],[Ubicacion]],Registros[Ubicacion],Registros[UMA], "")</f>
        <v/>
      </c>
      <c r="K373" s="26" t="str">
        <f>IF(CRUCE[[#This Row],[TOTAL]]="","",CRUCE[[#This Row],[TOTAL]]-CRUCE[[#This Row],[BULTOS]])</f>
        <v/>
      </c>
      <c r="L373" s="39" t="str">
        <f>IF(CRUCE[[#This Row],[TOTAL]]="", "PENDIENTE", IF(CRUCE[[#This Row],[Diferencia]]=0, "CUADRADO", IF(CRUCE[[#This Row],[Diferencia]]&gt;0, "SOBRANTE", "FALTANTE")))</f>
        <v>PENDIENTE</v>
      </c>
      <c r="M373" s="72" t="str">
        <f>IF(CRUCE[[#This Row],[Diferencia]]="","",IF(CRUCE[[#This Row],[Diferencia]]=0,"OK","RECONTEO"))</f>
        <v/>
      </c>
      <c r="N373" s="39" t="str">
        <f>_xlfn.XLOOKUP(CRUCE[[#This Row],[Ubicacion]],Registros[Ubicacion],Registros[Codigo], "")</f>
        <v/>
      </c>
      <c r="O373" s="26"/>
      <c r="P373" s="26"/>
      <c r="Q373" s="39" t="str">
        <f>IF(CRUCE[[#This Row],[TOTAL2]]="", "PENDIENTE", IF(CRUCE[[#This Row],[DIFERENCIA2]]=0, "CUADRADO", IF(CRUCE[[#This Row],[DIFERENCIA2]]&gt;0, "SOBRANTE", "FALTANTE")))</f>
        <v>PENDIENTE</v>
      </c>
      <c r="R373" s="102" t="s">
        <v>5081</v>
      </c>
      <c r="S373" s="127" t="s">
        <v>5458</v>
      </c>
    </row>
    <row r="374" spans="1:19">
      <c r="A374" s="93" t="s">
        <v>5431</v>
      </c>
      <c r="B374" s="38" t="s">
        <v>3822</v>
      </c>
      <c r="C374" s="38">
        <v>8400643</v>
      </c>
      <c r="D374" s="74">
        <v>17750243078952</v>
      </c>
      <c r="E374" s="38" t="s">
        <v>3820</v>
      </c>
      <c r="F374" s="38">
        <v>19</v>
      </c>
      <c r="G374" s="38" t="s">
        <v>288</v>
      </c>
      <c r="H374" s="39" t="str">
        <f>_xlfn.XLOOKUP(CRUCE[[#This Row],[Ubicacion]],Registros[Ubicacion],Registros[Codigo], "")</f>
        <v/>
      </c>
      <c r="I374" s="25" t="str">
        <f>_xlfn.XLOOKUP(CRUCE[[#This Row],[Ubicacion]],Registros[Ubicacion],Registros[Total], "")</f>
        <v/>
      </c>
      <c r="J374" s="25" t="str">
        <f>_xlfn.XLOOKUP(CRUCE[[#This Row],[Ubicacion]],Registros[Ubicacion],Registros[UMA], "")</f>
        <v/>
      </c>
      <c r="K374" s="25" t="str">
        <f>IF(CRUCE[[#This Row],[TOTAL]]="","",CRUCE[[#This Row],[TOTAL]]-CRUCE[[#This Row],[BULTOS]])</f>
        <v/>
      </c>
      <c r="L374" s="38" t="str">
        <f>IF(CRUCE[[#This Row],[TOTAL]]="", "PENDIENTE", IF(CRUCE[[#This Row],[Diferencia]]=0, "CUADRADO", IF(CRUCE[[#This Row],[Diferencia]]&gt;0, "SOBRANTE", "FALTANTE")))</f>
        <v>PENDIENTE</v>
      </c>
      <c r="M374" s="71" t="str">
        <f>IF(CRUCE[[#This Row],[Diferencia]]="","",IF(CRUCE[[#This Row],[Diferencia]]=0,"OK","RECONTEO"))</f>
        <v/>
      </c>
      <c r="N374" s="39" t="str">
        <f>_xlfn.XLOOKUP(CRUCE[[#This Row],[Ubicacion]],Registros[Ubicacion],Registros[Codigo], "")</f>
        <v/>
      </c>
      <c r="O374" s="25"/>
      <c r="P374" s="25"/>
      <c r="Q374" s="39" t="str">
        <f>IF(CRUCE[[#This Row],[TOTAL2]]="", "PENDIENTE", IF(CRUCE[[#This Row],[DIFERENCIA2]]=0, "CUADRADO", IF(CRUCE[[#This Row],[DIFERENCIA2]]&gt;0, "SOBRANTE", "FALTANTE")))</f>
        <v>PENDIENTE</v>
      </c>
      <c r="R374" s="103" t="s">
        <v>5081</v>
      </c>
      <c r="S374" s="127" t="s">
        <v>5459</v>
      </c>
    </row>
    <row r="375" spans="1:19">
      <c r="A375" s="92" t="s">
        <v>5431</v>
      </c>
      <c r="B375" s="39" t="s">
        <v>3926</v>
      </c>
      <c r="C375" s="39">
        <v>8406141</v>
      </c>
      <c r="D375" s="73">
        <v>17750243080597</v>
      </c>
      <c r="E375" s="39" t="s">
        <v>3927</v>
      </c>
      <c r="F375" s="39">
        <v>25</v>
      </c>
      <c r="G375" s="39" t="s">
        <v>288</v>
      </c>
      <c r="H375" s="39" t="str">
        <f>_xlfn.XLOOKUP(CRUCE[[#This Row],[Ubicacion]],Registros[Ubicacion],Registros[Codigo], "")</f>
        <v/>
      </c>
      <c r="I375" s="26" t="str">
        <f>_xlfn.XLOOKUP(CRUCE[[#This Row],[Ubicacion]],Registros[Ubicacion],Registros[Total], "")</f>
        <v/>
      </c>
      <c r="J375" s="26" t="str">
        <f>_xlfn.XLOOKUP(CRUCE[[#This Row],[Ubicacion]],Registros[Ubicacion],Registros[UMA], "")</f>
        <v/>
      </c>
      <c r="K375" s="26" t="str">
        <f>IF(CRUCE[[#This Row],[TOTAL]]="","",CRUCE[[#This Row],[TOTAL]]-CRUCE[[#This Row],[BULTOS]])</f>
        <v/>
      </c>
      <c r="L375" s="39" t="str">
        <f>IF(CRUCE[[#This Row],[TOTAL]]="", "PENDIENTE", IF(CRUCE[[#This Row],[Diferencia]]=0, "CUADRADO", IF(CRUCE[[#This Row],[Diferencia]]&gt;0, "SOBRANTE", "FALTANTE")))</f>
        <v>PENDIENTE</v>
      </c>
      <c r="M375" s="72" t="str">
        <f>IF(CRUCE[[#This Row],[Diferencia]]="","",IF(CRUCE[[#This Row],[Diferencia]]=0,"OK","RECONTEO"))</f>
        <v/>
      </c>
      <c r="N375" s="39" t="str">
        <f>_xlfn.XLOOKUP(CRUCE[[#This Row],[Ubicacion]],Registros[Ubicacion],Registros[Codigo], "")</f>
        <v/>
      </c>
      <c r="O375" s="26"/>
      <c r="P375" s="26"/>
      <c r="Q375" s="39" t="str">
        <f>IF(CRUCE[[#This Row],[TOTAL2]]="", "PENDIENTE", IF(CRUCE[[#This Row],[DIFERENCIA2]]=0, "CUADRADO", IF(CRUCE[[#This Row],[DIFERENCIA2]]&gt;0, "SOBRANTE", "FALTANTE")))</f>
        <v>PENDIENTE</v>
      </c>
      <c r="R375" s="102" t="s">
        <v>5081</v>
      </c>
      <c r="S375" s="127" t="s">
        <v>5460</v>
      </c>
    </row>
    <row r="376" spans="1:19">
      <c r="A376" s="93" t="s">
        <v>5431</v>
      </c>
      <c r="B376" s="38" t="s">
        <v>3788</v>
      </c>
      <c r="C376" s="38">
        <v>8400635</v>
      </c>
      <c r="D376" s="74">
        <v>17750243079003</v>
      </c>
      <c r="E376" s="38" t="s">
        <v>3789</v>
      </c>
      <c r="F376" s="38">
        <v>32</v>
      </c>
      <c r="G376" s="38" t="s">
        <v>288</v>
      </c>
      <c r="H376" s="39" t="str">
        <f>_xlfn.XLOOKUP(CRUCE[[#This Row],[Ubicacion]],Registros[Ubicacion],Registros[Codigo], "")</f>
        <v/>
      </c>
      <c r="I376" s="25" t="str">
        <f>_xlfn.XLOOKUP(CRUCE[[#This Row],[Ubicacion]],Registros[Ubicacion],Registros[Total], "")</f>
        <v/>
      </c>
      <c r="J376" s="25" t="str">
        <f>_xlfn.XLOOKUP(CRUCE[[#This Row],[Ubicacion]],Registros[Ubicacion],Registros[UMA], "")</f>
        <v/>
      </c>
      <c r="K376" s="25" t="str">
        <f>IF(CRUCE[[#This Row],[TOTAL]]="","",CRUCE[[#This Row],[TOTAL]]-CRUCE[[#This Row],[BULTOS]])</f>
        <v/>
      </c>
      <c r="L376" s="38" t="str">
        <f>IF(CRUCE[[#This Row],[TOTAL]]="", "PENDIENTE", IF(CRUCE[[#This Row],[Diferencia]]=0, "CUADRADO", IF(CRUCE[[#This Row],[Diferencia]]&gt;0, "SOBRANTE", "FALTANTE")))</f>
        <v>PENDIENTE</v>
      </c>
      <c r="M376" s="71" t="str">
        <f>IF(CRUCE[[#This Row],[Diferencia]]="","",IF(CRUCE[[#This Row],[Diferencia]]=0,"OK","RECONTEO"))</f>
        <v/>
      </c>
      <c r="N376" s="39" t="str">
        <f>_xlfn.XLOOKUP(CRUCE[[#This Row],[Ubicacion]],Registros[Ubicacion],Registros[Codigo], "")</f>
        <v/>
      </c>
      <c r="O376" s="25"/>
      <c r="P376" s="25"/>
      <c r="Q376" s="39" t="str">
        <f>IF(CRUCE[[#This Row],[TOTAL2]]="", "PENDIENTE", IF(CRUCE[[#This Row],[DIFERENCIA2]]=0, "CUADRADO", IF(CRUCE[[#This Row],[DIFERENCIA2]]&gt;0, "SOBRANTE", "FALTANTE")))</f>
        <v>PENDIENTE</v>
      </c>
      <c r="R376" s="103" t="s">
        <v>5081</v>
      </c>
      <c r="S376" s="127" t="s">
        <v>5461</v>
      </c>
    </row>
    <row r="377" spans="1:19">
      <c r="A377" s="92" t="s">
        <v>5431</v>
      </c>
      <c r="B377" s="39" t="s">
        <v>3782</v>
      </c>
      <c r="C377" s="39">
        <v>8400633</v>
      </c>
      <c r="D377" s="73">
        <v>17750243079027</v>
      </c>
      <c r="E377" s="39" t="s">
        <v>2022</v>
      </c>
      <c r="F377" s="39">
        <v>30</v>
      </c>
      <c r="G377" s="39" t="s">
        <v>288</v>
      </c>
      <c r="H377" s="39" t="str">
        <f>_xlfn.XLOOKUP(CRUCE[[#This Row],[Ubicacion]],Registros[Ubicacion],Registros[Codigo], "")</f>
        <v/>
      </c>
      <c r="I377" s="26" t="str">
        <f>_xlfn.XLOOKUP(CRUCE[[#This Row],[Ubicacion]],Registros[Ubicacion],Registros[Total], "")</f>
        <v/>
      </c>
      <c r="J377" s="26" t="str">
        <f>_xlfn.XLOOKUP(CRUCE[[#This Row],[Ubicacion]],Registros[Ubicacion],Registros[UMA], "")</f>
        <v/>
      </c>
      <c r="K377" s="26" t="str">
        <f>IF(CRUCE[[#This Row],[TOTAL]]="","",CRUCE[[#This Row],[TOTAL]]-CRUCE[[#This Row],[BULTOS]])</f>
        <v/>
      </c>
      <c r="L377" s="39" t="str">
        <f>IF(CRUCE[[#This Row],[TOTAL]]="", "PENDIENTE", IF(CRUCE[[#This Row],[Diferencia]]=0, "CUADRADO", IF(CRUCE[[#This Row],[Diferencia]]&gt;0, "SOBRANTE", "FALTANTE")))</f>
        <v>PENDIENTE</v>
      </c>
      <c r="M377" s="72" t="str">
        <f>IF(CRUCE[[#This Row],[Diferencia]]="","",IF(CRUCE[[#This Row],[Diferencia]]=0,"OK","RECONTEO"))</f>
        <v/>
      </c>
      <c r="N377" s="39" t="str">
        <f>_xlfn.XLOOKUP(CRUCE[[#This Row],[Ubicacion]],Registros[Ubicacion],Registros[Codigo], "")</f>
        <v/>
      </c>
      <c r="O377" s="26"/>
      <c r="P377" s="26"/>
      <c r="Q377" s="39" t="str">
        <f>IF(CRUCE[[#This Row],[TOTAL2]]="", "PENDIENTE", IF(CRUCE[[#This Row],[DIFERENCIA2]]=0, "CUADRADO", IF(CRUCE[[#This Row],[DIFERENCIA2]]&gt;0, "SOBRANTE", "FALTANTE")))</f>
        <v>PENDIENTE</v>
      </c>
      <c r="R377" s="102" t="s">
        <v>5081</v>
      </c>
      <c r="S377" s="127" t="s">
        <v>5462</v>
      </c>
    </row>
    <row r="378" spans="1:19">
      <c r="A378" s="93" t="s">
        <v>5431</v>
      </c>
      <c r="B378" s="38" t="s">
        <v>3943</v>
      </c>
      <c r="C378" s="38">
        <v>8406148</v>
      </c>
      <c r="D378" s="74">
        <v>17750243080658</v>
      </c>
      <c r="E378" s="38" t="s">
        <v>2263</v>
      </c>
      <c r="F378" s="38">
        <v>24</v>
      </c>
      <c r="G378" s="38" t="s">
        <v>288</v>
      </c>
      <c r="H378" s="39" t="str">
        <f>_xlfn.XLOOKUP(CRUCE[[#This Row],[Ubicacion]],Registros[Ubicacion],Registros[Codigo], "")</f>
        <v/>
      </c>
      <c r="I378" s="25" t="str">
        <f>_xlfn.XLOOKUP(CRUCE[[#This Row],[Ubicacion]],Registros[Ubicacion],Registros[Total], "")</f>
        <v/>
      </c>
      <c r="J378" s="25" t="str">
        <f>_xlfn.XLOOKUP(CRUCE[[#This Row],[Ubicacion]],Registros[Ubicacion],Registros[UMA], "")</f>
        <v/>
      </c>
      <c r="K378" s="25" t="str">
        <f>IF(CRUCE[[#This Row],[TOTAL]]="","",CRUCE[[#This Row],[TOTAL]]-CRUCE[[#This Row],[BULTOS]])</f>
        <v/>
      </c>
      <c r="L378" s="38" t="str">
        <f>IF(CRUCE[[#This Row],[TOTAL]]="", "PENDIENTE", IF(CRUCE[[#This Row],[Diferencia]]=0, "CUADRADO", IF(CRUCE[[#This Row],[Diferencia]]&gt;0, "SOBRANTE", "FALTANTE")))</f>
        <v>PENDIENTE</v>
      </c>
      <c r="M378" s="71" t="str">
        <f>IF(CRUCE[[#This Row],[Diferencia]]="","",IF(CRUCE[[#This Row],[Diferencia]]=0,"OK","RECONTEO"))</f>
        <v/>
      </c>
      <c r="N378" s="39" t="str">
        <f>_xlfn.XLOOKUP(CRUCE[[#This Row],[Ubicacion]],Registros[Ubicacion],Registros[Codigo], "")</f>
        <v/>
      </c>
      <c r="O378" s="25"/>
      <c r="P378" s="25"/>
      <c r="Q378" s="39" t="str">
        <f>IF(CRUCE[[#This Row],[TOTAL2]]="", "PENDIENTE", IF(CRUCE[[#This Row],[DIFERENCIA2]]=0, "CUADRADO", IF(CRUCE[[#This Row],[DIFERENCIA2]]&gt;0, "SOBRANTE", "FALTANTE")))</f>
        <v>PENDIENTE</v>
      </c>
      <c r="R378" s="103" t="s">
        <v>5081</v>
      </c>
      <c r="S378" s="127" t="s">
        <v>5463</v>
      </c>
    </row>
    <row r="379" spans="1:19">
      <c r="A379" s="92" t="s">
        <v>5431</v>
      </c>
      <c r="B379" s="39" t="s">
        <v>3951</v>
      </c>
      <c r="C379" s="39">
        <v>8406153</v>
      </c>
      <c r="D379" s="73">
        <v>17750243080696</v>
      </c>
      <c r="E379" s="39" t="s">
        <v>2273</v>
      </c>
      <c r="F379" s="39">
        <v>4</v>
      </c>
      <c r="G379" s="39" t="s">
        <v>288</v>
      </c>
      <c r="H379" s="39" t="str">
        <f>_xlfn.XLOOKUP(CRUCE[[#This Row],[Ubicacion]],Registros[Ubicacion],Registros[Codigo], "")</f>
        <v/>
      </c>
      <c r="I379" s="26" t="str">
        <f>_xlfn.XLOOKUP(CRUCE[[#This Row],[Ubicacion]],Registros[Ubicacion],Registros[Total], "")</f>
        <v/>
      </c>
      <c r="J379" s="26" t="str">
        <f>_xlfn.XLOOKUP(CRUCE[[#This Row],[Ubicacion]],Registros[Ubicacion],Registros[UMA], "")</f>
        <v/>
      </c>
      <c r="K379" s="26" t="str">
        <f>IF(CRUCE[[#This Row],[TOTAL]]="","",CRUCE[[#This Row],[TOTAL]]-CRUCE[[#This Row],[BULTOS]])</f>
        <v/>
      </c>
      <c r="L379" s="39" t="str">
        <f>IF(CRUCE[[#This Row],[TOTAL]]="", "PENDIENTE", IF(CRUCE[[#This Row],[Diferencia]]=0, "CUADRADO", IF(CRUCE[[#This Row],[Diferencia]]&gt;0, "SOBRANTE", "FALTANTE")))</f>
        <v>PENDIENTE</v>
      </c>
      <c r="M379" s="72" t="str">
        <f>IF(CRUCE[[#This Row],[Diferencia]]="","",IF(CRUCE[[#This Row],[Diferencia]]=0,"OK","RECONTEO"))</f>
        <v/>
      </c>
      <c r="N379" s="39" t="str">
        <f>_xlfn.XLOOKUP(CRUCE[[#This Row],[Ubicacion]],Registros[Ubicacion],Registros[Codigo], "")</f>
        <v/>
      </c>
      <c r="O379" s="26"/>
      <c r="P379" s="26"/>
      <c r="Q379" s="39" t="str">
        <f>IF(CRUCE[[#This Row],[TOTAL2]]="", "PENDIENTE", IF(CRUCE[[#This Row],[DIFERENCIA2]]=0, "CUADRADO", IF(CRUCE[[#This Row],[DIFERENCIA2]]&gt;0, "SOBRANTE", "FALTANTE")))</f>
        <v>PENDIENTE</v>
      </c>
      <c r="R379" s="102" t="s">
        <v>5081</v>
      </c>
      <c r="S379" s="127" t="s">
        <v>5464</v>
      </c>
    </row>
    <row r="380" spans="1:19">
      <c r="A380" s="93" t="s">
        <v>5431</v>
      </c>
      <c r="B380" s="38" t="s">
        <v>3959</v>
      </c>
      <c r="C380" s="38">
        <v>8406216</v>
      </c>
      <c r="D380" s="74">
        <v>37750243080591</v>
      </c>
      <c r="E380" s="38" t="s">
        <v>3960</v>
      </c>
      <c r="F380" s="38">
        <v>28</v>
      </c>
      <c r="G380" s="38" t="s">
        <v>288</v>
      </c>
      <c r="H380" s="39" t="str">
        <f>_xlfn.XLOOKUP(CRUCE[[#This Row],[Ubicacion]],Registros[Ubicacion],Registros[Codigo], "")</f>
        <v/>
      </c>
      <c r="I380" s="25" t="str">
        <f>_xlfn.XLOOKUP(CRUCE[[#This Row],[Ubicacion]],Registros[Ubicacion],Registros[Total], "")</f>
        <v/>
      </c>
      <c r="J380" s="25" t="str">
        <f>_xlfn.XLOOKUP(CRUCE[[#This Row],[Ubicacion]],Registros[Ubicacion],Registros[UMA], "")</f>
        <v/>
      </c>
      <c r="K380" s="25" t="str">
        <f>IF(CRUCE[[#This Row],[TOTAL]]="","",CRUCE[[#This Row],[TOTAL]]-CRUCE[[#This Row],[BULTOS]])</f>
        <v/>
      </c>
      <c r="L380" s="38" t="str">
        <f>IF(CRUCE[[#This Row],[TOTAL]]="", "PENDIENTE", IF(CRUCE[[#This Row],[Diferencia]]=0, "CUADRADO", IF(CRUCE[[#This Row],[Diferencia]]&gt;0, "SOBRANTE", "FALTANTE")))</f>
        <v>PENDIENTE</v>
      </c>
      <c r="M380" s="71" t="str">
        <f>IF(CRUCE[[#This Row],[Diferencia]]="","",IF(CRUCE[[#This Row],[Diferencia]]=0,"OK","RECONTEO"))</f>
        <v/>
      </c>
      <c r="N380" s="39" t="str">
        <f>_xlfn.XLOOKUP(CRUCE[[#This Row],[Ubicacion]],Registros[Ubicacion],Registros[Codigo], "")</f>
        <v/>
      </c>
      <c r="O380" s="25"/>
      <c r="P380" s="25"/>
      <c r="Q380" s="39" t="str">
        <f>IF(CRUCE[[#This Row],[TOTAL2]]="", "PENDIENTE", IF(CRUCE[[#This Row],[DIFERENCIA2]]=0, "CUADRADO", IF(CRUCE[[#This Row],[DIFERENCIA2]]&gt;0, "SOBRANTE", "FALTANTE")))</f>
        <v>PENDIENTE</v>
      </c>
      <c r="R380" s="103" t="s">
        <v>5081</v>
      </c>
      <c r="S380" s="127" t="s">
        <v>5465</v>
      </c>
    </row>
    <row r="381" spans="1:19">
      <c r="A381" s="92" t="s">
        <v>5431</v>
      </c>
      <c r="B381" s="39" t="s">
        <v>3863</v>
      </c>
      <c r="C381" s="39">
        <v>8404094</v>
      </c>
      <c r="D381" s="73">
        <v>17750243083604</v>
      </c>
      <c r="E381" s="39" t="s">
        <v>2168</v>
      </c>
      <c r="F381" s="39">
        <v>22</v>
      </c>
      <c r="G381" s="39" t="s">
        <v>288</v>
      </c>
      <c r="H381" s="39" t="str">
        <f>_xlfn.XLOOKUP(CRUCE[[#This Row],[Ubicacion]],Registros[Ubicacion],Registros[Codigo], "")</f>
        <v/>
      </c>
      <c r="I381" s="26" t="str">
        <f>_xlfn.XLOOKUP(CRUCE[[#This Row],[Ubicacion]],Registros[Ubicacion],Registros[Total], "")</f>
        <v/>
      </c>
      <c r="J381" s="26" t="str">
        <f>_xlfn.XLOOKUP(CRUCE[[#This Row],[Ubicacion]],Registros[Ubicacion],Registros[UMA], "")</f>
        <v/>
      </c>
      <c r="K381" s="26" t="str">
        <f>IF(CRUCE[[#This Row],[TOTAL]]="","",CRUCE[[#This Row],[TOTAL]]-CRUCE[[#This Row],[BULTOS]])</f>
        <v/>
      </c>
      <c r="L381" s="39" t="str">
        <f>IF(CRUCE[[#This Row],[TOTAL]]="", "PENDIENTE", IF(CRUCE[[#This Row],[Diferencia]]=0, "CUADRADO", IF(CRUCE[[#This Row],[Diferencia]]&gt;0, "SOBRANTE", "FALTANTE")))</f>
        <v>PENDIENTE</v>
      </c>
      <c r="M381" s="72" t="str">
        <f>IF(CRUCE[[#This Row],[Diferencia]]="","",IF(CRUCE[[#This Row],[Diferencia]]=0,"OK","RECONTEO"))</f>
        <v/>
      </c>
      <c r="N381" s="39" t="str">
        <f>_xlfn.XLOOKUP(CRUCE[[#This Row],[Ubicacion]],Registros[Ubicacion],Registros[Codigo], "")</f>
        <v/>
      </c>
      <c r="O381" s="26"/>
      <c r="P381" s="26"/>
      <c r="Q381" s="39" t="str">
        <f>IF(CRUCE[[#This Row],[TOTAL2]]="", "PENDIENTE", IF(CRUCE[[#This Row],[DIFERENCIA2]]=0, "CUADRADO", IF(CRUCE[[#This Row],[DIFERENCIA2]]&gt;0, "SOBRANTE", "FALTANTE")))</f>
        <v>PENDIENTE</v>
      </c>
      <c r="R381" s="102" t="s">
        <v>5081</v>
      </c>
      <c r="S381" s="127" t="s">
        <v>5466</v>
      </c>
    </row>
    <row r="382" spans="1:19">
      <c r="A382" s="93" t="s">
        <v>5431</v>
      </c>
      <c r="B382" s="38" t="s">
        <v>3865</v>
      </c>
      <c r="C382" s="38">
        <v>8404094</v>
      </c>
      <c r="D382" s="74">
        <v>17750243083604</v>
      </c>
      <c r="E382" s="38" t="s">
        <v>2168</v>
      </c>
      <c r="F382" s="38">
        <v>22</v>
      </c>
      <c r="G382" s="38" t="s">
        <v>288</v>
      </c>
      <c r="H382" s="39" t="str">
        <f>_xlfn.XLOOKUP(CRUCE[[#This Row],[Ubicacion]],Registros[Ubicacion],Registros[Codigo], "")</f>
        <v/>
      </c>
      <c r="I382" s="25" t="str">
        <f>_xlfn.XLOOKUP(CRUCE[[#This Row],[Ubicacion]],Registros[Ubicacion],Registros[Total], "")</f>
        <v/>
      </c>
      <c r="J382" s="25" t="str">
        <f>_xlfn.XLOOKUP(CRUCE[[#This Row],[Ubicacion]],Registros[Ubicacion],Registros[UMA], "")</f>
        <v/>
      </c>
      <c r="K382" s="25" t="str">
        <f>IF(CRUCE[[#This Row],[TOTAL]]="","",CRUCE[[#This Row],[TOTAL]]-CRUCE[[#This Row],[BULTOS]])</f>
        <v/>
      </c>
      <c r="L382" s="38" t="str">
        <f>IF(CRUCE[[#This Row],[TOTAL]]="", "PENDIENTE", IF(CRUCE[[#This Row],[Diferencia]]=0, "CUADRADO", IF(CRUCE[[#This Row],[Diferencia]]&gt;0, "SOBRANTE", "FALTANTE")))</f>
        <v>PENDIENTE</v>
      </c>
      <c r="M382" s="71" t="str">
        <f>IF(CRUCE[[#This Row],[Diferencia]]="","",IF(CRUCE[[#This Row],[Diferencia]]=0,"OK","RECONTEO"))</f>
        <v/>
      </c>
      <c r="N382" s="39" t="str">
        <f>_xlfn.XLOOKUP(CRUCE[[#This Row],[Ubicacion]],Registros[Ubicacion],Registros[Codigo], "")</f>
        <v/>
      </c>
      <c r="O382" s="25"/>
      <c r="P382" s="25"/>
      <c r="Q382" s="39" t="str">
        <f>IF(CRUCE[[#This Row],[TOTAL2]]="", "PENDIENTE", IF(CRUCE[[#This Row],[DIFERENCIA2]]=0, "CUADRADO", IF(CRUCE[[#This Row],[DIFERENCIA2]]&gt;0, "SOBRANTE", "FALTANTE")))</f>
        <v>PENDIENTE</v>
      </c>
      <c r="R382" s="103" t="s">
        <v>5081</v>
      </c>
      <c r="S382" s="127" t="s">
        <v>5467</v>
      </c>
    </row>
    <row r="383" spans="1:19">
      <c r="A383" s="92" t="s">
        <v>5431</v>
      </c>
      <c r="B383" s="39" t="s">
        <v>3872</v>
      </c>
      <c r="C383" s="39">
        <v>8404705</v>
      </c>
      <c r="D383" s="73">
        <v>17750243078907</v>
      </c>
      <c r="E383" s="39" t="s">
        <v>2178</v>
      </c>
      <c r="F383" s="39">
        <v>27</v>
      </c>
      <c r="G383" s="39" t="s">
        <v>288</v>
      </c>
      <c r="H383" s="39" t="str">
        <f>_xlfn.XLOOKUP(CRUCE[[#This Row],[Ubicacion]],Registros[Ubicacion],Registros[Codigo], "")</f>
        <v/>
      </c>
      <c r="I383" s="26" t="str">
        <f>_xlfn.XLOOKUP(CRUCE[[#This Row],[Ubicacion]],Registros[Ubicacion],Registros[Total], "")</f>
        <v/>
      </c>
      <c r="J383" s="26" t="str">
        <f>_xlfn.XLOOKUP(CRUCE[[#This Row],[Ubicacion]],Registros[Ubicacion],Registros[UMA], "")</f>
        <v/>
      </c>
      <c r="K383" s="26" t="str">
        <f>IF(CRUCE[[#This Row],[TOTAL]]="","",CRUCE[[#This Row],[TOTAL]]-CRUCE[[#This Row],[BULTOS]])</f>
        <v/>
      </c>
      <c r="L383" s="39" t="str">
        <f>IF(CRUCE[[#This Row],[TOTAL]]="", "PENDIENTE", IF(CRUCE[[#This Row],[Diferencia]]=0, "CUADRADO", IF(CRUCE[[#This Row],[Diferencia]]&gt;0, "SOBRANTE", "FALTANTE")))</f>
        <v>PENDIENTE</v>
      </c>
      <c r="M383" s="72" t="str">
        <f>IF(CRUCE[[#This Row],[Diferencia]]="","",IF(CRUCE[[#This Row],[Diferencia]]=0,"OK","RECONTEO"))</f>
        <v/>
      </c>
      <c r="N383" s="39" t="str">
        <f>_xlfn.XLOOKUP(CRUCE[[#This Row],[Ubicacion]],Registros[Ubicacion],Registros[Codigo], "")</f>
        <v/>
      </c>
      <c r="O383" s="26"/>
      <c r="P383" s="26"/>
      <c r="Q383" s="39" t="str">
        <f>IF(CRUCE[[#This Row],[TOTAL2]]="", "PENDIENTE", IF(CRUCE[[#This Row],[DIFERENCIA2]]=0, "CUADRADO", IF(CRUCE[[#This Row],[DIFERENCIA2]]&gt;0, "SOBRANTE", "FALTANTE")))</f>
        <v>PENDIENTE</v>
      </c>
      <c r="R383" s="102" t="s">
        <v>5081</v>
      </c>
      <c r="S383" s="127" t="s">
        <v>5468</v>
      </c>
    </row>
    <row r="384" spans="1:19">
      <c r="A384" s="93" t="s">
        <v>5431</v>
      </c>
      <c r="B384" s="38" t="s">
        <v>3901</v>
      </c>
      <c r="C384" s="38">
        <v>8404722</v>
      </c>
      <c r="D384" s="74">
        <v>17750243079904</v>
      </c>
      <c r="E384" s="38" t="s">
        <v>2210</v>
      </c>
      <c r="F384" s="38">
        <v>10</v>
      </c>
      <c r="G384" s="38" t="s">
        <v>288</v>
      </c>
      <c r="H384" s="39" t="str">
        <f>_xlfn.XLOOKUP(CRUCE[[#This Row],[Ubicacion]],Registros[Ubicacion],Registros[Codigo], "")</f>
        <v/>
      </c>
      <c r="I384" s="25" t="str">
        <f>_xlfn.XLOOKUP(CRUCE[[#This Row],[Ubicacion]],Registros[Ubicacion],Registros[Total], "")</f>
        <v/>
      </c>
      <c r="J384" s="25" t="str">
        <f>_xlfn.XLOOKUP(CRUCE[[#This Row],[Ubicacion]],Registros[Ubicacion],Registros[UMA], "")</f>
        <v/>
      </c>
      <c r="K384" s="25" t="str">
        <f>IF(CRUCE[[#This Row],[TOTAL]]="","",CRUCE[[#This Row],[TOTAL]]-CRUCE[[#This Row],[BULTOS]])</f>
        <v/>
      </c>
      <c r="L384" s="38" t="str">
        <f>IF(CRUCE[[#This Row],[TOTAL]]="", "PENDIENTE", IF(CRUCE[[#This Row],[Diferencia]]=0, "CUADRADO", IF(CRUCE[[#This Row],[Diferencia]]&gt;0, "SOBRANTE", "FALTANTE")))</f>
        <v>PENDIENTE</v>
      </c>
      <c r="M384" s="71" t="str">
        <f>IF(CRUCE[[#This Row],[Diferencia]]="","",IF(CRUCE[[#This Row],[Diferencia]]=0,"OK","RECONTEO"))</f>
        <v/>
      </c>
      <c r="N384" s="39" t="str">
        <f>_xlfn.XLOOKUP(CRUCE[[#This Row],[Ubicacion]],Registros[Ubicacion],Registros[Codigo], "")</f>
        <v/>
      </c>
      <c r="O384" s="25"/>
      <c r="P384" s="25"/>
      <c r="Q384" s="39" t="str">
        <f>IF(CRUCE[[#This Row],[TOTAL2]]="", "PENDIENTE", IF(CRUCE[[#This Row],[DIFERENCIA2]]=0, "CUADRADO", IF(CRUCE[[#This Row],[DIFERENCIA2]]&gt;0, "SOBRANTE", "FALTANTE")))</f>
        <v>PENDIENTE</v>
      </c>
      <c r="R384" s="103" t="s">
        <v>5081</v>
      </c>
      <c r="S384" s="127" t="s">
        <v>5469</v>
      </c>
    </row>
    <row r="385" spans="1:19">
      <c r="A385" s="92" t="s">
        <v>5431</v>
      </c>
      <c r="B385" s="39" t="s">
        <v>3890</v>
      </c>
      <c r="C385" s="39">
        <v>8404717</v>
      </c>
      <c r="D385" s="73">
        <v>17750243079850</v>
      </c>
      <c r="E385" s="39" t="s">
        <v>2202</v>
      </c>
      <c r="F385" s="39">
        <v>5</v>
      </c>
      <c r="G385" s="39" t="s">
        <v>288</v>
      </c>
      <c r="H385" s="39" t="str">
        <f>_xlfn.XLOOKUP(CRUCE[[#This Row],[Ubicacion]],Registros[Ubicacion],Registros[Codigo], "")</f>
        <v/>
      </c>
      <c r="I385" s="26" t="str">
        <f>_xlfn.XLOOKUP(CRUCE[[#This Row],[Ubicacion]],Registros[Ubicacion],Registros[Total], "")</f>
        <v/>
      </c>
      <c r="J385" s="26" t="str">
        <f>_xlfn.XLOOKUP(CRUCE[[#This Row],[Ubicacion]],Registros[Ubicacion],Registros[UMA], "")</f>
        <v/>
      </c>
      <c r="K385" s="26" t="str">
        <f>IF(CRUCE[[#This Row],[TOTAL]]="","",CRUCE[[#This Row],[TOTAL]]-CRUCE[[#This Row],[BULTOS]])</f>
        <v/>
      </c>
      <c r="L385" s="39" t="str">
        <f>IF(CRUCE[[#This Row],[TOTAL]]="", "PENDIENTE", IF(CRUCE[[#This Row],[Diferencia]]=0, "CUADRADO", IF(CRUCE[[#This Row],[Diferencia]]&gt;0, "SOBRANTE", "FALTANTE")))</f>
        <v>PENDIENTE</v>
      </c>
      <c r="M385" s="72" t="str">
        <f>IF(CRUCE[[#This Row],[Diferencia]]="","",IF(CRUCE[[#This Row],[Diferencia]]=0,"OK","RECONTEO"))</f>
        <v/>
      </c>
      <c r="N385" s="39" t="str">
        <f>_xlfn.XLOOKUP(CRUCE[[#This Row],[Ubicacion]],Registros[Ubicacion],Registros[Codigo], "")</f>
        <v/>
      </c>
      <c r="O385" s="26"/>
      <c r="P385" s="26"/>
      <c r="Q385" s="39" t="str">
        <f>IF(CRUCE[[#This Row],[TOTAL2]]="", "PENDIENTE", IF(CRUCE[[#This Row],[DIFERENCIA2]]=0, "CUADRADO", IF(CRUCE[[#This Row],[DIFERENCIA2]]&gt;0, "SOBRANTE", "FALTANTE")))</f>
        <v>PENDIENTE</v>
      </c>
      <c r="R385" s="102" t="s">
        <v>5081</v>
      </c>
      <c r="S385" s="127" t="s">
        <v>5470</v>
      </c>
    </row>
    <row r="386" spans="1:19">
      <c r="A386" s="93" t="s">
        <v>5431</v>
      </c>
      <c r="B386" s="38" t="s">
        <v>3911</v>
      </c>
      <c r="C386" s="38">
        <v>8404726</v>
      </c>
      <c r="D386" s="74">
        <v>37750243079854</v>
      </c>
      <c r="E386" s="38" t="s">
        <v>2218</v>
      </c>
      <c r="F386" s="38">
        <v>34</v>
      </c>
      <c r="G386" s="38" t="s">
        <v>288</v>
      </c>
      <c r="H386" s="39" t="str">
        <f>_xlfn.XLOOKUP(CRUCE[[#This Row],[Ubicacion]],Registros[Ubicacion],Registros[Codigo], "")</f>
        <v/>
      </c>
      <c r="I386" s="25" t="str">
        <f>_xlfn.XLOOKUP(CRUCE[[#This Row],[Ubicacion]],Registros[Ubicacion],Registros[Total], "")</f>
        <v/>
      </c>
      <c r="J386" s="25" t="str">
        <f>_xlfn.XLOOKUP(CRUCE[[#This Row],[Ubicacion]],Registros[Ubicacion],Registros[UMA], "")</f>
        <v/>
      </c>
      <c r="K386" s="25" t="str">
        <f>IF(CRUCE[[#This Row],[TOTAL]]="","",CRUCE[[#This Row],[TOTAL]]-CRUCE[[#This Row],[BULTOS]])</f>
        <v/>
      </c>
      <c r="L386" s="38" t="str">
        <f>IF(CRUCE[[#This Row],[TOTAL]]="", "PENDIENTE", IF(CRUCE[[#This Row],[Diferencia]]=0, "CUADRADO", IF(CRUCE[[#This Row],[Diferencia]]&gt;0, "SOBRANTE", "FALTANTE")))</f>
        <v>PENDIENTE</v>
      </c>
      <c r="M386" s="71" t="str">
        <f>IF(CRUCE[[#This Row],[Diferencia]]="","",IF(CRUCE[[#This Row],[Diferencia]]=0,"OK","RECONTEO"))</f>
        <v/>
      </c>
      <c r="N386" s="39" t="str">
        <f>_xlfn.XLOOKUP(CRUCE[[#This Row],[Ubicacion]],Registros[Ubicacion],Registros[Codigo], "")</f>
        <v/>
      </c>
      <c r="O386" s="25"/>
      <c r="P386" s="25"/>
      <c r="Q386" s="39" t="str">
        <f>IF(CRUCE[[#This Row],[TOTAL2]]="", "PENDIENTE", IF(CRUCE[[#This Row],[DIFERENCIA2]]=0, "CUADRADO", IF(CRUCE[[#This Row],[DIFERENCIA2]]&gt;0, "SOBRANTE", "FALTANTE")))</f>
        <v>PENDIENTE</v>
      </c>
      <c r="R386" s="103" t="s">
        <v>5081</v>
      </c>
      <c r="S386" s="127" t="s">
        <v>5471</v>
      </c>
    </row>
    <row r="387" spans="1:19">
      <c r="A387" s="92" t="s">
        <v>5431</v>
      </c>
      <c r="B387" s="39" t="s">
        <v>4073</v>
      </c>
      <c r="C387" s="39">
        <v>8414018</v>
      </c>
      <c r="D387" s="73">
        <v>7750243072380</v>
      </c>
      <c r="E387" s="39" t="s">
        <v>2680</v>
      </c>
      <c r="F387" s="39">
        <v>1</v>
      </c>
      <c r="G387" s="39" t="s">
        <v>100</v>
      </c>
      <c r="H387" s="39" t="str">
        <f>_xlfn.XLOOKUP(CRUCE[[#This Row],[Ubicacion]],Registros[Ubicacion],Registros[Codigo], "")</f>
        <v/>
      </c>
      <c r="I387" s="26" t="str">
        <f>_xlfn.XLOOKUP(CRUCE[[#This Row],[Ubicacion]],Registros[Ubicacion],Registros[Total], "")</f>
        <v/>
      </c>
      <c r="J387" s="26" t="str">
        <f>_xlfn.XLOOKUP(CRUCE[[#This Row],[Ubicacion]],Registros[Ubicacion],Registros[UMA], "")</f>
        <v/>
      </c>
      <c r="K387" s="26" t="str">
        <f>IF(CRUCE[[#This Row],[TOTAL]]="","",CRUCE[[#This Row],[TOTAL]]-CRUCE[[#This Row],[BULTOS]])</f>
        <v/>
      </c>
      <c r="L387" s="39" t="str">
        <f>IF(CRUCE[[#This Row],[TOTAL]]="", "PENDIENTE", IF(CRUCE[[#This Row],[Diferencia]]=0, "CUADRADO", IF(CRUCE[[#This Row],[Diferencia]]&gt;0, "SOBRANTE", "FALTANTE")))</f>
        <v>PENDIENTE</v>
      </c>
      <c r="M387" s="72" t="str">
        <f>IF(CRUCE[[#This Row],[Diferencia]]="","",IF(CRUCE[[#This Row],[Diferencia]]=0,"OK","RECONTEO"))</f>
        <v/>
      </c>
      <c r="N387" s="39" t="str">
        <f>_xlfn.XLOOKUP(CRUCE[[#This Row],[Ubicacion]],Registros[Ubicacion],Registros[Codigo], "")</f>
        <v/>
      </c>
      <c r="O387" s="26"/>
      <c r="P387" s="26"/>
      <c r="Q387" s="39" t="str">
        <f>IF(CRUCE[[#This Row],[TOTAL2]]="", "PENDIENTE", IF(CRUCE[[#This Row],[DIFERENCIA2]]=0, "CUADRADO", IF(CRUCE[[#This Row],[DIFERENCIA2]]&gt;0, "SOBRANTE", "FALTANTE")))</f>
        <v>PENDIENTE</v>
      </c>
      <c r="R387" s="102" t="s">
        <v>5081</v>
      </c>
      <c r="S387" s="127" t="s">
        <v>5472</v>
      </c>
    </row>
    <row r="388" spans="1:19">
      <c r="A388" s="93" t="s">
        <v>5431</v>
      </c>
      <c r="B388" s="38" t="s">
        <v>4071</v>
      </c>
      <c r="C388" s="38">
        <v>8414017</v>
      </c>
      <c r="D388" s="74">
        <v>7750243072373</v>
      </c>
      <c r="E388" s="38" t="s">
        <v>2678</v>
      </c>
      <c r="F388" s="38">
        <v>18</v>
      </c>
      <c r="G388" s="38" t="s">
        <v>100</v>
      </c>
      <c r="H388" s="39" t="str">
        <f>_xlfn.XLOOKUP(CRUCE[[#This Row],[Ubicacion]],Registros[Ubicacion],Registros[Codigo], "")</f>
        <v/>
      </c>
      <c r="I388" s="25" t="str">
        <f>_xlfn.XLOOKUP(CRUCE[[#This Row],[Ubicacion]],Registros[Ubicacion],Registros[Total], "")</f>
        <v/>
      </c>
      <c r="J388" s="25" t="str">
        <f>_xlfn.XLOOKUP(CRUCE[[#This Row],[Ubicacion]],Registros[Ubicacion],Registros[UMA], "")</f>
        <v/>
      </c>
      <c r="K388" s="25" t="str">
        <f>IF(CRUCE[[#This Row],[TOTAL]]="","",CRUCE[[#This Row],[TOTAL]]-CRUCE[[#This Row],[BULTOS]])</f>
        <v/>
      </c>
      <c r="L388" s="38" t="str">
        <f>IF(CRUCE[[#This Row],[TOTAL]]="", "PENDIENTE", IF(CRUCE[[#This Row],[Diferencia]]=0, "CUADRADO", IF(CRUCE[[#This Row],[Diferencia]]&gt;0, "SOBRANTE", "FALTANTE")))</f>
        <v>PENDIENTE</v>
      </c>
      <c r="M388" s="71" t="str">
        <f>IF(CRUCE[[#This Row],[Diferencia]]="","",IF(CRUCE[[#This Row],[Diferencia]]=0,"OK","RECONTEO"))</f>
        <v/>
      </c>
      <c r="N388" s="39" t="str">
        <f>_xlfn.XLOOKUP(CRUCE[[#This Row],[Ubicacion]],Registros[Ubicacion],Registros[Codigo], "")</f>
        <v/>
      </c>
      <c r="O388" s="25"/>
      <c r="P388" s="25"/>
      <c r="Q388" s="39" t="str">
        <f>IF(CRUCE[[#This Row],[TOTAL2]]="", "PENDIENTE", IF(CRUCE[[#This Row],[DIFERENCIA2]]=0, "CUADRADO", IF(CRUCE[[#This Row],[DIFERENCIA2]]&gt;0, "SOBRANTE", "FALTANTE")))</f>
        <v>PENDIENTE</v>
      </c>
      <c r="R388" s="103" t="s">
        <v>5081</v>
      </c>
      <c r="S388" s="127" t="s">
        <v>5473</v>
      </c>
    </row>
    <row r="389" spans="1:19">
      <c r="A389" s="92" t="s">
        <v>5431</v>
      </c>
      <c r="B389" s="39" t="s">
        <v>3905</v>
      </c>
      <c r="C389" s="39">
        <v>8404724</v>
      </c>
      <c r="D389" s="73">
        <v>7750243081900</v>
      </c>
      <c r="E389" s="39" t="s">
        <v>2214</v>
      </c>
      <c r="F389" s="39">
        <v>14</v>
      </c>
      <c r="G389" s="39" t="s">
        <v>100</v>
      </c>
      <c r="H389" s="39" t="str">
        <f>_xlfn.XLOOKUP(CRUCE[[#This Row],[Ubicacion]],Registros[Ubicacion],Registros[Codigo], "")</f>
        <v/>
      </c>
      <c r="I389" s="26" t="str">
        <f>_xlfn.XLOOKUP(CRUCE[[#This Row],[Ubicacion]],Registros[Ubicacion],Registros[Total], "")</f>
        <v/>
      </c>
      <c r="J389" s="26" t="str">
        <f>_xlfn.XLOOKUP(CRUCE[[#This Row],[Ubicacion]],Registros[Ubicacion],Registros[UMA], "")</f>
        <v/>
      </c>
      <c r="K389" s="26" t="str">
        <f>IF(CRUCE[[#This Row],[TOTAL]]="","",CRUCE[[#This Row],[TOTAL]]-CRUCE[[#This Row],[BULTOS]])</f>
        <v/>
      </c>
      <c r="L389" s="39" t="str">
        <f>IF(CRUCE[[#This Row],[TOTAL]]="", "PENDIENTE", IF(CRUCE[[#This Row],[Diferencia]]=0, "CUADRADO", IF(CRUCE[[#This Row],[Diferencia]]&gt;0, "SOBRANTE", "FALTANTE")))</f>
        <v>PENDIENTE</v>
      </c>
      <c r="M389" s="72" t="str">
        <f>IF(CRUCE[[#This Row],[Diferencia]]="","",IF(CRUCE[[#This Row],[Diferencia]]=0,"OK","RECONTEO"))</f>
        <v/>
      </c>
      <c r="N389" s="39" t="str">
        <f>_xlfn.XLOOKUP(CRUCE[[#This Row],[Ubicacion]],Registros[Ubicacion],Registros[Codigo], "")</f>
        <v/>
      </c>
      <c r="O389" s="26"/>
      <c r="P389" s="26"/>
      <c r="Q389" s="39" t="str">
        <f>IF(CRUCE[[#This Row],[TOTAL2]]="", "PENDIENTE", IF(CRUCE[[#This Row],[DIFERENCIA2]]=0, "CUADRADO", IF(CRUCE[[#This Row],[DIFERENCIA2]]&gt;0, "SOBRANTE", "FALTANTE")))</f>
        <v>PENDIENTE</v>
      </c>
      <c r="R389" s="102" t="s">
        <v>5081</v>
      </c>
      <c r="S389" s="127" t="s">
        <v>5474</v>
      </c>
    </row>
    <row r="390" spans="1:19">
      <c r="A390" s="93" t="s">
        <v>5431</v>
      </c>
      <c r="B390" s="38" t="s">
        <v>3907</v>
      </c>
      <c r="C390" s="38">
        <v>8404724</v>
      </c>
      <c r="D390" s="74">
        <v>7750243081900</v>
      </c>
      <c r="E390" s="38" t="s">
        <v>2214</v>
      </c>
      <c r="F390" s="38">
        <v>14</v>
      </c>
      <c r="G390" s="38" t="s">
        <v>100</v>
      </c>
      <c r="H390" s="39" t="str">
        <f>_xlfn.XLOOKUP(CRUCE[[#This Row],[Ubicacion]],Registros[Ubicacion],Registros[Codigo], "")</f>
        <v/>
      </c>
      <c r="I390" s="25" t="str">
        <f>_xlfn.XLOOKUP(CRUCE[[#This Row],[Ubicacion]],Registros[Ubicacion],Registros[Total], "")</f>
        <v/>
      </c>
      <c r="J390" s="25" t="str">
        <f>_xlfn.XLOOKUP(CRUCE[[#This Row],[Ubicacion]],Registros[Ubicacion],Registros[UMA], "")</f>
        <v/>
      </c>
      <c r="K390" s="25" t="str">
        <f>IF(CRUCE[[#This Row],[TOTAL]]="","",CRUCE[[#This Row],[TOTAL]]-CRUCE[[#This Row],[BULTOS]])</f>
        <v/>
      </c>
      <c r="L390" s="38" t="str">
        <f>IF(CRUCE[[#This Row],[TOTAL]]="", "PENDIENTE", IF(CRUCE[[#This Row],[Diferencia]]=0, "CUADRADO", IF(CRUCE[[#This Row],[Diferencia]]&gt;0, "SOBRANTE", "FALTANTE")))</f>
        <v>PENDIENTE</v>
      </c>
      <c r="M390" s="71" t="str">
        <f>IF(CRUCE[[#This Row],[Diferencia]]="","",IF(CRUCE[[#This Row],[Diferencia]]=0,"OK","RECONTEO"))</f>
        <v/>
      </c>
      <c r="N390" s="39" t="str">
        <f>_xlfn.XLOOKUP(CRUCE[[#This Row],[Ubicacion]],Registros[Ubicacion],Registros[Codigo], "")</f>
        <v/>
      </c>
      <c r="O390" s="25"/>
      <c r="P390" s="25"/>
      <c r="Q390" s="39" t="str">
        <f>IF(CRUCE[[#This Row],[TOTAL2]]="", "PENDIENTE", IF(CRUCE[[#This Row],[DIFERENCIA2]]=0, "CUADRADO", IF(CRUCE[[#This Row],[DIFERENCIA2]]&gt;0, "SOBRANTE", "FALTANTE")))</f>
        <v>PENDIENTE</v>
      </c>
      <c r="R390" s="103" t="s">
        <v>5081</v>
      </c>
      <c r="S390" s="127" t="s">
        <v>5475</v>
      </c>
    </row>
    <row r="391" spans="1:19">
      <c r="A391" s="92" t="s">
        <v>5431</v>
      </c>
      <c r="B391" s="39" t="s">
        <v>3988</v>
      </c>
      <c r="C391" s="39">
        <v>8410190</v>
      </c>
      <c r="D391" s="73">
        <v>7750243073615</v>
      </c>
      <c r="E391" s="39" t="s">
        <v>2518</v>
      </c>
      <c r="F391" s="39">
        <v>14</v>
      </c>
      <c r="G391" s="39" t="s">
        <v>100</v>
      </c>
      <c r="H391" s="39" t="str">
        <f>_xlfn.XLOOKUP(CRUCE[[#This Row],[Ubicacion]],Registros[Ubicacion],Registros[Codigo], "")</f>
        <v/>
      </c>
      <c r="I391" s="26" t="str">
        <f>_xlfn.XLOOKUP(CRUCE[[#This Row],[Ubicacion]],Registros[Ubicacion],Registros[Total], "")</f>
        <v/>
      </c>
      <c r="J391" s="26" t="str">
        <f>_xlfn.XLOOKUP(CRUCE[[#This Row],[Ubicacion]],Registros[Ubicacion],Registros[UMA], "")</f>
        <v/>
      </c>
      <c r="K391" s="26" t="str">
        <f>IF(CRUCE[[#This Row],[TOTAL]]="","",CRUCE[[#This Row],[TOTAL]]-CRUCE[[#This Row],[BULTOS]])</f>
        <v/>
      </c>
      <c r="L391" s="39" t="str">
        <f>IF(CRUCE[[#This Row],[TOTAL]]="", "PENDIENTE", IF(CRUCE[[#This Row],[Diferencia]]=0, "CUADRADO", IF(CRUCE[[#This Row],[Diferencia]]&gt;0, "SOBRANTE", "FALTANTE")))</f>
        <v>PENDIENTE</v>
      </c>
      <c r="M391" s="72" t="str">
        <f>IF(CRUCE[[#This Row],[Diferencia]]="","",IF(CRUCE[[#This Row],[Diferencia]]=0,"OK","RECONTEO"))</f>
        <v/>
      </c>
      <c r="N391" s="39" t="str">
        <f>_xlfn.XLOOKUP(CRUCE[[#This Row],[Ubicacion]],Registros[Ubicacion],Registros[Codigo], "")</f>
        <v/>
      </c>
      <c r="O391" s="26"/>
      <c r="P391" s="26"/>
      <c r="Q391" s="39" t="str">
        <f>IF(CRUCE[[#This Row],[TOTAL2]]="", "PENDIENTE", IF(CRUCE[[#This Row],[DIFERENCIA2]]=0, "CUADRADO", IF(CRUCE[[#This Row],[DIFERENCIA2]]&gt;0, "SOBRANTE", "FALTANTE")))</f>
        <v>PENDIENTE</v>
      </c>
      <c r="R391" s="102" t="s">
        <v>5081</v>
      </c>
      <c r="S391" s="127" t="s">
        <v>5476</v>
      </c>
    </row>
    <row r="392" spans="1:19">
      <c r="A392" s="93" t="s">
        <v>5431</v>
      </c>
      <c r="B392" s="38" t="s">
        <v>3990</v>
      </c>
      <c r="C392" s="38">
        <v>8410190</v>
      </c>
      <c r="D392" s="74">
        <v>7750243073615</v>
      </c>
      <c r="E392" s="38" t="s">
        <v>2518</v>
      </c>
      <c r="F392" s="38">
        <v>14</v>
      </c>
      <c r="G392" s="38" t="s">
        <v>100</v>
      </c>
      <c r="H392" s="39" t="str">
        <f>_xlfn.XLOOKUP(CRUCE[[#This Row],[Ubicacion]],Registros[Ubicacion],Registros[Codigo], "")</f>
        <v/>
      </c>
      <c r="I392" s="25" t="str">
        <f>_xlfn.XLOOKUP(CRUCE[[#This Row],[Ubicacion]],Registros[Ubicacion],Registros[Total], "")</f>
        <v/>
      </c>
      <c r="J392" s="25" t="str">
        <f>_xlfn.XLOOKUP(CRUCE[[#This Row],[Ubicacion]],Registros[Ubicacion],Registros[UMA], "")</f>
        <v/>
      </c>
      <c r="K392" s="25" t="str">
        <f>IF(CRUCE[[#This Row],[TOTAL]]="","",CRUCE[[#This Row],[TOTAL]]-CRUCE[[#This Row],[BULTOS]])</f>
        <v/>
      </c>
      <c r="L392" s="38" t="str">
        <f>IF(CRUCE[[#This Row],[TOTAL]]="", "PENDIENTE", IF(CRUCE[[#This Row],[Diferencia]]=0, "CUADRADO", IF(CRUCE[[#This Row],[Diferencia]]&gt;0, "SOBRANTE", "FALTANTE")))</f>
        <v>PENDIENTE</v>
      </c>
      <c r="M392" s="71" t="str">
        <f>IF(CRUCE[[#This Row],[Diferencia]]="","",IF(CRUCE[[#This Row],[Diferencia]]=0,"OK","RECONTEO"))</f>
        <v/>
      </c>
      <c r="N392" s="39" t="str">
        <f>_xlfn.XLOOKUP(CRUCE[[#This Row],[Ubicacion]],Registros[Ubicacion],Registros[Codigo], "")</f>
        <v/>
      </c>
      <c r="O392" s="25"/>
      <c r="P392" s="25"/>
      <c r="Q392" s="39" t="str">
        <f>IF(CRUCE[[#This Row],[TOTAL2]]="", "PENDIENTE", IF(CRUCE[[#This Row],[DIFERENCIA2]]=0, "CUADRADO", IF(CRUCE[[#This Row],[DIFERENCIA2]]&gt;0, "SOBRANTE", "FALTANTE")))</f>
        <v>PENDIENTE</v>
      </c>
      <c r="R392" s="103" t="s">
        <v>5081</v>
      </c>
      <c r="S392" s="127" t="s">
        <v>5477</v>
      </c>
    </row>
    <row r="393" spans="1:19">
      <c r="A393" s="92" t="s">
        <v>5431</v>
      </c>
      <c r="B393" s="39" t="s">
        <v>3247</v>
      </c>
      <c r="C393" s="39">
        <v>8303032</v>
      </c>
      <c r="D393" s="73">
        <v>17751851025376</v>
      </c>
      <c r="E393" s="39" t="s">
        <v>312</v>
      </c>
      <c r="F393" s="39">
        <v>17</v>
      </c>
      <c r="G393" s="39" t="s">
        <v>288</v>
      </c>
      <c r="H393" s="39" t="str">
        <f>_xlfn.XLOOKUP(CRUCE[[#This Row],[Ubicacion]],Registros[Ubicacion],Registros[Codigo], "")</f>
        <v/>
      </c>
      <c r="I393" s="26" t="str">
        <f>_xlfn.XLOOKUP(CRUCE[[#This Row],[Ubicacion]],Registros[Ubicacion],Registros[Total], "")</f>
        <v/>
      </c>
      <c r="J393" s="26" t="str">
        <f>_xlfn.XLOOKUP(CRUCE[[#This Row],[Ubicacion]],Registros[Ubicacion],Registros[UMA], "")</f>
        <v/>
      </c>
      <c r="K393" s="26" t="str">
        <f>IF(CRUCE[[#This Row],[TOTAL]]="","",CRUCE[[#This Row],[TOTAL]]-CRUCE[[#This Row],[BULTOS]])</f>
        <v/>
      </c>
      <c r="L393" s="39" t="str">
        <f>IF(CRUCE[[#This Row],[TOTAL]]="", "PENDIENTE", IF(CRUCE[[#This Row],[Diferencia]]=0, "CUADRADO", IF(CRUCE[[#This Row],[Diferencia]]&gt;0, "SOBRANTE", "FALTANTE")))</f>
        <v>PENDIENTE</v>
      </c>
      <c r="M393" s="72" t="str">
        <f>IF(CRUCE[[#This Row],[Diferencia]]="","",IF(CRUCE[[#This Row],[Diferencia]]=0,"OK","RECONTEO"))</f>
        <v/>
      </c>
      <c r="N393" s="39" t="str">
        <f>_xlfn.XLOOKUP(CRUCE[[#This Row],[Ubicacion]],Registros[Ubicacion],Registros[Codigo], "")</f>
        <v/>
      </c>
      <c r="O393" s="26"/>
      <c r="P393" s="26"/>
      <c r="Q393" s="39" t="str">
        <f>IF(CRUCE[[#This Row],[TOTAL2]]="", "PENDIENTE", IF(CRUCE[[#This Row],[DIFERENCIA2]]=0, "CUADRADO", IF(CRUCE[[#This Row],[DIFERENCIA2]]&gt;0, "SOBRANTE", "FALTANTE")))</f>
        <v>PENDIENTE</v>
      </c>
      <c r="R393" s="102" t="s">
        <v>5081</v>
      </c>
      <c r="S393" s="127" t="s">
        <v>5478</v>
      </c>
    </row>
    <row r="394" spans="1:19">
      <c r="A394" s="93" t="s">
        <v>5431</v>
      </c>
      <c r="B394" s="38" t="s">
        <v>3251</v>
      </c>
      <c r="C394" s="38">
        <v>8303032</v>
      </c>
      <c r="D394" s="74">
        <v>17751851025376</v>
      </c>
      <c r="E394" s="38" t="s">
        <v>312</v>
      </c>
      <c r="F394" s="38">
        <v>17</v>
      </c>
      <c r="G394" s="38" t="s">
        <v>288</v>
      </c>
      <c r="H394" s="39" t="str">
        <f>_xlfn.XLOOKUP(CRUCE[[#This Row],[Ubicacion]],Registros[Ubicacion],Registros[Codigo], "")</f>
        <v/>
      </c>
      <c r="I394" s="25" t="str">
        <f>_xlfn.XLOOKUP(CRUCE[[#This Row],[Ubicacion]],Registros[Ubicacion],Registros[Total], "")</f>
        <v/>
      </c>
      <c r="J394" s="25" t="str">
        <f>_xlfn.XLOOKUP(CRUCE[[#This Row],[Ubicacion]],Registros[Ubicacion],Registros[UMA], "")</f>
        <v/>
      </c>
      <c r="K394" s="25" t="str">
        <f>IF(CRUCE[[#This Row],[TOTAL]]="","",CRUCE[[#This Row],[TOTAL]]-CRUCE[[#This Row],[BULTOS]])</f>
        <v/>
      </c>
      <c r="L394" s="38" t="str">
        <f>IF(CRUCE[[#This Row],[TOTAL]]="", "PENDIENTE", IF(CRUCE[[#This Row],[Diferencia]]=0, "CUADRADO", IF(CRUCE[[#This Row],[Diferencia]]&gt;0, "SOBRANTE", "FALTANTE")))</f>
        <v>PENDIENTE</v>
      </c>
      <c r="M394" s="71" t="str">
        <f>IF(CRUCE[[#This Row],[Diferencia]]="","",IF(CRUCE[[#This Row],[Diferencia]]=0,"OK","RECONTEO"))</f>
        <v/>
      </c>
      <c r="N394" s="39" t="str">
        <f>_xlfn.XLOOKUP(CRUCE[[#This Row],[Ubicacion]],Registros[Ubicacion],Registros[Codigo], "")</f>
        <v/>
      </c>
      <c r="O394" s="25"/>
      <c r="P394" s="25"/>
      <c r="Q394" s="39" t="str">
        <f>IF(CRUCE[[#This Row],[TOTAL2]]="", "PENDIENTE", IF(CRUCE[[#This Row],[DIFERENCIA2]]=0, "CUADRADO", IF(CRUCE[[#This Row],[DIFERENCIA2]]&gt;0, "SOBRANTE", "FALTANTE")))</f>
        <v>PENDIENTE</v>
      </c>
      <c r="R394" s="103" t="s">
        <v>5081</v>
      </c>
      <c r="S394" s="127" t="s">
        <v>5479</v>
      </c>
    </row>
    <row r="395" spans="1:19">
      <c r="A395" s="92" t="s">
        <v>5431</v>
      </c>
      <c r="B395" s="39" t="s">
        <v>4005</v>
      </c>
      <c r="C395" s="39">
        <v>8410217</v>
      </c>
      <c r="D395" s="73">
        <v>17750243083895</v>
      </c>
      <c r="E395" s="39" t="s">
        <v>2552</v>
      </c>
      <c r="F395" s="39">
        <v>19</v>
      </c>
      <c r="G395" s="39" t="s">
        <v>288</v>
      </c>
      <c r="H395" s="39" t="str">
        <f>_xlfn.XLOOKUP(CRUCE[[#This Row],[Ubicacion]],Registros[Ubicacion],Registros[Codigo], "")</f>
        <v/>
      </c>
      <c r="I395" s="26" t="str">
        <f>_xlfn.XLOOKUP(CRUCE[[#This Row],[Ubicacion]],Registros[Ubicacion],Registros[Total], "")</f>
        <v/>
      </c>
      <c r="J395" s="26" t="str">
        <f>_xlfn.XLOOKUP(CRUCE[[#This Row],[Ubicacion]],Registros[Ubicacion],Registros[UMA], "")</f>
        <v/>
      </c>
      <c r="K395" s="26" t="str">
        <f>IF(CRUCE[[#This Row],[TOTAL]]="","",CRUCE[[#This Row],[TOTAL]]-CRUCE[[#This Row],[BULTOS]])</f>
        <v/>
      </c>
      <c r="L395" s="39" t="str">
        <f>IF(CRUCE[[#This Row],[TOTAL]]="", "PENDIENTE", IF(CRUCE[[#This Row],[Diferencia]]=0, "CUADRADO", IF(CRUCE[[#This Row],[Diferencia]]&gt;0, "SOBRANTE", "FALTANTE")))</f>
        <v>PENDIENTE</v>
      </c>
      <c r="M395" s="72" t="str">
        <f>IF(CRUCE[[#This Row],[Diferencia]]="","",IF(CRUCE[[#This Row],[Diferencia]]=0,"OK","RECONTEO"))</f>
        <v/>
      </c>
      <c r="N395" s="39" t="str">
        <f>_xlfn.XLOOKUP(CRUCE[[#This Row],[Ubicacion]],Registros[Ubicacion],Registros[Codigo], "")</f>
        <v/>
      </c>
      <c r="O395" s="26"/>
      <c r="P395" s="26"/>
      <c r="Q395" s="39" t="str">
        <f>IF(CRUCE[[#This Row],[TOTAL2]]="", "PENDIENTE", IF(CRUCE[[#This Row],[DIFERENCIA2]]=0, "CUADRADO", IF(CRUCE[[#This Row],[DIFERENCIA2]]&gt;0, "SOBRANTE", "FALTANTE")))</f>
        <v>PENDIENTE</v>
      </c>
      <c r="R395" s="102" t="s">
        <v>5081</v>
      </c>
      <c r="S395" s="129" t="s">
        <v>5480</v>
      </c>
    </row>
    <row r="396" spans="1:19">
      <c r="A396" s="93" t="s">
        <v>5431</v>
      </c>
      <c r="B396" s="38" t="s">
        <v>3957</v>
      </c>
      <c r="C396" s="38">
        <v>8406214</v>
      </c>
      <c r="D396" s="74">
        <v>17750243083284</v>
      </c>
      <c r="E396" s="38" t="s">
        <v>2352</v>
      </c>
      <c r="F396" s="38">
        <v>21</v>
      </c>
      <c r="G396" s="38" t="s">
        <v>288</v>
      </c>
      <c r="H396" s="39" t="str">
        <f>_xlfn.XLOOKUP(CRUCE[[#This Row],[Ubicacion]],Registros[Ubicacion],Registros[Codigo], "")</f>
        <v/>
      </c>
      <c r="I396" s="25" t="str">
        <f>_xlfn.XLOOKUP(CRUCE[[#This Row],[Ubicacion]],Registros[Ubicacion],Registros[Total], "")</f>
        <v/>
      </c>
      <c r="J396" s="25" t="str">
        <f>_xlfn.XLOOKUP(CRUCE[[#This Row],[Ubicacion]],Registros[Ubicacion],Registros[UMA], "")</f>
        <v/>
      </c>
      <c r="K396" s="25" t="str">
        <f>IF(CRUCE[[#This Row],[TOTAL]]="","",CRUCE[[#This Row],[TOTAL]]-CRUCE[[#This Row],[BULTOS]])</f>
        <v/>
      </c>
      <c r="L396" s="38" t="str">
        <f>IF(CRUCE[[#This Row],[TOTAL]]="", "PENDIENTE", IF(CRUCE[[#This Row],[Diferencia]]=0, "CUADRADO", IF(CRUCE[[#This Row],[Diferencia]]&gt;0, "SOBRANTE", "FALTANTE")))</f>
        <v>PENDIENTE</v>
      </c>
      <c r="M396" s="71" t="str">
        <f>IF(CRUCE[[#This Row],[Diferencia]]="","",IF(CRUCE[[#This Row],[Diferencia]]=0,"OK","RECONTEO"))</f>
        <v/>
      </c>
      <c r="N396" s="39" t="str">
        <f>_xlfn.XLOOKUP(CRUCE[[#This Row],[Ubicacion]],Registros[Ubicacion],Registros[Codigo], "")</f>
        <v/>
      </c>
      <c r="O396" s="25"/>
      <c r="P396" s="25"/>
      <c r="Q396" s="39" t="str">
        <f>IF(CRUCE[[#This Row],[TOTAL2]]="", "PENDIENTE", IF(CRUCE[[#This Row],[DIFERENCIA2]]=0, "CUADRADO", IF(CRUCE[[#This Row],[DIFERENCIA2]]&gt;0, "SOBRANTE", "FALTANTE")))</f>
        <v>PENDIENTE</v>
      </c>
      <c r="R396" s="103" t="s">
        <v>5081</v>
      </c>
      <c r="S396" s="127" t="s">
        <v>5481</v>
      </c>
    </row>
    <row r="397" spans="1:19">
      <c r="A397" s="92" t="s">
        <v>5431</v>
      </c>
      <c r="B397" s="39" t="s">
        <v>4052</v>
      </c>
      <c r="C397" s="39">
        <v>8412046</v>
      </c>
      <c r="D397" s="73">
        <v>17750243079768</v>
      </c>
      <c r="E397" s="39" t="s">
        <v>2604</v>
      </c>
      <c r="F397" s="39">
        <v>1</v>
      </c>
      <c r="G397" s="39" t="s">
        <v>288</v>
      </c>
      <c r="H397" s="39" t="str">
        <f>_xlfn.XLOOKUP(CRUCE[[#This Row],[Ubicacion]],Registros[Ubicacion],Registros[Codigo], "")</f>
        <v/>
      </c>
      <c r="I397" s="26" t="str">
        <f>_xlfn.XLOOKUP(CRUCE[[#This Row],[Ubicacion]],Registros[Ubicacion],Registros[Total], "")</f>
        <v/>
      </c>
      <c r="J397" s="26" t="str">
        <f>_xlfn.XLOOKUP(CRUCE[[#This Row],[Ubicacion]],Registros[Ubicacion],Registros[UMA], "")</f>
        <v/>
      </c>
      <c r="K397" s="26" t="str">
        <f>IF(CRUCE[[#This Row],[TOTAL]]="","",CRUCE[[#This Row],[TOTAL]]-CRUCE[[#This Row],[BULTOS]])</f>
        <v/>
      </c>
      <c r="L397" s="39" t="str">
        <f>IF(CRUCE[[#This Row],[TOTAL]]="", "PENDIENTE", IF(CRUCE[[#This Row],[Diferencia]]=0, "CUADRADO", IF(CRUCE[[#This Row],[Diferencia]]&gt;0, "SOBRANTE", "FALTANTE")))</f>
        <v>PENDIENTE</v>
      </c>
      <c r="M397" s="72" t="str">
        <f>IF(CRUCE[[#This Row],[Diferencia]]="","",IF(CRUCE[[#This Row],[Diferencia]]=0,"OK","RECONTEO"))</f>
        <v/>
      </c>
      <c r="N397" s="39" t="str">
        <f>_xlfn.XLOOKUP(CRUCE[[#This Row],[Ubicacion]],Registros[Ubicacion],Registros[Codigo], "")</f>
        <v/>
      </c>
      <c r="O397" s="26"/>
      <c r="P397" s="26"/>
      <c r="Q397" s="39" t="str">
        <f>IF(CRUCE[[#This Row],[TOTAL2]]="", "PENDIENTE", IF(CRUCE[[#This Row],[DIFERENCIA2]]=0, "CUADRADO", IF(CRUCE[[#This Row],[DIFERENCIA2]]&gt;0, "SOBRANTE", "FALTANTE")))</f>
        <v>PENDIENTE</v>
      </c>
      <c r="R397" s="102" t="s">
        <v>5081</v>
      </c>
      <c r="S397" s="127" t="s">
        <v>5482</v>
      </c>
    </row>
    <row r="398" spans="1:19">
      <c r="A398" s="93" t="s">
        <v>5431</v>
      </c>
      <c r="B398" s="38" t="s">
        <v>4054</v>
      </c>
      <c r="C398" s="38">
        <v>8412046</v>
      </c>
      <c r="D398" s="74">
        <v>17750243079768</v>
      </c>
      <c r="E398" s="38" t="s">
        <v>2604</v>
      </c>
      <c r="F398" s="38">
        <v>1</v>
      </c>
      <c r="G398" s="38" t="s">
        <v>288</v>
      </c>
      <c r="H398" s="39" t="str">
        <f>_xlfn.XLOOKUP(CRUCE[[#This Row],[Ubicacion]],Registros[Ubicacion],Registros[Codigo], "")</f>
        <v/>
      </c>
      <c r="I398" s="25" t="str">
        <f>_xlfn.XLOOKUP(CRUCE[[#This Row],[Ubicacion]],Registros[Ubicacion],Registros[Total], "")</f>
        <v/>
      </c>
      <c r="J398" s="25" t="str">
        <f>_xlfn.XLOOKUP(CRUCE[[#This Row],[Ubicacion]],Registros[Ubicacion],Registros[UMA], "")</f>
        <v/>
      </c>
      <c r="K398" s="25" t="str">
        <f>IF(CRUCE[[#This Row],[TOTAL]]="","",CRUCE[[#This Row],[TOTAL]]-CRUCE[[#This Row],[BULTOS]])</f>
        <v/>
      </c>
      <c r="L398" s="38" t="str">
        <f>IF(CRUCE[[#This Row],[TOTAL]]="", "PENDIENTE", IF(CRUCE[[#This Row],[Diferencia]]=0, "CUADRADO", IF(CRUCE[[#This Row],[Diferencia]]&gt;0, "SOBRANTE", "FALTANTE")))</f>
        <v>PENDIENTE</v>
      </c>
      <c r="M398" s="71" t="str">
        <f>IF(CRUCE[[#This Row],[Diferencia]]="","",IF(CRUCE[[#This Row],[Diferencia]]=0,"OK","RECONTEO"))</f>
        <v/>
      </c>
      <c r="N398" s="39" t="str">
        <f>_xlfn.XLOOKUP(CRUCE[[#This Row],[Ubicacion]],Registros[Ubicacion],Registros[Codigo], "")</f>
        <v/>
      </c>
      <c r="O398" s="25"/>
      <c r="P398" s="25"/>
      <c r="Q398" s="39" t="str">
        <f>IF(CRUCE[[#This Row],[TOTAL2]]="", "PENDIENTE", IF(CRUCE[[#This Row],[DIFERENCIA2]]=0, "CUADRADO", IF(CRUCE[[#This Row],[DIFERENCIA2]]&gt;0, "SOBRANTE", "FALTANTE")))</f>
        <v>PENDIENTE</v>
      </c>
      <c r="R398" s="103" t="s">
        <v>5081</v>
      </c>
      <c r="S398" s="127" t="s">
        <v>5483</v>
      </c>
    </row>
    <row r="399" spans="1:19">
      <c r="A399" s="92" t="s">
        <v>5484</v>
      </c>
      <c r="B399" s="39" t="s">
        <v>3938</v>
      </c>
      <c r="C399" s="39">
        <v>8406146</v>
      </c>
      <c r="D399" s="73">
        <v>17750243080634</v>
      </c>
      <c r="E399" s="39" t="s">
        <v>2259</v>
      </c>
      <c r="F399" s="39">
        <v>30</v>
      </c>
      <c r="G399" s="39" t="s">
        <v>288</v>
      </c>
      <c r="H399" s="39" t="str">
        <f>_xlfn.XLOOKUP(CRUCE[[#This Row],[Ubicacion]],Registros[Ubicacion],Registros[Codigo], "")</f>
        <v/>
      </c>
      <c r="I399" s="26" t="str">
        <f>_xlfn.XLOOKUP(CRUCE[[#This Row],[Ubicacion]],Registros[Ubicacion],Registros[Total], "")</f>
        <v/>
      </c>
      <c r="J399" s="26" t="str">
        <f>_xlfn.XLOOKUP(CRUCE[[#This Row],[Ubicacion]],Registros[Ubicacion],Registros[UMA], "")</f>
        <v/>
      </c>
      <c r="K399" s="26" t="str">
        <f>IF(CRUCE[[#This Row],[TOTAL]]="","",CRUCE[[#This Row],[TOTAL]]-CRUCE[[#This Row],[BULTOS]])</f>
        <v/>
      </c>
      <c r="L399" s="39" t="str">
        <f>IF(CRUCE[[#This Row],[TOTAL]]="", "PENDIENTE", IF(CRUCE[[#This Row],[Diferencia]]=0, "CUADRADO", IF(CRUCE[[#This Row],[Diferencia]]&gt;0, "SOBRANTE", "FALTANTE")))</f>
        <v>PENDIENTE</v>
      </c>
      <c r="M399" s="72" t="str">
        <f>IF(CRUCE[[#This Row],[Diferencia]]="","",IF(CRUCE[[#This Row],[Diferencia]]=0,"OK","RECONTEO"))</f>
        <v/>
      </c>
      <c r="N399" s="39" t="str">
        <f>_xlfn.XLOOKUP(CRUCE[[#This Row],[Ubicacion]],Registros[Ubicacion],Registros[Codigo], "")</f>
        <v/>
      </c>
      <c r="O399" s="26"/>
      <c r="P399" s="26"/>
      <c r="Q399" s="39" t="str">
        <f>IF(CRUCE[[#This Row],[TOTAL2]]="", "PENDIENTE", IF(CRUCE[[#This Row],[DIFERENCIA2]]=0, "CUADRADO", IF(CRUCE[[#This Row],[DIFERENCIA2]]&gt;0, "SOBRANTE", "FALTANTE")))</f>
        <v>PENDIENTE</v>
      </c>
      <c r="R399" s="102" t="s">
        <v>5081</v>
      </c>
      <c r="S399" s="127" t="s">
        <v>5485</v>
      </c>
    </row>
    <row r="400" spans="1:19">
      <c r="A400" s="93" t="s">
        <v>5484</v>
      </c>
      <c r="B400" s="38" t="s">
        <v>3903</v>
      </c>
      <c r="C400" s="38">
        <v>8404723</v>
      </c>
      <c r="D400" s="74">
        <v>17750243079911</v>
      </c>
      <c r="E400" s="38" t="s">
        <v>2212</v>
      </c>
      <c r="F400" s="38">
        <v>24</v>
      </c>
      <c r="G400" s="38" t="s">
        <v>288</v>
      </c>
      <c r="H400" s="39" t="str">
        <f>_xlfn.XLOOKUP(CRUCE[[#This Row],[Ubicacion]],Registros[Ubicacion],Registros[Codigo], "")</f>
        <v/>
      </c>
      <c r="I400" s="25" t="str">
        <f>_xlfn.XLOOKUP(CRUCE[[#This Row],[Ubicacion]],Registros[Ubicacion],Registros[Total], "")</f>
        <v/>
      </c>
      <c r="J400" s="25" t="str">
        <f>_xlfn.XLOOKUP(CRUCE[[#This Row],[Ubicacion]],Registros[Ubicacion],Registros[UMA], "")</f>
        <v/>
      </c>
      <c r="K400" s="25" t="str">
        <f>IF(CRUCE[[#This Row],[TOTAL]]="","",CRUCE[[#This Row],[TOTAL]]-CRUCE[[#This Row],[BULTOS]])</f>
        <v/>
      </c>
      <c r="L400" s="38" t="str">
        <f>IF(CRUCE[[#This Row],[TOTAL]]="", "PENDIENTE", IF(CRUCE[[#This Row],[Diferencia]]=0, "CUADRADO", IF(CRUCE[[#This Row],[Diferencia]]&gt;0, "SOBRANTE", "FALTANTE")))</f>
        <v>PENDIENTE</v>
      </c>
      <c r="M400" s="71" t="str">
        <f>IF(CRUCE[[#This Row],[Diferencia]]="","",IF(CRUCE[[#This Row],[Diferencia]]=0,"OK","RECONTEO"))</f>
        <v/>
      </c>
      <c r="N400" s="39" t="str">
        <f>_xlfn.XLOOKUP(CRUCE[[#This Row],[Ubicacion]],Registros[Ubicacion],Registros[Codigo], "")</f>
        <v/>
      </c>
      <c r="O400" s="25"/>
      <c r="P400" s="25"/>
      <c r="Q400" s="39" t="str">
        <f>IF(CRUCE[[#This Row],[TOTAL2]]="", "PENDIENTE", IF(CRUCE[[#This Row],[DIFERENCIA2]]=0, "CUADRADO", IF(CRUCE[[#This Row],[DIFERENCIA2]]&gt;0, "SOBRANTE", "FALTANTE")))</f>
        <v>PENDIENTE</v>
      </c>
      <c r="R400" s="103" t="s">
        <v>5081</v>
      </c>
      <c r="S400" s="127" t="s">
        <v>5486</v>
      </c>
    </row>
    <row r="401" spans="1:19">
      <c r="A401" s="92" t="s">
        <v>5484</v>
      </c>
      <c r="B401" s="39" t="s">
        <v>3883</v>
      </c>
      <c r="C401" s="39">
        <v>8404715</v>
      </c>
      <c r="D401" s="73">
        <v>17750243079836</v>
      </c>
      <c r="E401" s="39" t="s">
        <v>2198</v>
      </c>
      <c r="F401" s="39">
        <v>10</v>
      </c>
      <c r="G401" s="39" t="s">
        <v>288</v>
      </c>
      <c r="H401" s="39" t="str">
        <f>_xlfn.XLOOKUP(CRUCE[[#This Row],[Ubicacion]],Registros[Ubicacion],Registros[Codigo], "")</f>
        <v/>
      </c>
      <c r="I401" s="26" t="str">
        <f>_xlfn.XLOOKUP(CRUCE[[#This Row],[Ubicacion]],Registros[Ubicacion],Registros[Total], "")</f>
        <v/>
      </c>
      <c r="J401" s="26" t="str">
        <f>_xlfn.XLOOKUP(CRUCE[[#This Row],[Ubicacion]],Registros[Ubicacion],Registros[UMA], "")</f>
        <v/>
      </c>
      <c r="K401" s="26" t="str">
        <f>IF(CRUCE[[#This Row],[TOTAL]]="","",CRUCE[[#This Row],[TOTAL]]-CRUCE[[#This Row],[BULTOS]])</f>
        <v/>
      </c>
      <c r="L401" s="39" t="str">
        <f>IF(CRUCE[[#This Row],[TOTAL]]="", "PENDIENTE", IF(CRUCE[[#This Row],[Diferencia]]=0, "CUADRADO", IF(CRUCE[[#This Row],[Diferencia]]&gt;0, "SOBRANTE", "FALTANTE")))</f>
        <v>PENDIENTE</v>
      </c>
      <c r="M401" s="72" t="str">
        <f>IF(CRUCE[[#This Row],[Diferencia]]="","",IF(CRUCE[[#This Row],[Diferencia]]=0,"OK","RECONTEO"))</f>
        <v/>
      </c>
      <c r="N401" s="39" t="str">
        <f>_xlfn.XLOOKUP(CRUCE[[#This Row],[Ubicacion]],Registros[Ubicacion],Registros[Codigo], "")</f>
        <v/>
      </c>
      <c r="O401" s="26"/>
      <c r="P401" s="26"/>
      <c r="Q401" s="39" t="str">
        <f>IF(CRUCE[[#This Row],[TOTAL2]]="", "PENDIENTE", IF(CRUCE[[#This Row],[DIFERENCIA2]]=0, "CUADRADO", IF(CRUCE[[#This Row],[DIFERENCIA2]]&gt;0, "SOBRANTE", "FALTANTE")))</f>
        <v>PENDIENTE</v>
      </c>
      <c r="R401" s="102" t="s">
        <v>5081</v>
      </c>
      <c r="S401" s="127" t="s">
        <v>5487</v>
      </c>
    </row>
    <row r="402" spans="1:19">
      <c r="A402" s="93" t="s">
        <v>5484</v>
      </c>
      <c r="B402" s="38" t="s">
        <v>3917</v>
      </c>
      <c r="C402" s="38">
        <v>8404729</v>
      </c>
      <c r="D402" s="74">
        <v>37750243079830</v>
      </c>
      <c r="E402" s="38" t="s">
        <v>2224</v>
      </c>
      <c r="F402" s="38">
        <v>21</v>
      </c>
      <c r="G402" s="38" t="s">
        <v>288</v>
      </c>
      <c r="H402" s="39" t="str">
        <f>_xlfn.XLOOKUP(CRUCE[[#This Row],[Ubicacion]],Registros[Ubicacion],Registros[Codigo], "")</f>
        <v/>
      </c>
      <c r="I402" s="25" t="str">
        <f>_xlfn.XLOOKUP(CRUCE[[#This Row],[Ubicacion]],Registros[Ubicacion],Registros[Total], "")</f>
        <v/>
      </c>
      <c r="J402" s="25" t="str">
        <f>_xlfn.XLOOKUP(CRUCE[[#This Row],[Ubicacion]],Registros[Ubicacion],Registros[UMA], "")</f>
        <v/>
      </c>
      <c r="K402" s="25" t="str">
        <f>IF(CRUCE[[#This Row],[TOTAL]]="","",CRUCE[[#This Row],[TOTAL]]-CRUCE[[#This Row],[BULTOS]])</f>
        <v/>
      </c>
      <c r="L402" s="38" t="str">
        <f>IF(CRUCE[[#This Row],[TOTAL]]="", "PENDIENTE", IF(CRUCE[[#This Row],[Diferencia]]=0, "CUADRADO", IF(CRUCE[[#This Row],[Diferencia]]&gt;0, "SOBRANTE", "FALTANTE")))</f>
        <v>PENDIENTE</v>
      </c>
      <c r="M402" s="71" t="str">
        <f>IF(CRUCE[[#This Row],[Diferencia]]="","",IF(CRUCE[[#This Row],[Diferencia]]=0,"OK","RECONTEO"))</f>
        <v/>
      </c>
      <c r="N402" s="39" t="str">
        <f>_xlfn.XLOOKUP(CRUCE[[#This Row],[Ubicacion]],Registros[Ubicacion],Registros[Codigo], "")</f>
        <v/>
      </c>
      <c r="O402" s="25"/>
      <c r="P402" s="25"/>
      <c r="Q402" s="39" t="str">
        <f>IF(CRUCE[[#This Row],[TOTAL2]]="", "PENDIENTE", IF(CRUCE[[#This Row],[DIFERENCIA2]]=0, "CUADRADO", IF(CRUCE[[#This Row],[DIFERENCIA2]]&gt;0, "SOBRANTE", "FALTANTE")))</f>
        <v>PENDIENTE</v>
      </c>
      <c r="R402" s="103" t="s">
        <v>5081</v>
      </c>
      <c r="S402" s="127" t="s">
        <v>5488</v>
      </c>
    </row>
    <row r="403" spans="1:19">
      <c r="A403" s="92" t="s">
        <v>5484</v>
      </c>
      <c r="B403" s="39" t="s">
        <v>3965</v>
      </c>
      <c r="C403" s="39">
        <v>8406218</v>
      </c>
      <c r="D403" s="73">
        <v>37750243080638</v>
      </c>
      <c r="E403" s="39" t="s">
        <v>2358</v>
      </c>
      <c r="F403" s="39">
        <v>49</v>
      </c>
      <c r="G403" s="39" t="s">
        <v>288</v>
      </c>
      <c r="H403" s="39" t="str">
        <f>_xlfn.XLOOKUP(CRUCE[[#This Row],[Ubicacion]],Registros[Ubicacion],Registros[Codigo], "")</f>
        <v/>
      </c>
      <c r="I403" s="26" t="str">
        <f>_xlfn.XLOOKUP(CRUCE[[#This Row],[Ubicacion]],Registros[Ubicacion],Registros[Total], "")</f>
        <v/>
      </c>
      <c r="J403" s="26" t="str">
        <f>_xlfn.XLOOKUP(CRUCE[[#This Row],[Ubicacion]],Registros[Ubicacion],Registros[UMA], "")</f>
        <v/>
      </c>
      <c r="K403" s="26" t="str">
        <f>IF(CRUCE[[#This Row],[TOTAL]]="","",CRUCE[[#This Row],[TOTAL]]-CRUCE[[#This Row],[BULTOS]])</f>
        <v/>
      </c>
      <c r="L403" s="39" t="str">
        <f>IF(CRUCE[[#This Row],[TOTAL]]="", "PENDIENTE", IF(CRUCE[[#This Row],[Diferencia]]=0, "CUADRADO", IF(CRUCE[[#This Row],[Diferencia]]&gt;0, "SOBRANTE", "FALTANTE")))</f>
        <v>PENDIENTE</v>
      </c>
      <c r="M403" s="72" t="str">
        <f>IF(CRUCE[[#This Row],[Diferencia]]="","",IF(CRUCE[[#This Row],[Diferencia]]=0,"OK","RECONTEO"))</f>
        <v/>
      </c>
      <c r="N403" s="39" t="str">
        <f>_xlfn.XLOOKUP(CRUCE[[#This Row],[Ubicacion]],Registros[Ubicacion],Registros[Codigo], "")</f>
        <v/>
      </c>
      <c r="O403" s="26"/>
      <c r="P403" s="26"/>
      <c r="Q403" s="39" t="str">
        <f>IF(CRUCE[[#This Row],[TOTAL2]]="", "PENDIENTE", IF(CRUCE[[#This Row],[DIFERENCIA2]]=0, "CUADRADO", IF(CRUCE[[#This Row],[DIFERENCIA2]]&gt;0, "SOBRANTE", "FALTANTE")))</f>
        <v>PENDIENTE</v>
      </c>
      <c r="R403" s="102" t="s">
        <v>5081</v>
      </c>
      <c r="S403" s="127" t="s">
        <v>5489</v>
      </c>
    </row>
    <row r="404" spans="1:19">
      <c r="A404" s="93" t="s">
        <v>5484</v>
      </c>
      <c r="B404" s="38" t="s">
        <v>3836</v>
      </c>
      <c r="C404" s="38">
        <v>8400687</v>
      </c>
      <c r="D404" s="74">
        <v>37750243079069</v>
      </c>
      <c r="E404" s="38" t="s">
        <v>2092</v>
      </c>
      <c r="F404" s="38">
        <v>45</v>
      </c>
      <c r="G404" s="38" t="s">
        <v>288</v>
      </c>
      <c r="H404" s="39" t="str">
        <f>_xlfn.XLOOKUP(CRUCE[[#This Row],[Ubicacion]],Registros[Ubicacion],Registros[Codigo], "")</f>
        <v/>
      </c>
      <c r="I404" s="25" t="str">
        <f>_xlfn.XLOOKUP(CRUCE[[#This Row],[Ubicacion]],Registros[Ubicacion],Registros[Total], "")</f>
        <v/>
      </c>
      <c r="J404" s="25" t="str">
        <f>_xlfn.XLOOKUP(CRUCE[[#This Row],[Ubicacion]],Registros[Ubicacion],Registros[UMA], "")</f>
        <v/>
      </c>
      <c r="K404" s="25" t="str">
        <f>IF(CRUCE[[#This Row],[TOTAL]]="","",CRUCE[[#This Row],[TOTAL]]-CRUCE[[#This Row],[BULTOS]])</f>
        <v/>
      </c>
      <c r="L404" s="38" t="str">
        <f>IF(CRUCE[[#This Row],[TOTAL]]="", "PENDIENTE", IF(CRUCE[[#This Row],[Diferencia]]=0, "CUADRADO", IF(CRUCE[[#This Row],[Diferencia]]&gt;0, "SOBRANTE", "FALTANTE")))</f>
        <v>PENDIENTE</v>
      </c>
      <c r="M404" s="71" t="str">
        <f>IF(CRUCE[[#This Row],[Diferencia]]="","",IF(CRUCE[[#This Row],[Diferencia]]=0,"OK","RECONTEO"))</f>
        <v/>
      </c>
      <c r="N404" s="39" t="str">
        <f>_xlfn.XLOOKUP(CRUCE[[#This Row],[Ubicacion]],Registros[Ubicacion],Registros[Codigo], "")</f>
        <v/>
      </c>
      <c r="O404" s="25"/>
      <c r="P404" s="25"/>
      <c r="Q404" s="39" t="str">
        <f>IF(CRUCE[[#This Row],[TOTAL2]]="", "PENDIENTE", IF(CRUCE[[#This Row],[DIFERENCIA2]]=0, "CUADRADO", IF(CRUCE[[#This Row],[DIFERENCIA2]]&gt;0, "SOBRANTE", "FALTANTE")))</f>
        <v>PENDIENTE</v>
      </c>
      <c r="R404" s="103" t="s">
        <v>5081</v>
      </c>
      <c r="S404" s="127" t="s">
        <v>5490</v>
      </c>
    </row>
    <row r="405" spans="1:19">
      <c r="A405" s="92" t="s">
        <v>5484</v>
      </c>
      <c r="B405" s="39" t="s">
        <v>3913</v>
      </c>
      <c r="C405" s="39">
        <v>8404727</v>
      </c>
      <c r="D405" s="73">
        <v>37750243079816</v>
      </c>
      <c r="E405" s="39" t="s">
        <v>2220</v>
      </c>
      <c r="F405" s="39">
        <v>39</v>
      </c>
      <c r="G405" s="39" t="s">
        <v>288</v>
      </c>
      <c r="H405" s="39" t="str">
        <f>_xlfn.XLOOKUP(CRUCE[[#This Row],[Ubicacion]],Registros[Ubicacion],Registros[Codigo], "")</f>
        <v/>
      </c>
      <c r="I405" s="26" t="str">
        <f>_xlfn.XLOOKUP(CRUCE[[#This Row],[Ubicacion]],Registros[Ubicacion],Registros[Total], "")</f>
        <v/>
      </c>
      <c r="J405" s="26" t="str">
        <f>_xlfn.XLOOKUP(CRUCE[[#This Row],[Ubicacion]],Registros[Ubicacion],Registros[UMA], "")</f>
        <v/>
      </c>
      <c r="K405" s="26" t="str">
        <f>IF(CRUCE[[#This Row],[TOTAL]]="","",CRUCE[[#This Row],[TOTAL]]-CRUCE[[#This Row],[BULTOS]])</f>
        <v/>
      </c>
      <c r="L405" s="39" t="str">
        <f>IF(CRUCE[[#This Row],[TOTAL]]="", "PENDIENTE", IF(CRUCE[[#This Row],[Diferencia]]=0, "CUADRADO", IF(CRUCE[[#This Row],[Diferencia]]&gt;0, "SOBRANTE", "FALTANTE")))</f>
        <v>PENDIENTE</v>
      </c>
      <c r="M405" s="72" t="str">
        <f>IF(CRUCE[[#This Row],[Diferencia]]="","",IF(CRUCE[[#This Row],[Diferencia]]=0,"OK","RECONTEO"))</f>
        <v/>
      </c>
      <c r="N405" s="39" t="str">
        <f>_xlfn.XLOOKUP(CRUCE[[#This Row],[Ubicacion]],Registros[Ubicacion],Registros[Codigo], "")</f>
        <v/>
      </c>
      <c r="O405" s="26"/>
      <c r="P405" s="26"/>
      <c r="Q405" s="39" t="str">
        <f>IF(CRUCE[[#This Row],[TOTAL2]]="", "PENDIENTE", IF(CRUCE[[#This Row],[DIFERENCIA2]]=0, "CUADRADO", IF(CRUCE[[#This Row],[DIFERENCIA2]]&gt;0, "SOBRANTE", "FALTANTE")))</f>
        <v>PENDIENTE</v>
      </c>
      <c r="R405" s="102" t="s">
        <v>5081</v>
      </c>
      <c r="S405" s="127" t="s">
        <v>5491</v>
      </c>
    </row>
    <row r="406" spans="1:19">
      <c r="A406" s="93" t="s">
        <v>5484</v>
      </c>
      <c r="B406" s="38" t="s">
        <v>3909</v>
      </c>
      <c r="C406" s="38">
        <v>8404725</v>
      </c>
      <c r="D406" s="74">
        <v>37750243079120</v>
      </c>
      <c r="E406" s="38" t="s">
        <v>2216</v>
      </c>
      <c r="F406" s="38">
        <v>11</v>
      </c>
      <c r="G406" s="38" t="s">
        <v>288</v>
      </c>
      <c r="H406" s="39" t="str">
        <f>_xlfn.XLOOKUP(CRUCE[[#This Row],[Ubicacion]],Registros[Ubicacion],Registros[Codigo], "")</f>
        <v/>
      </c>
      <c r="I406" s="25" t="str">
        <f>_xlfn.XLOOKUP(CRUCE[[#This Row],[Ubicacion]],Registros[Ubicacion],Registros[Total], "")</f>
        <v/>
      </c>
      <c r="J406" s="25" t="str">
        <f>_xlfn.XLOOKUP(CRUCE[[#This Row],[Ubicacion]],Registros[Ubicacion],Registros[UMA], "")</f>
        <v/>
      </c>
      <c r="K406" s="25" t="str">
        <f>IF(CRUCE[[#This Row],[TOTAL]]="","",CRUCE[[#This Row],[TOTAL]]-CRUCE[[#This Row],[BULTOS]])</f>
        <v/>
      </c>
      <c r="L406" s="38" t="str">
        <f>IF(CRUCE[[#This Row],[TOTAL]]="", "PENDIENTE", IF(CRUCE[[#This Row],[Diferencia]]=0, "CUADRADO", IF(CRUCE[[#This Row],[Diferencia]]&gt;0, "SOBRANTE", "FALTANTE")))</f>
        <v>PENDIENTE</v>
      </c>
      <c r="M406" s="71" t="str">
        <f>IF(CRUCE[[#This Row],[Diferencia]]="","",IF(CRUCE[[#This Row],[Diferencia]]=0,"OK","RECONTEO"))</f>
        <v/>
      </c>
      <c r="N406" s="39" t="str">
        <f>_xlfn.XLOOKUP(CRUCE[[#This Row],[Ubicacion]],Registros[Ubicacion],Registros[Codigo], "")</f>
        <v/>
      </c>
      <c r="O406" s="25"/>
      <c r="P406" s="25"/>
      <c r="Q406" s="39" t="str">
        <f>IF(CRUCE[[#This Row],[TOTAL2]]="", "PENDIENTE", IF(CRUCE[[#This Row],[DIFERENCIA2]]=0, "CUADRADO", IF(CRUCE[[#This Row],[DIFERENCIA2]]&gt;0, "SOBRANTE", "FALTANTE")))</f>
        <v>PENDIENTE</v>
      </c>
      <c r="R406" s="103" t="s">
        <v>5081</v>
      </c>
      <c r="S406" s="127" t="s">
        <v>5492</v>
      </c>
    </row>
    <row r="407" spans="1:19">
      <c r="A407" s="92" t="s">
        <v>5484</v>
      </c>
      <c r="B407" s="39" t="s">
        <v>3874</v>
      </c>
      <c r="C407" s="39">
        <v>8404706</v>
      </c>
      <c r="D407" s="73">
        <v>17750243079126</v>
      </c>
      <c r="E407" s="39" t="s">
        <v>2180</v>
      </c>
      <c r="F407" s="39">
        <v>13</v>
      </c>
      <c r="G407" s="39" t="s">
        <v>288</v>
      </c>
      <c r="H407" s="39" t="str">
        <f>_xlfn.XLOOKUP(CRUCE[[#This Row],[Ubicacion]],Registros[Ubicacion],Registros[Codigo], "")</f>
        <v/>
      </c>
      <c r="I407" s="26" t="str">
        <f>_xlfn.XLOOKUP(CRUCE[[#This Row],[Ubicacion]],Registros[Ubicacion],Registros[Total], "")</f>
        <v/>
      </c>
      <c r="J407" s="26" t="str">
        <f>_xlfn.XLOOKUP(CRUCE[[#This Row],[Ubicacion]],Registros[Ubicacion],Registros[UMA], "")</f>
        <v/>
      </c>
      <c r="K407" s="26" t="str">
        <f>IF(CRUCE[[#This Row],[TOTAL]]="","",CRUCE[[#This Row],[TOTAL]]-CRUCE[[#This Row],[BULTOS]])</f>
        <v/>
      </c>
      <c r="L407" s="39" t="str">
        <f>IF(CRUCE[[#This Row],[TOTAL]]="", "PENDIENTE", IF(CRUCE[[#This Row],[Diferencia]]=0, "CUADRADO", IF(CRUCE[[#This Row],[Diferencia]]&gt;0, "SOBRANTE", "FALTANTE")))</f>
        <v>PENDIENTE</v>
      </c>
      <c r="M407" s="72" t="str">
        <f>IF(CRUCE[[#This Row],[Diferencia]]="","",IF(CRUCE[[#This Row],[Diferencia]]=0,"OK","RECONTEO"))</f>
        <v/>
      </c>
      <c r="N407" s="39" t="str">
        <f>_xlfn.XLOOKUP(CRUCE[[#This Row],[Ubicacion]],Registros[Ubicacion],Registros[Codigo], "")</f>
        <v/>
      </c>
      <c r="O407" s="26"/>
      <c r="P407" s="26"/>
      <c r="Q407" s="39" t="str">
        <f>IF(CRUCE[[#This Row],[TOTAL2]]="", "PENDIENTE", IF(CRUCE[[#This Row],[DIFERENCIA2]]=0, "CUADRADO", IF(CRUCE[[#This Row],[DIFERENCIA2]]&gt;0, "SOBRANTE", "FALTANTE")))</f>
        <v>PENDIENTE</v>
      </c>
      <c r="R407" s="102" t="s">
        <v>5081</v>
      </c>
      <c r="S407" s="127" t="s">
        <v>5493</v>
      </c>
    </row>
    <row r="408" spans="1:19">
      <c r="A408" s="93" t="s">
        <v>5484</v>
      </c>
      <c r="B408" s="38" t="s">
        <v>3962</v>
      </c>
      <c r="C408" s="38">
        <v>8406217</v>
      </c>
      <c r="D408" s="74">
        <v>37750243080621</v>
      </c>
      <c r="E408" s="38" t="s">
        <v>3963</v>
      </c>
      <c r="F408" s="38">
        <v>11</v>
      </c>
      <c r="G408" s="38" t="s">
        <v>288</v>
      </c>
      <c r="H408" s="39" t="str">
        <f>_xlfn.XLOOKUP(CRUCE[[#This Row],[Ubicacion]],Registros[Ubicacion],Registros[Codigo], "")</f>
        <v/>
      </c>
      <c r="I408" s="25" t="str">
        <f>_xlfn.XLOOKUP(CRUCE[[#This Row],[Ubicacion]],Registros[Ubicacion],Registros[Total], "")</f>
        <v/>
      </c>
      <c r="J408" s="25" t="str">
        <f>_xlfn.XLOOKUP(CRUCE[[#This Row],[Ubicacion]],Registros[Ubicacion],Registros[UMA], "")</f>
        <v/>
      </c>
      <c r="K408" s="25" t="str">
        <f>IF(CRUCE[[#This Row],[TOTAL]]="","",CRUCE[[#This Row],[TOTAL]]-CRUCE[[#This Row],[BULTOS]])</f>
        <v/>
      </c>
      <c r="L408" s="38" t="str">
        <f>IF(CRUCE[[#This Row],[TOTAL]]="", "PENDIENTE", IF(CRUCE[[#This Row],[Diferencia]]=0, "CUADRADO", IF(CRUCE[[#This Row],[Diferencia]]&gt;0, "SOBRANTE", "FALTANTE")))</f>
        <v>PENDIENTE</v>
      </c>
      <c r="M408" s="71" t="str">
        <f>IF(CRUCE[[#This Row],[Diferencia]]="","",IF(CRUCE[[#This Row],[Diferencia]]=0,"OK","RECONTEO"))</f>
        <v/>
      </c>
      <c r="N408" s="39" t="str">
        <f>_xlfn.XLOOKUP(CRUCE[[#This Row],[Ubicacion]],Registros[Ubicacion],Registros[Codigo], "")</f>
        <v/>
      </c>
      <c r="O408" s="25"/>
      <c r="P408" s="25"/>
      <c r="Q408" s="39" t="str">
        <f>IF(CRUCE[[#This Row],[TOTAL2]]="", "PENDIENTE", IF(CRUCE[[#This Row],[DIFERENCIA2]]=0, "CUADRADO", IF(CRUCE[[#This Row],[DIFERENCIA2]]&gt;0, "SOBRANTE", "FALTANTE")))</f>
        <v>PENDIENTE</v>
      </c>
      <c r="R408" s="103" t="s">
        <v>5081</v>
      </c>
      <c r="S408" s="127" t="s">
        <v>5494</v>
      </c>
    </row>
    <row r="409" spans="1:19">
      <c r="A409" s="92" t="s">
        <v>5484</v>
      </c>
      <c r="B409" s="39" t="s">
        <v>3879</v>
      </c>
      <c r="C409" s="39">
        <v>8404713</v>
      </c>
      <c r="D409" s="73">
        <v>17750243079812</v>
      </c>
      <c r="E409" s="39" t="s">
        <v>2194</v>
      </c>
      <c r="F409" s="39">
        <v>33</v>
      </c>
      <c r="G409" s="39" t="s">
        <v>288</v>
      </c>
      <c r="H409" s="39" t="str">
        <f>_xlfn.XLOOKUP(CRUCE[[#This Row],[Ubicacion]],Registros[Ubicacion],Registros[Codigo], "")</f>
        <v/>
      </c>
      <c r="I409" s="26" t="str">
        <f>_xlfn.XLOOKUP(CRUCE[[#This Row],[Ubicacion]],Registros[Ubicacion],Registros[Total], "")</f>
        <v/>
      </c>
      <c r="J409" s="26" t="str">
        <f>_xlfn.XLOOKUP(CRUCE[[#This Row],[Ubicacion]],Registros[Ubicacion],Registros[UMA], "")</f>
        <v/>
      </c>
      <c r="K409" s="26" t="str">
        <f>IF(CRUCE[[#This Row],[TOTAL]]="","",CRUCE[[#This Row],[TOTAL]]-CRUCE[[#This Row],[BULTOS]])</f>
        <v/>
      </c>
      <c r="L409" s="39" t="str">
        <f>IF(CRUCE[[#This Row],[TOTAL]]="", "PENDIENTE", IF(CRUCE[[#This Row],[Diferencia]]=0, "CUADRADO", IF(CRUCE[[#This Row],[Diferencia]]&gt;0, "SOBRANTE", "FALTANTE")))</f>
        <v>PENDIENTE</v>
      </c>
      <c r="M409" s="72" t="str">
        <f>IF(CRUCE[[#This Row],[Diferencia]]="","",IF(CRUCE[[#This Row],[Diferencia]]=0,"OK","RECONTEO"))</f>
        <v/>
      </c>
      <c r="N409" s="39" t="str">
        <f>_xlfn.XLOOKUP(CRUCE[[#This Row],[Ubicacion]],Registros[Ubicacion],Registros[Codigo], "")</f>
        <v/>
      </c>
      <c r="O409" s="26"/>
      <c r="P409" s="26"/>
      <c r="Q409" s="39" t="str">
        <f>IF(CRUCE[[#This Row],[TOTAL2]]="", "PENDIENTE", IF(CRUCE[[#This Row],[DIFERENCIA2]]=0, "CUADRADO", IF(CRUCE[[#This Row],[DIFERENCIA2]]&gt;0, "SOBRANTE", "FALTANTE")))</f>
        <v>PENDIENTE</v>
      </c>
      <c r="R409" s="102" t="s">
        <v>5081</v>
      </c>
      <c r="S409" s="127" t="s">
        <v>5495</v>
      </c>
    </row>
    <row r="410" spans="1:19">
      <c r="A410" s="93" t="s">
        <v>5484</v>
      </c>
      <c r="B410" s="38" t="s">
        <v>3838</v>
      </c>
      <c r="C410" s="38">
        <v>8400688</v>
      </c>
      <c r="D410" s="74">
        <v>37750243079052</v>
      </c>
      <c r="E410" s="38" t="s">
        <v>2094</v>
      </c>
      <c r="F410" s="38">
        <v>42</v>
      </c>
      <c r="G410" s="38" t="s">
        <v>288</v>
      </c>
      <c r="H410" s="39" t="str">
        <f>_xlfn.XLOOKUP(CRUCE[[#This Row],[Ubicacion]],Registros[Ubicacion],Registros[Codigo], "")</f>
        <v/>
      </c>
      <c r="I410" s="25" t="str">
        <f>_xlfn.XLOOKUP(CRUCE[[#This Row],[Ubicacion]],Registros[Ubicacion],Registros[Total], "")</f>
        <v/>
      </c>
      <c r="J410" s="25" t="str">
        <f>_xlfn.XLOOKUP(CRUCE[[#This Row],[Ubicacion]],Registros[Ubicacion],Registros[UMA], "")</f>
        <v/>
      </c>
      <c r="K410" s="25" t="str">
        <f>IF(CRUCE[[#This Row],[TOTAL]]="","",CRUCE[[#This Row],[TOTAL]]-CRUCE[[#This Row],[BULTOS]])</f>
        <v/>
      </c>
      <c r="L410" s="38" t="str">
        <f>IF(CRUCE[[#This Row],[TOTAL]]="", "PENDIENTE", IF(CRUCE[[#This Row],[Diferencia]]=0, "CUADRADO", IF(CRUCE[[#This Row],[Diferencia]]&gt;0, "SOBRANTE", "FALTANTE")))</f>
        <v>PENDIENTE</v>
      </c>
      <c r="M410" s="71" t="str">
        <f>IF(CRUCE[[#This Row],[Diferencia]]="","",IF(CRUCE[[#This Row],[Diferencia]]=0,"OK","RECONTEO"))</f>
        <v/>
      </c>
      <c r="N410" s="39" t="str">
        <f>_xlfn.XLOOKUP(CRUCE[[#This Row],[Ubicacion]],Registros[Ubicacion],Registros[Codigo], "")</f>
        <v/>
      </c>
      <c r="O410" s="25"/>
      <c r="P410" s="25"/>
      <c r="Q410" s="39" t="str">
        <f>IF(CRUCE[[#This Row],[TOTAL2]]="", "PENDIENTE", IF(CRUCE[[#This Row],[DIFERENCIA2]]=0, "CUADRADO", IF(CRUCE[[#This Row],[DIFERENCIA2]]&gt;0, "SOBRANTE", "FALTANTE")))</f>
        <v>PENDIENTE</v>
      </c>
      <c r="R410" s="103" t="s">
        <v>5081</v>
      </c>
      <c r="S410" s="127" t="s">
        <v>5496</v>
      </c>
    </row>
    <row r="411" spans="1:19">
      <c r="A411" s="92" t="s">
        <v>5484</v>
      </c>
      <c r="B411" s="39" t="s">
        <v>3935</v>
      </c>
      <c r="C411" s="39">
        <v>8406145</v>
      </c>
      <c r="D411" s="73">
        <v>17750243080627</v>
      </c>
      <c r="E411" s="39" t="s">
        <v>3936</v>
      </c>
      <c r="F411" s="39">
        <v>9</v>
      </c>
      <c r="G411" s="39" t="s">
        <v>288</v>
      </c>
      <c r="H411" s="39" t="str">
        <f>_xlfn.XLOOKUP(CRUCE[[#This Row],[Ubicacion]],Registros[Ubicacion],Registros[Codigo], "")</f>
        <v/>
      </c>
      <c r="I411" s="26" t="str">
        <f>_xlfn.XLOOKUP(CRUCE[[#This Row],[Ubicacion]],Registros[Ubicacion],Registros[Total], "")</f>
        <v/>
      </c>
      <c r="J411" s="26" t="str">
        <f>_xlfn.XLOOKUP(CRUCE[[#This Row],[Ubicacion]],Registros[Ubicacion],Registros[UMA], "")</f>
        <v/>
      </c>
      <c r="K411" s="26" t="str">
        <f>IF(CRUCE[[#This Row],[TOTAL]]="","",CRUCE[[#This Row],[TOTAL]]-CRUCE[[#This Row],[BULTOS]])</f>
        <v/>
      </c>
      <c r="L411" s="39" t="str">
        <f>IF(CRUCE[[#This Row],[TOTAL]]="", "PENDIENTE", IF(CRUCE[[#This Row],[Diferencia]]=0, "CUADRADO", IF(CRUCE[[#This Row],[Diferencia]]&gt;0, "SOBRANTE", "FALTANTE")))</f>
        <v>PENDIENTE</v>
      </c>
      <c r="M411" s="72" t="str">
        <f>IF(CRUCE[[#This Row],[Diferencia]]="","",IF(CRUCE[[#This Row],[Diferencia]]=0,"OK","RECONTEO"))</f>
        <v/>
      </c>
      <c r="N411" s="39" t="str">
        <f>_xlfn.XLOOKUP(CRUCE[[#This Row],[Ubicacion]],Registros[Ubicacion],Registros[Codigo], "")</f>
        <v/>
      </c>
      <c r="O411" s="26"/>
      <c r="P411" s="26"/>
      <c r="Q411" s="39" t="str">
        <f>IF(CRUCE[[#This Row],[TOTAL2]]="", "PENDIENTE", IF(CRUCE[[#This Row],[DIFERENCIA2]]=0, "CUADRADO", IF(CRUCE[[#This Row],[DIFERENCIA2]]&gt;0, "SOBRANTE", "FALTANTE")))</f>
        <v>PENDIENTE</v>
      </c>
      <c r="R411" s="102" t="s">
        <v>5081</v>
      </c>
      <c r="S411" s="127" t="s">
        <v>5497</v>
      </c>
    </row>
    <row r="412" spans="1:19">
      <c r="A412" s="93" t="s">
        <v>5484</v>
      </c>
      <c r="B412" s="38" t="s">
        <v>3806</v>
      </c>
      <c r="C412" s="38">
        <v>8400639</v>
      </c>
      <c r="D412" s="74">
        <v>17750243079096</v>
      </c>
      <c r="E412" s="38" t="s">
        <v>2034</v>
      </c>
      <c r="F412" s="38">
        <v>43</v>
      </c>
      <c r="G412" s="38" t="s">
        <v>288</v>
      </c>
      <c r="H412" s="39" t="str">
        <f>_xlfn.XLOOKUP(CRUCE[[#This Row],[Ubicacion]],Registros[Ubicacion],Registros[Codigo], "")</f>
        <v/>
      </c>
      <c r="I412" s="25" t="str">
        <f>_xlfn.XLOOKUP(CRUCE[[#This Row],[Ubicacion]],Registros[Ubicacion],Registros[Total], "")</f>
        <v/>
      </c>
      <c r="J412" s="25" t="str">
        <f>_xlfn.XLOOKUP(CRUCE[[#This Row],[Ubicacion]],Registros[Ubicacion],Registros[UMA], "")</f>
        <v/>
      </c>
      <c r="K412" s="25" t="str">
        <f>IF(CRUCE[[#This Row],[TOTAL]]="","",CRUCE[[#This Row],[TOTAL]]-CRUCE[[#This Row],[BULTOS]])</f>
        <v/>
      </c>
      <c r="L412" s="38" t="str">
        <f>IF(CRUCE[[#This Row],[TOTAL]]="", "PENDIENTE", IF(CRUCE[[#This Row],[Diferencia]]=0, "CUADRADO", IF(CRUCE[[#This Row],[Diferencia]]&gt;0, "SOBRANTE", "FALTANTE")))</f>
        <v>PENDIENTE</v>
      </c>
      <c r="M412" s="71" t="str">
        <f>IF(CRUCE[[#This Row],[Diferencia]]="","",IF(CRUCE[[#This Row],[Diferencia]]=0,"OK","RECONTEO"))</f>
        <v/>
      </c>
      <c r="N412" s="39" t="str">
        <f>_xlfn.XLOOKUP(CRUCE[[#This Row],[Ubicacion]],Registros[Ubicacion],Registros[Codigo], "")</f>
        <v/>
      </c>
      <c r="O412" s="25"/>
      <c r="P412" s="25"/>
      <c r="Q412" s="39" t="str">
        <f>IF(CRUCE[[#This Row],[TOTAL2]]="", "PENDIENTE", IF(CRUCE[[#This Row],[DIFERENCIA2]]=0, "CUADRADO", IF(CRUCE[[#This Row],[DIFERENCIA2]]&gt;0, "SOBRANTE", "FALTANTE")))</f>
        <v>PENDIENTE</v>
      </c>
      <c r="R412" s="103" t="s">
        <v>5081</v>
      </c>
      <c r="S412" s="127" t="s">
        <v>5498</v>
      </c>
    </row>
    <row r="413" spans="1:19">
      <c r="A413" s="92" t="s">
        <v>5484</v>
      </c>
      <c r="B413" s="39" t="s">
        <v>3809</v>
      </c>
      <c r="C413" s="39">
        <v>8400639</v>
      </c>
      <c r="D413" s="73">
        <v>17750243079096</v>
      </c>
      <c r="E413" s="39" t="s">
        <v>2034</v>
      </c>
      <c r="F413" s="39">
        <v>43</v>
      </c>
      <c r="G413" s="39" t="s">
        <v>288</v>
      </c>
      <c r="H413" s="39" t="str">
        <f>_xlfn.XLOOKUP(CRUCE[[#This Row],[Ubicacion]],Registros[Ubicacion],Registros[Codigo], "")</f>
        <v/>
      </c>
      <c r="I413" s="26" t="str">
        <f>_xlfn.XLOOKUP(CRUCE[[#This Row],[Ubicacion]],Registros[Ubicacion],Registros[Total], "")</f>
        <v/>
      </c>
      <c r="J413" s="26" t="str">
        <f>_xlfn.XLOOKUP(CRUCE[[#This Row],[Ubicacion]],Registros[Ubicacion],Registros[UMA], "")</f>
        <v/>
      </c>
      <c r="K413" s="26" t="str">
        <f>IF(CRUCE[[#This Row],[TOTAL]]="","",CRUCE[[#This Row],[TOTAL]]-CRUCE[[#This Row],[BULTOS]])</f>
        <v/>
      </c>
      <c r="L413" s="39" t="str">
        <f>IF(CRUCE[[#This Row],[TOTAL]]="", "PENDIENTE", IF(CRUCE[[#This Row],[Diferencia]]=0, "CUADRADO", IF(CRUCE[[#This Row],[Diferencia]]&gt;0, "SOBRANTE", "FALTANTE")))</f>
        <v>PENDIENTE</v>
      </c>
      <c r="M413" s="72" t="str">
        <f>IF(CRUCE[[#This Row],[Diferencia]]="","",IF(CRUCE[[#This Row],[Diferencia]]=0,"OK","RECONTEO"))</f>
        <v/>
      </c>
      <c r="N413" s="39" t="str">
        <f>_xlfn.XLOOKUP(CRUCE[[#This Row],[Ubicacion]],Registros[Ubicacion],Registros[Codigo], "")</f>
        <v/>
      </c>
      <c r="O413" s="26"/>
      <c r="P413" s="26"/>
      <c r="Q413" s="39" t="str">
        <f>IF(CRUCE[[#This Row],[TOTAL2]]="", "PENDIENTE", IF(CRUCE[[#This Row],[DIFERENCIA2]]=0, "CUADRADO", IF(CRUCE[[#This Row],[DIFERENCIA2]]&gt;0, "SOBRANTE", "FALTANTE")))</f>
        <v>PENDIENTE</v>
      </c>
      <c r="R413" s="102" t="s">
        <v>5081</v>
      </c>
      <c r="S413" s="127" t="s">
        <v>5499</v>
      </c>
    </row>
    <row r="414" spans="1:19">
      <c r="A414" s="93" t="s">
        <v>5484</v>
      </c>
      <c r="B414" s="38" t="s">
        <v>3859</v>
      </c>
      <c r="C414" s="38">
        <v>8404093</v>
      </c>
      <c r="D414" s="74">
        <v>17750243083598</v>
      </c>
      <c r="E414" s="38" t="s">
        <v>2166</v>
      </c>
      <c r="F414" s="38">
        <v>9</v>
      </c>
      <c r="G414" s="38" t="s">
        <v>288</v>
      </c>
      <c r="H414" s="39" t="str">
        <f>_xlfn.XLOOKUP(CRUCE[[#This Row],[Ubicacion]],Registros[Ubicacion],Registros[Codigo], "")</f>
        <v/>
      </c>
      <c r="I414" s="25" t="str">
        <f>_xlfn.XLOOKUP(CRUCE[[#This Row],[Ubicacion]],Registros[Ubicacion],Registros[Total], "")</f>
        <v/>
      </c>
      <c r="J414" s="25" t="str">
        <f>_xlfn.XLOOKUP(CRUCE[[#This Row],[Ubicacion]],Registros[Ubicacion],Registros[UMA], "")</f>
        <v/>
      </c>
      <c r="K414" s="25" t="str">
        <f>IF(CRUCE[[#This Row],[TOTAL]]="","",CRUCE[[#This Row],[TOTAL]]-CRUCE[[#This Row],[BULTOS]])</f>
        <v/>
      </c>
      <c r="L414" s="38" t="str">
        <f>IF(CRUCE[[#This Row],[TOTAL]]="", "PENDIENTE", IF(CRUCE[[#This Row],[Diferencia]]=0, "CUADRADO", IF(CRUCE[[#This Row],[Diferencia]]&gt;0, "SOBRANTE", "FALTANTE")))</f>
        <v>PENDIENTE</v>
      </c>
      <c r="M414" s="71" t="str">
        <f>IF(CRUCE[[#This Row],[Diferencia]]="","",IF(CRUCE[[#This Row],[Diferencia]]=0,"OK","RECONTEO"))</f>
        <v/>
      </c>
      <c r="N414" s="39" t="str">
        <f>_xlfn.XLOOKUP(CRUCE[[#This Row],[Ubicacion]],Registros[Ubicacion],Registros[Codigo], "")</f>
        <v/>
      </c>
      <c r="O414" s="25"/>
      <c r="P414" s="25"/>
      <c r="Q414" s="39" t="str">
        <f>IF(CRUCE[[#This Row],[TOTAL2]]="", "PENDIENTE", IF(CRUCE[[#This Row],[DIFERENCIA2]]=0, "CUADRADO", IF(CRUCE[[#This Row],[DIFERENCIA2]]&gt;0, "SOBRANTE", "FALTANTE")))</f>
        <v>PENDIENTE</v>
      </c>
      <c r="R414" s="103" t="s">
        <v>5081</v>
      </c>
      <c r="S414" s="127" t="s">
        <v>5500</v>
      </c>
    </row>
    <row r="415" spans="1:19">
      <c r="A415" s="92" t="s">
        <v>5484</v>
      </c>
      <c r="B415" s="39" t="s">
        <v>3861</v>
      </c>
      <c r="C415" s="39">
        <v>8404093</v>
      </c>
      <c r="D415" s="73">
        <v>17750243083598</v>
      </c>
      <c r="E415" s="39" t="s">
        <v>2166</v>
      </c>
      <c r="F415" s="39">
        <v>9</v>
      </c>
      <c r="G415" s="39" t="s">
        <v>288</v>
      </c>
      <c r="H415" s="39" t="str">
        <f>_xlfn.XLOOKUP(CRUCE[[#This Row],[Ubicacion]],Registros[Ubicacion],Registros[Codigo], "")</f>
        <v/>
      </c>
      <c r="I415" s="26" t="str">
        <f>_xlfn.XLOOKUP(CRUCE[[#This Row],[Ubicacion]],Registros[Ubicacion],Registros[Total], "")</f>
        <v/>
      </c>
      <c r="J415" s="26" t="str">
        <f>_xlfn.XLOOKUP(CRUCE[[#This Row],[Ubicacion]],Registros[Ubicacion],Registros[UMA], "")</f>
        <v/>
      </c>
      <c r="K415" s="26" t="str">
        <f>IF(CRUCE[[#This Row],[TOTAL]]="","",CRUCE[[#This Row],[TOTAL]]-CRUCE[[#This Row],[BULTOS]])</f>
        <v/>
      </c>
      <c r="L415" s="39" t="str">
        <f>IF(CRUCE[[#This Row],[TOTAL]]="", "PENDIENTE", IF(CRUCE[[#This Row],[Diferencia]]=0, "CUADRADO", IF(CRUCE[[#This Row],[Diferencia]]&gt;0, "SOBRANTE", "FALTANTE")))</f>
        <v>PENDIENTE</v>
      </c>
      <c r="M415" s="72" t="str">
        <f>IF(CRUCE[[#This Row],[Diferencia]]="","",IF(CRUCE[[#This Row],[Diferencia]]=0,"OK","RECONTEO"))</f>
        <v/>
      </c>
      <c r="N415" s="39" t="str">
        <f>_xlfn.XLOOKUP(CRUCE[[#This Row],[Ubicacion]],Registros[Ubicacion],Registros[Codigo], "")</f>
        <v/>
      </c>
      <c r="O415" s="26"/>
      <c r="P415" s="26"/>
      <c r="Q415" s="39" t="str">
        <f>IF(CRUCE[[#This Row],[TOTAL2]]="", "PENDIENTE", IF(CRUCE[[#This Row],[DIFERENCIA2]]=0, "CUADRADO", IF(CRUCE[[#This Row],[DIFERENCIA2]]&gt;0, "SOBRANTE", "FALTANTE")))</f>
        <v>PENDIENTE</v>
      </c>
      <c r="R415" s="102" t="s">
        <v>5081</v>
      </c>
      <c r="S415" s="127" t="s">
        <v>5501</v>
      </c>
    </row>
    <row r="416" spans="1:19">
      <c r="A416" s="93" t="s">
        <v>5484</v>
      </c>
      <c r="B416" s="38" t="s">
        <v>3772</v>
      </c>
      <c r="C416" s="38">
        <v>8400630</v>
      </c>
      <c r="D416" s="74">
        <v>17750243079058</v>
      </c>
      <c r="E416" s="38" t="s">
        <v>2016</v>
      </c>
      <c r="F416" s="38">
        <v>10</v>
      </c>
      <c r="G416" s="38" t="s">
        <v>288</v>
      </c>
      <c r="H416" s="39" t="str">
        <f>_xlfn.XLOOKUP(CRUCE[[#This Row],[Ubicacion]],Registros[Ubicacion],Registros[Codigo], "")</f>
        <v/>
      </c>
      <c r="I416" s="25" t="str">
        <f>_xlfn.XLOOKUP(CRUCE[[#This Row],[Ubicacion]],Registros[Ubicacion],Registros[Total], "")</f>
        <v/>
      </c>
      <c r="J416" s="25" t="str">
        <f>_xlfn.XLOOKUP(CRUCE[[#This Row],[Ubicacion]],Registros[Ubicacion],Registros[UMA], "")</f>
        <v/>
      </c>
      <c r="K416" s="25" t="str">
        <f>IF(CRUCE[[#This Row],[TOTAL]]="","",CRUCE[[#This Row],[TOTAL]]-CRUCE[[#This Row],[BULTOS]])</f>
        <v/>
      </c>
      <c r="L416" s="38" t="str">
        <f>IF(CRUCE[[#This Row],[TOTAL]]="", "PENDIENTE", IF(CRUCE[[#This Row],[Diferencia]]=0, "CUADRADO", IF(CRUCE[[#This Row],[Diferencia]]&gt;0, "SOBRANTE", "FALTANTE")))</f>
        <v>PENDIENTE</v>
      </c>
      <c r="M416" s="71" t="str">
        <f>IF(CRUCE[[#This Row],[Diferencia]]="","",IF(CRUCE[[#This Row],[Diferencia]]=0,"OK","RECONTEO"))</f>
        <v/>
      </c>
      <c r="N416" s="39" t="str">
        <f>_xlfn.XLOOKUP(CRUCE[[#This Row],[Ubicacion]],Registros[Ubicacion],Registros[Codigo], "")</f>
        <v/>
      </c>
      <c r="O416" s="25"/>
      <c r="P416" s="25"/>
      <c r="Q416" s="39" t="str">
        <f>IF(CRUCE[[#This Row],[TOTAL2]]="", "PENDIENTE", IF(CRUCE[[#This Row],[DIFERENCIA2]]=0, "CUADRADO", IF(CRUCE[[#This Row],[DIFERENCIA2]]&gt;0, "SOBRANTE", "FALTANTE")))</f>
        <v>PENDIENTE</v>
      </c>
      <c r="R416" s="103" t="s">
        <v>5081</v>
      </c>
      <c r="S416" s="127" t="s">
        <v>5502</v>
      </c>
    </row>
    <row r="417" spans="1:19">
      <c r="A417" s="92" t="s">
        <v>5484</v>
      </c>
      <c r="B417" s="39" t="s">
        <v>3774</v>
      </c>
      <c r="C417" s="39">
        <v>8400630</v>
      </c>
      <c r="D417" s="73">
        <v>17750243079058</v>
      </c>
      <c r="E417" s="39" t="s">
        <v>2016</v>
      </c>
      <c r="F417" s="39">
        <v>10</v>
      </c>
      <c r="G417" s="39" t="s">
        <v>288</v>
      </c>
      <c r="H417" s="39" t="str">
        <f>_xlfn.XLOOKUP(CRUCE[[#This Row],[Ubicacion]],Registros[Ubicacion],Registros[Codigo], "")</f>
        <v/>
      </c>
      <c r="I417" s="26" t="str">
        <f>_xlfn.XLOOKUP(CRUCE[[#This Row],[Ubicacion]],Registros[Ubicacion],Registros[Total], "")</f>
        <v/>
      </c>
      <c r="J417" s="26" t="str">
        <f>_xlfn.XLOOKUP(CRUCE[[#This Row],[Ubicacion]],Registros[Ubicacion],Registros[UMA], "")</f>
        <v/>
      </c>
      <c r="K417" s="26" t="str">
        <f>IF(CRUCE[[#This Row],[TOTAL]]="","",CRUCE[[#This Row],[TOTAL]]-CRUCE[[#This Row],[BULTOS]])</f>
        <v/>
      </c>
      <c r="L417" s="39" t="str">
        <f>IF(CRUCE[[#This Row],[TOTAL]]="", "PENDIENTE", IF(CRUCE[[#This Row],[Diferencia]]=0, "CUADRADO", IF(CRUCE[[#This Row],[Diferencia]]&gt;0, "SOBRANTE", "FALTANTE")))</f>
        <v>PENDIENTE</v>
      </c>
      <c r="M417" s="72" t="str">
        <f>IF(CRUCE[[#This Row],[Diferencia]]="","",IF(CRUCE[[#This Row],[Diferencia]]=0,"OK","RECONTEO"))</f>
        <v/>
      </c>
      <c r="N417" s="39" t="str">
        <f>_xlfn.XLOOKUP(CRUCE[[#This Row],[Ubicacion]],Registros[Ubicacion],Registros[Codigo], "")</f>
        <v/>
      </c>
      <c r="O417" s="26"/>
      <c r="P417" s="26"/>
      <c r="Q417" s="39" t="str">
        <f>IF(CRUCE[[#This Row],[TOTAL2]]="", "PENDIENTE", IF(CRUCE[[#This Row],[DIFERENCIA2]]=0, "CUADRADO", IF(CRUCE[[#This Row],[DIFERENCIA2]]&gt;0, "SOBRANTE", "FALTANTE")))</f>
        <v>PENDIENTE</v>
      </c>
      <c r="R417" s="102" t="s">
        <v>5081</v>
      </c>
      <c r="S417" s="127" t="s">
        <v>5503</v>
      </c>
    </row>
    <row r="418" spans="1:19">
      <c r="A418" s="93" t="s">
        <v>5484</v>
      </c>
      <c r="B418" s="38" t="s">
        <v>3801</v>
      </c>
      <c r="C418" s="38">
        <v>8400638</v>
      </c>
      <c r="D418" s="74">
        <v>17750243079089</v>
      </c>
      <c r="E418" s="38" t="s">
        <v>3802</v>
      </c>
      <c r="F418" s="38">
        <v>24</v>
      </c>
      <c r="G418" s="38" t="s">
        <v>288</v>
      </c>
      <c r="H418" s="39" t="str">
        <f>_xlfn.XLOOKUP(CRUCE[[#This Row],[Ubicacion]],Registros[Ubicacion],Registros[Codigo], "")</f>
        <v/>
      </c>
      <c r="I418" s="25" t="str">
        <f>_xlfn.XLOOKUP(CRUCE[[#This Row],[Ubicacion]],Registros[Ubicacion],Registros[Total], "")</f>
        <v/>
      </c>
      <c r="J418" s="25" t="str">
        <f>_xlfn.XLOOKUP(CRUCE[[#This Row],[Ubicacion]],Registros[Ubicacion],Registros[UMA], "")</f>
        <v/>
      </c>
      <c r="K418" s="25" t="str">
        <f>IF(CRUCE[[#This Row],[TOTAL]]="","",CRUCE[[#This Row],[TOTAL]]-CRUCE[[#This Row],[BULTOS]])</f>
        <v/>
      </c>
      <c r="L418" s="38" t="str">
        <f>IF(CRUCE[[#This Row],[TOTAL]]="", "PENDIENTE", IF(CRUCE[[#This Row],[Diferencia]]=0, "CUADRADO", IF(CRUCE[[#This Row],[Diferencia]]&gt;0, "SOBRANTE", "FALTANTE")))</f>
        <v>PENDIENTE</v>
      </c>
      <c r="M418" s="71" t="str">
        <f>IF(CRUCE[[#This Row],[Diferencia]]="","",IF(CRUCE[[#This Row],[Diferencia]]=0,"OK","RECONTEO"))</f>
        <v/>
      </c>
      <c r="N418" s="39" t="str">
        <f>_xlfn.XLOOKUP(CRUCE[[#This Row],[Ubicacion]],Registros[Ubicacion],Registros[Codigo], "")</f>
        <v/>
      </c>
      <c r="O418" s="25"/>
      <c r="P418" s="25"/>
      <c r="Q418" s="39" t="str">
        <f>IF(CRUCE[[#This Row],[TOTAL2]]="", "PENDIENTE", IF(CRUCE[[#This Row],[DIFERENCIA2]]=0, "CUADRADO", IF(CRUCE[[#This Row],[DIFERENCIA2]]&gt;0, "SOBRANTE", "FALTANTE")))</f>
        <v>PENDIENTE</v>
      </c>
      <c r="R418" s="103" t="s">
        <v>5081</v>
      </c>
      <c r="S418" s="127" t="s">
        <v>5504</v>
      </c>
    </row>
    <row r="419" spans="1:19">
      <c r="A419" s="92" t="s">
        <v>5484</v>
      </c>
      <c r="B419" s="39" t="s">
        <v>3804</v>
      </c>
      <c r="C419" s="39">
        <v>8400638</v>
      </c>
      <c r="D419" s="73">
        <v>17750243079089</v>
      </c>
      <c r="E419" s="39" t="s">
        <v>3802</v>
      </c>
      <c r="F419" s="39">
        <v>24</v>
      </c>
      <c r="G419" s="39" t="s">
        <v>288</v>
      </c>
      <c r="H419" s="39" t="str">
        <f>_xlfn.XLOOKUP(CRUCE[[#This Row],[Ubicacion]],Registros[Ubicacion],Registros[Codigo], "")</f>
        <v/>
      </c>
      <c r="I419" s="26" t="str">
        <f>_xlfn.XLOOKUP(CRUCE[[#This Row],[Ubicacion]],Registros[Ubicacion],Registros[Total], "")</f>
        <v/>
      </c>
      <c r="J419" s="26" t="str">
        <f>_xlfn.XLOOKUP(CRUCE[[#This Row],[Ubicacion]],Registros[Ubicacion],Registros[UMA], "")</f>
        <v/>
      </c>
      <c r="K419" s="26" t="str">
        <f>IF(CRUCE[[#This Row],[TOTAL]]="","",CRUCE[[#This Row],[TOTAL]]-CRUCE[[#This Row],[BULTOS]])</f>
        <v/>
      </c>
      <c r="L419" s="39" t="str">
        <f>IF(CRUCE[[#This Row],[TOTAL]]="", "PENDIENTE", IF(CRUCE[[#This Row],[Diferencia]]=0, "CUADRADO", IF(CRUCE[[#This Row],[Diferencia]]&gt;0, "SOBRANTE", "FALTANTE")))</f>
        <v>PENDIENTE</v>
      </c>
      <c r="M419" s="72" t="str">
        <f>IF(CRUCE[[#This Row],[Diferencia]]="","",IF(CRUCE[[#This Row],[Diferencia]]=0,"OK","RECONTEO"))</f>
        <v/>
      </c>
      <c r="N419" s="39" t="str">
        <f>_xlfn.XLOOKUP(CRUCE[[#This Row],[Ubicacion]],Registros[Ubicacion],Registros[Codigo], "")</f>
        <v/>
      </c>
      <c r="O419" s="26"/>
      <c r="P419" s="26"/>
      <c r="Q419" s="39" t="str">
        <f>IF(CRUCE[[#This Row],[TOTAL2]]="", "PENDIENTE", IF(CRUCE[[#This Row],[DIFERENCIA2]]=0, "CUADRADO", IF(CRUCE[[#This Row],[DIFERENCIA2]]&gt;0, "SOBRANTE", "FALTANTE")))</f>
        <v>PENDIENTE</v>
      </c>
      <c r="R419" s="102" t="s">
        <v>5081</v>
      </c>
      <c r="S419" s="127" t="s">
        <v>5505</v>
      </c>
    </row>
    <row r="420" spans="1:19">
      <c r="A420" s="93" t="s">
        <v>5484</v>
      </c>
      <c r="B420" s="38" t="s">
        <v>3897</v>
      </c>
      <c r="C420" s="38">
        <v>8404721</v>
      </c>
      <c r="D420" s="74">
        <v>17750243079898</v>
      </c>
      <c r="E420" s="38" t="s">
        <v>2208</v>
      </c>
      <c r="F420" s="38">
        <v>14</v>
      </c>
      <c r="G420" s="38" t="s">
        <v>288</v>
      </c>
      <c r="H420" s="39" t="str">
        <f>_xlfn.XLOOKUP(CRUCE[[#This Row],[Ubicacion]],Registros[Ubicacion],Registros[Codigo], "")</f>
        <v/>
      </c>
      <c r="I420" s="25" t="str">
        <f>_xlfn.XLOOKUP(CRUCE[[#This Row],[Ubicacion]],Registros[Ubicacion],Registros[Total], "")</f>
        <v/>
      </c>
      <c r="J420" s="25" t="str">
        <f>_xlfn.XLOOKUP(CRUCE[[#This Row],[Ubicacion]],Registros[Ubicacion],Registros[UMA], "")</f>
        <v/>
      </c>
      <c r="K420" s="25" t="str">
        <f>IF(CRUCE[[#This Row],[TOTAL]]="","",CRUCE[[#This Row],[TOTAL]]-CRUCE[[#This Row],[BULTOS]])</f>
        <v/>
      </c>
      <c r="L420" s="38" t="str">
        <f>IF(CRUCE[[#This Row],[TOTAL]]="", "PENDIENTE", IF(CRUCE[[#This Row],[Diferencia]]=0, "CUADRADO", IF(CRUCE[[#This Row],[Diferencia]]&gt;0, "SOBRANTE", "FALTANTE")))</f>
        <v>PENDIENTE</v>
      </c>
      <c r="M420" s="71" t="str">
        <f>IF(CRUCE[[#This Row],[Diferencia]]="","",IF(CRUCE[[#This Row],[Diferencia]]=0,"OK","RECONTEO"))</f>
        <v/>
      </c>
      <c r="N420" s="39" t="str">
        <f>_xlfn.XLOOKUP(CRUCE[[#This Row],[Ubicacion]],Registros[Ubicacion],Registros[Codigo], "")</f>
        <v/>
      </c>
      <c r="O420" s="25"/>
      <c r="P420" s="25"/>
      <c r="Q420" s="39" t="str">
        <f>IF(CRUCE[[#This Row],[TOTAL2]]="", "PENDIENTE", IF(CRUCE[[#This Row],[DIFERENCIA2]]=0, "CUADRADO", IF(CRUCE[[#This Row],[DIFERENCIA2]]&gt;0, "SOBRANTE", "FALTANTE")))</f>
        <v>PENDIENTE</v>
      </c>
      <c r="R420" s="103" t="s">
        <v>5081</v>
      </c>
      <c r="S420" s="127" t="s">
        <v>5506</v>
      </c>
    </row>
    <row r="421" spans="1:19">
      <c r="A421" s="92" t="s">
        <v>5484</v>
      </c>
      <c r="B421" s="39" t="s">
        <v>3899</v>
      </c>
      <c r="C421" s="39">
        <v>8404721</v>
      </c>
      <c r="D421" s="73">
        <v>17750243079898</v>
      </c>
      <c r="E421" s="39" t="s">
        <v>2208</v>
      </c>
      <c r="F421" s="39">
        <v>14</v>
      </c>
      <c r="G421" s="39" t="s">
        <v>288</v>
      </c>
      <c r="H421" s="39" t="str">
        <f>_xlfn.XLOOKUP(CRUCE[[#This Row],[Ubicacion]],Registros[Ubicacion],Registros[Codigo], "")</f>
        <v/>
      </c>
      <c r="I421" s="26" t="str">
        <f>_xlfn.XLOOKUP(CRUCE[[#This Row],[Ubicacion]],Registros[Ubicacion],Registros[Total], "")</f>
        <v/>
      </c>
      <c r="J421" s="26" t="str">
        <f>_xlfn.XLOOKUP(CRUCE[[#This Row],[Ubicacion]],Registros[Ubicacion],Registros[UMA], "")</f>
        <v/>
      </c>
      <c r="K421" s="26" t="str">
        <f>IF(CRUCE[[#This Row],[TOTAL]]="","",CRUCE[[#This Row],[TOTAL]]-CRUCE[[#This Row],[BULTOS]])</f>
        <v/>
      </c>
      <c r="L421" s="39" t="str">
        <f>IF(CRUCE[[#This Row],[TOTAL]]="", "PENDIENTE", IF(CRUCE[[#This Row],[Diferencia]]=0, "CUADRADO", IF(CRUCE[[#This Row],[Diferencia]]&gt;0, "SOBRANTE", "FALTANTE")))</f>
        <v>PENDIENTE</v>
      </c>
      <c r="M421" s="72" t="str">
        <f>IF(CRUCE[[#This Row],[Diferencia]]="","",IF(CRUCE[[#This Row],[Diferencia]]=0,"OK","RECONTEO"))</f>
        <v/>
      </c>
      <c r="N421" s="39" t="str">
        <f>_xlfn.XLOOKUP(CRUCE[[#This Row],[Ubicacion]],Registros[Ubicacion],Registros[Codigo], "")</f>
        <v/>
      </c>
      <c r="O421" s="26"/>
      <c r="P421" s="26"/>
      <c r="Q421" s="39" t="str">
        <f>IF(CRUCE[[#This Row],[TOTAL2]]="", "PENDIENTE", IF(CRUCE[[#This Row],[DIFERENCIA2]]=0, "CUADRADO", IF(CRUCE[[#This Row],[DIFERENCIA2]]&gt;0, "SOBRANTE", "FALTANTE")))</f>
        <v>PENDIENTE</v>
      </c>
      <c r="R421" s="102" t="s">
        <v>5081</v>
      </c>
      <c r="S421" s="127" t="s">
        <v>5507</v>
      </c>
    </row>
    <row r="422" spans="1:19">
      <c r="A422" s="93" t="s">
        <v>5484</v>
      </c>
      <c r="B422" s="38" t="s">
        <v>3947</v>
      </c>
      <c r="C422" s="38">
        <v>8406151</v>
      </c>
      <c r="D422" s="74">
        <v>17750243080672</v>
      </c>
      <c r="E422" s="38" t="s">
        <v>2269</v>
      </c>
      <c r="F422" s="38">
        <v>24</v>
      </c>
      <c r="G422" s="38" t="s">
        <v>288</v>
      </c>
      <c r="H422" s="39" t="str">
        <f>_xlfn.XLOOKUP(CRUCE[[#This Row],[Ubicacion]],Registros[Ubicacion],Registros[Codigo], "")</f>
        <v/>
      </c>
      <c r="I422" s="25" t="str">
        <f>_xlfn.XLOOKUP(CRUCE[[#This Row],[Ubicacion]],Registros[Ubicacion],Registros[Total], "")</f>
        <v/>
      </c>
      <c r="J422" s="25" t="str">
        <f>_xlfn.XLOOKUP(CRUCE[[#This Row],[Ubicacion]],Registros[Ubicacion],Registros[UMA], "")</f>
        <v/>
      </c>
      <c r="K422" s="25" t="str">
        <f>IF(CRUCE[[#This Row],[TOTAL]]="","",CRUCE[[#This Row],[TOTAL]]-CRUCE[[#This Row],[BULTOS]])</f>
        <v/>
      </c>
      <c r="L422" s="38" t="str">
        <f>IF(CRUCE[[#This Row],[TOTAL]]="", "PENDIENTE", IF(CRUCE[[#This Row],[Diferencia]]=0, "CUADRADO", IF(CRUCE[[#This Row],[Diferencia]]&gt;0, "SOBRANTE", "FALTANTE")))</f>
        <v>PENDIENTE</v>
      </c>
      <c r="M422" s="71" t="str">
        <f>IF(CRUCE[[#This Row],[Diferencia]]="","",IF(CRUCE[[#This Row],[Diferencia]]=0,"OK","RECONTEO"))</f>
        <v/>
      </c>
      <c r="N422" s="39" t="str">
        <f>_xlfn.XLOOKUP(CRUCE[[#This Row],[Ubicacion]],Registros[Ubicacion],Registros[Codigo], "")</f>
        <v/>
      </c>
      <c r="O422" s="25"/>
      <c r="P422" s="25"/>
      <c r="Q422" s="39" t="str">
        <f>IF(CRUCE[[#This Row],[TOTAL2]]="", "PENDIENTE", IF(CRUCE[[#This Row],[DIFERENCIA2]]=0, "CUADRADO", IF(CRUCE[[#This Row],[DIFERENCIA2]]&gt;0, "SOBRANTE", "FALTANTE")))</f>
        <v>PENDIENTE</v>
      </c>
      <c r="R422" s="103" t="s">
        <v>5081</v>
      </c>
      <c r="S422" s="127" t="s">
        <v>5508</v>
      </c>
    </row>
    <row r="423" spans="1:19">
      <c r="A423" s="92" t="s">
        <v>5484</v>
      </c>
      <c r="B423" s="39" t="s">
        <v>4078</v>
      </c>
      <c r="C423" s="39">
        <v>8414035</v>
      </c>
      <c r="D423" s="73">
        <v>17750243079355</v>
      </c>
      <c r="E423" s="39" t="s">
        <v>2692</v>
      </c>
      <c r="F423" s="39">
        <v>39</v>
      </c>
      <c r="G423" s="39" t="s">
        <v>288</v>
      </c>
      <c r="H423" s="39" t="str">
        <f>_xlfn.XLOOKUP(CRUCE[[#This Row],[Ubicacion]],Registros[Ubicacion],Registros[Codigo], "")</f>
        <v/>
      </c>
      <c r="I423" s="26" t="str">
        <f>_xlfn.XLOOKUP(CRUCE[[#This Row],[Ubicacion]],Registros[Ubicacion],Registros[Total], "")</f>
        <v/>
      </c>
      <c r="J423" s="26" t="str">
        <f>_xlfn.XLOOKUP(CRUCE[[#This Row],[Ubicacion]],Registros[Ubicacion],Registros[UMA], "")</f>
        <v/>
      </c>
      <c r="K423" s="26" t="str">
        <f>IF(CRUCE[[#This Row],[TOTAL]]="","",CRUCE[[#This Row],[TOTAL]]-CRUCE[[#This Row],[BULTOS]])</f>
        <v/>
      </c>
      <c r="L423" s="39" t="str">
        <f>IF(CRUCE[[#This Row],[TOTAL]]="", "PENDIENTE", IF(CRUCE[[#This Row],[Diferencia]]=0, "CUADRADO", IF(CRUCE[[#This Row],[Diferencia]]&gt;0, "SOBRANTE", "FALTANTE")))</f>
        <v>PENDIENTE</v>
      </c>
      <c r="M423" s="72" t="str">
        <f>IF(CRUCE[[#This Row],[Diferencia]]="","",IF(CRUCE[[#This Row],[Diferencia]]=0,"OK","RECONTEO"))</f>
        <v/>
      </c>
      <c r="N423" s="39" t="str">
        <f>_xlfn.XLOOKUP(CRUCE[[#This Row],[Ubicacion]],Registros[Ubicacion],Registros[Codigo], "")</f>
        <v/>
      </c>
      <c r="O423" s="26"/>
      <c r="P423" s="26"/>
      <c r="Q423" s="39" t="str">
        <f>IF(CRUCE[[#This Row],[TOTAL2]]="", "PENDIENTE", IF(CRUCE[[#This Row],[DIFERENCIA2]]=0, "CUADRADO", IF(CRUCE[[#This Row],[DIFERENCIA2]]&gt;0, "SOBRANTE", "FALTANTE")))</f>
        <v>PENDIENTE</v>
      </c>
      <c r="R423" s="102" t="s">
        <v>5081</v>
      </c>
      <c r="S423" s="127" t="s">
        <v>5509</v>
      </c>
    </row>
    <row r="424" spans="1:19">
      <c r="A424" s="93" t="s">
        <v>5484</v>
      </c>
      <c r="B424" s="38" t="s">
        <v>4083</v>
      </c>
      <c r="C424" s="38">
        <v>8414037</v>
      </c>
      <c r="D424" s="74">
        <v>17750243079379</v>
      </c>
      <c r="E424" s="38" t="s">
        <v>2696</v>
      </c>
      <c r="F424" s="38">
        <v>3</v>
      </c>
      <c r="G424" s="38" t="s">
        <v>288</v>
      </c>
      <c r="H424" s="39" t="str">
        <f>_xlfn.XLOOKUP(CRUCE[[#This Row],[Ubicacion]],Registros[Ubicacion],Registros[Codigo], "")</f>
        <v/>
      </c>
      <c r="I424" s="25" t="str">
        <f>_xlfn.XLOOKUP(CRUCE[[#This Row],[Ubicacion]],Registros[Ubicacion],Registros[Total], "")</f>
        <v/>
      </c>
      <c r="J424" s="25" t="str">
        <f>_xlfn.XLOOKUP(CRUCE[[#This Row],[Ubicacion]],Registros[Ubicacion],Registros[UMA], "")</f>
        <v/>
      </c>
      <c r="K424" s="25" t="str">
        <f>IF(CRUCE[[#This Row],[TOTAL]]="","",CRUCE[[#This Row],[TOTAL]]-CRUCE[[#This Row],[BULTOS]])</f>
        <v/>
      </c>
      <c r="L424" s="38" t="str">
        <f>IF(CRUCE[[#This Row],[TOTAL]]="", "PENDIENTE", IF(CRUCE[[#This Row],[Diferencia]]=0, "CUADRADO", IF(CRUCE[[#This Row],[Diferencia]]&gt;0, "SOBRANTE", "FALTANTE")))</f>
        <v>PENDIENTE</v>
      </c>
      <c r="M424" s="71" t="str">
        <f>IF(CRUCE[[#This Row],[Diferencia]]="","",IF(CRUCE[[#This Row],[Diferencia]]=0,"OK","RECONTEO"))</f>
        <v/>
      </c>
      <c r="N424" s="39" t="str">
        <f>_xlfn.XLOOKUP(CRUCE[[#This Row],[Ubicacion]],Registros[Ubicacion],Registros[Codigo], "")</f>
        <v/>
      </c>
      <c r="O424" s="25"/>
      <c r="P424" s="25"/>
      <c r="Q424" s="39" t="str">
        <f>IF(CRUCE[[#This Row],[TOTAL2]]="", "PENDIENTE", IF(CRUCE[[#This Row],[DIFERENCIA2]]=0, "CUADRADO", IF(CRUCE[[#This Row],[DIFERENCIA2]]&gt;0, "SOBRANTE", "FALTANTE")))</f>
        <v>PENDIENTE</v>
      </c>
      <c r="R424" s="103" t="s">
        <v>5081</v>
      </c>
      <c r="S424" s="127" t="s">
        <v>5510</v>
      </c>
    </row>
    <row r="425" spans="1:19">
      <c r="A425" s="92" t="s">
        <v>5484</v>
      </c>
      <c r="B425" s="39" t="s">
        <v>4081</v>
      </c>
      <c r="C425" s="39">
        <v>8414036</v>
      </c>
      <c r="D425" s="73">
        <v>17750243079362</v>
      </c>
      <c r="E425" s="39" t="s">
        <v>2694</v>
      </c>
      <c r="F425" s="39">
        <v>4</v>
      </c>
      <c r="G425" s="39" t="s">
        <v>288</v>
      </c>
      <c r="H425" s="39" t="str">
        <f>_xlfn.XLOOKUP(CRUCE[[#This Row],[Ubicacion]],Registros[Ubicacion],Registros[Codigo], "")</f>
        <v/>
      </c>
      <c r="I425" s="26" t="str">
        <f>_xlfn.XLOOKUP(CRUCE[[#This Row],[Ubicacion]],Registros[Ubicacion],Registros[Total], "")</f>
        <v/>
      </c>
      <c r="J425" s="26" t="str">
        <f>_xlfn.XLOOKUP(CRUCE[[#This Row],[Ubicacion]],Registros[Ubicacion],Registros[UMA], "")</f>
        <v/>
      </c>
      <c r="K425" s="26" t="str">
        <f>IF(CRUCE[[#This Row],[TOTAL]]="","",CRUCE[[#This Row],[TOTAL]]-CRUCE[[#This Row],[BULTOS]])</f>
        <v/>
      </c>
      <c r="L425" s="39" t="str">
        <f>IF(CRUCE[[#This Row],[TOTAL]]="", "PENDIENTE", IF(CRUCE[[#This Row],[Diferencia]]=0, "CUADRADO", IF(CRUCE[[#This Row],[Diferencia]]&gt;0, "SOBRANTE", "FALTANTE")))</f>
        <v>PENDIENTE</v>
      </c>
      <c r="M425" s="72" t="str">
        <f>IF(CRUCE[[#This Row],[Diferencia]]="","",IF(CRUCE[[#This Row],[Diferencia]]=0,"OK","RECONTEO"))</f>
        <v/>
      </c>
      <c r="N425" s="39" t="str">
        <f>_xlfn.XLOOKUP(CRUCE[[#This Row],[Ubicacion]],Registros[Ubicacion],Registros[Codigo], "")</f>
        <v/>
      </c>
      <c r="O425" s="26"/>
      <c r="P425" s="26"/>
      <c r="Q425" s="39" t="str">
        <f>IF(CRUCE[[#This Row],[TOTAL2]]="", "PENDIENTE", IF(CRUCE[[#This Row],[DIFERENCIA2]]=0, "CUADRADO", IF(CRUCE[[#This Row],[DIFERENCIA2]]&gt;0, "SOBRANTE", "FALTANTE")))</f>
        <v>PENDIENTE</v>
      </c>
      <c r="R425" s="102" t="s">
        <v>5081</v>
      </c>
      <c r="S425" s="127" t="s">
        <v>5511</v>
      </c>
    </row>
    <row r="426" spans="1:19">
      <c r="A426" s="93" t="s">
        <v>5484</v>
      </c>
      <c r="B426" s="38" t="s">
        <v>4017</v>
      </c>
      <c r="C426" s="38">
        <v>8410221</v>
      </c>
      <c r="D426" s="74">
        <v>37750243079359</v>
      </c>
      <c r="E426" s="38" t="s">
        <v>2560</v>
      </c>
      <c r="F426" s="38">
        <v>28</v>
      </c>
      <c r="G426" s="38" t="s">
        <v>288</v>
      </c>
      <c r="H426" s="39" t="str">
        <f>_xlfn.XLOOKUP(CRUCE[[#This Row],[Ubicacion]],Registros[Ubicacion],Registros[Codigo], "")</f>
        <v/>
      </c>
      <c r="I426" s="25" t="str">
        <f>_xlfn.XLOOKUP(CRUCE[[#This Row],[Ubicacion]],Registros[Ubicacion],Registros[Total], "")</f>
        <v/>
      </c>
      <c r="J426" s="25" t="str">
        <f>_xlfn.XLOOKUP(CRUCE[[#This Row],[Ubicacion]],Registros[Ubicacion],Registros[UMA], "")</f>
        <v/>
      </c>
      <c r="K426" s="25" t="str">
        <f>IF(CRUCE[[#This Row],[TOTAL]]="","",CRUCE[[#This Row],[TOTAL]]-CRUCE[[#This Row],[BULTOS]])</f>
        <v/>
      </c>
      <c r="L426" s="38" t="str">
        <f>IF(CRUCE[[#This Row],[TOTAL]]="", "PENDIENTE", IF(CRUCE[[#This Row],[Diferencia]]=0, "CUADRADO", IF(CRUCE[[#This Row],[Diferencia]]&gt;0, "SOBRANTE", "FALTANTE")))</f>
        <v>PENDIENTE</v>
      </c>
      <c r="M426" s="71" t="str">
        <f>IF(CRUCE[[#This Row],[Diferencia]]="","",IF(CRUCE[[#This Row],[Diferencia]]=0,"OK","RECONTEO"))</f>
        <v/>
      </c>
      <c r="N426" s="39" t="str">
        <f>_xlfn.XLOOKUP(CRUCE[[#This Row],[Ubicacion]],Registros[Ubicacion],Registros[Codigo], "")</f>
        <v/>
      </c>
      <c r="O426" s="25"/>
      <c r="P426" s="25"/>
      <c r="Q426" s="39" t="str">
        <f>IF(CRUCE[[#This Row],[TOTAL2]]="", "PENDIENTE", IF(CRUCE[[#This Row],[DIFERENCIA2]]=0, "CUADRADO", IF(CRUCE[[#This Row],[DIFERENCIA2]]&gt;0, "SOBRANTE", "FALTANTE")))</f>
        <v>PENDIENTE</v>
      </c>
      <c r="R426" s="103" t="s">
        <v>5081</v>
      </c>
      <c r="S426" s="127" t="s">
        <v>5512</v>
      </c>
    </row>
    <row r="427" spans="1:19">
      <c r="A427" s="92" t="s">
        <v>5484</v>
      </c>
      <c r="B427" s="39" t="s">
        <v>4774</v>
      </c>
      <c r="C427" s="26"/>
      <c r="D427" s="35"/>
      <c r="E427" s="26"/>
      <c r="F427" s="26"/>
      <c r="G427" s="26"/>
      <c r="H427" s="39" t="str">
        <f>_xlfn.XLOOKUP(CRUCE[[#This Row],[Ubicacion]],Registros[Ubicacion],Registros[Codigo], "")</f>
        <v/>
      </c>
      <c r="I427" s="26" t="str">
        <f>_xlfn.XLOOKUP(CRUCE[[#This Row],[Ubicacion]],Registros[Ubicacion],Registros[Total], "")</f>
        <v/>
      </c>
      <c r="J427" s="26" t="str">
        <f>_xlfn.XLOOKUP(CRUCE[[#This Row],[Ubicacion]],Registros[Ubicacion],Registros[UMA], "")</f>
        <v/>
      </c>
      <c r="K427" s="26" t="str">
        <f>IF(CRUCE[[#This Row],[TOTAL]]="","",CRUCE[[#This Row],[TOTAL]]-CRUCE[[#This Row],[BULTOS]])</f>
        <v/>
      </c>
      <c r="L427" s="39" t="str">
        <f>IF(CRUCE[[#This Row],[TOTAL]]="", "PENDIENTE", IF(CRUCE[[#This Row],[Diferencia]]=0, "CUADRADO", IF(CRUCE[[#This Row],[Diferencia]]&gt;0, "SOBRANTE", "FALTANTE")))</f>
        <v>PENDIENTE</v>
      </c>
      <c r="M427" s="72" t="str">
        <f>IF(CRUCE[[#This Row],[Diferencia]]="","",IF(CRUCE[[#This Row],[Diferencia]]=0,"OK","RECONTEO"))</f>
        <v/>
      </c>
      <c r="N427" s="39" t="str">
        <f>_xlfn.XLOOKUP(CRUCE[[#This Row],[Ubicacion]],Registros[Ubicacion],Registros[Codigo], "")</f>
        <v/>
      </c>
      <c r="O427" s="26"/>
      <c r="P427" s="26"/>
      <c r="Q427" s="39" t="str">
        <f>IF(CRUCE[[#This Row],[TOTAL2]]="", "PENDIENTE", IF(CRUCE[[#This Row],[DIFERENCIA2]]=0, "CUADRADO", IF(CRUCE[[#This Row],[DIFERENCIA2]]&gt;0, "SOBRANTE", "FALTANTE")))</f>
        <v>PENDIENTE</v>
      </c>
      <c r="R427" s="102" t="s">
        <v>5081</v>
      </c>
      <c r="S427" s="127" t="s">
        <v>5513</v>
      </c>
    </row>
    <row r="428" spans="1:19">
      <c r="A428" s="93" t="s">
        <v>5484</v>
      </c>
      <c r="B428" s="38" t="s">
        <v>4068</v>
      </c>
      <c r="C428" s="38">
        <v>8412074</v>
      </c>
      <c r="D428" s="74">
        <v>27750243079741</v>
      </c>
      <c r="E428" s="38" t="s">
        <v>4069</v>
      </c>
      <c r="F428" s="38">
        <v>16</v>
      </c>
      <c r="G428" s="38" t="s">
        <v>100</v>
      </c>
      <c r="H428" s="39" t="str">
        <f>_xlfn.XLOOKUP(CRUCE[[#This Row],[Ubicacion]],Registros[Ubicacion],Registros[Codigo], "")</f>
        <v/>
      </c>
      <c r="I428" s="25" t="str">
        <f>_xlfn.XLOOKUP(CRUCE[[#This Row],[Ubicacion]],Registros[Ubicacion],Registros[Total], "")</f>
        <v/>
      </c>
      <c r="J428" s="25" t="str">
        <f>_xlfn.XLOOKUP(CRUCE[[#This Row],[Ubicacion]],Registros[Ubicacion],Registros[UMA], "")</f>
        <v/>
      </c>
      <c r="K428" s="25" t="str">
        <f>IF(CRUCE[[#This Row],[TOTAL]]="","",CRUCE[[#This Row],[TOTAL]]-CRUCE[[#This Row],[BULTOS]])</f>
        <v/>
      </c>
      <c r="L428" s="38" t="str">
        <f>IF(CRUCE[[#This Row],[TOTAL]]="", "PENDIENTE", IF(CRUCE[[#This Row],[Diferencia]]=0, "CUADRADO", IF(CRUCE[[#This Row],[Diferencia]]&gt;0, "SOBRANTE", "FALTANTE")))</f>
        <v>PENDIENTE</v>
      </c>
      <c r="M428" s="71" t="str">
        <f>IF(CRUCE[[#This Row],[Diferencia]]="","",IF(CRUCE[[#This Row],[Diferencia]]=0,"OK","RECONTEO"))</f>
        <v/>
      </c>
      <c r="N428" s="39" t="str">
        <f>_xlfn.XLOOKUP(CRUCE[[#This Row],[Ubicacion]],Registros[Ubicacion],Registros[Codigo], "")</f>
        <v/>
      </c>
      <c r="O428" s="25"/>
      <c r="P428" s="25"/>
      <c r="Q428" s="39" t="str">
        <f>IF(CRUCE[[#This Row],[TOTAL2]]="", "PENDIENTE", IF(CRUCE[[#This Row],[DIFERENCIA2]]=0, "CUADRADO", IF(CRUCE[[#This Row],[DIFERENCIA2]]&gt;0, "SOBRANTE", "FALTANTE")))</f>
        <v>PENDIENTE</v>
      </c>
      <c r="R428" s="103" t="s">
        <v>5081</v>
      </c>
      <c r="S428" s="127" t="s">
        <v>5514</v>
      </c>
    </row>
    <row r="429" spans="1:19">
      <c r="A429" s="92" t="s">
        <v>5484</v>
      </c>
      <c r="B429" s="39" t="s">
        <v>4064</v>
      </c>
      <c r="C429" s="39">
        <v>8412073</v>
      </c>
      <c r="D429" s="73">
        <v>27750243079758</v>
      </c>
      <c r="E429" s="39" t="s">
        <v>4065</v>
      </c>
      <c r="F429" s="39">
        <v>23</v>
      </c>
      <c r="G429" s="39" t="s">
        <v>100</v>
      </c>
      <c r="H429" s="39" t="str">
        <f>_xlfn.XLOOKUP(CRUCE[[#This Row],[Ubicacion]],Registros[Ubicacion],Registros[Codigo], "")</f>
        <v/>
      </c>
      <c r="I429" s="26" t="str">
        <f>_xlfn.XLOOKUP(CRUCE[[#This Row],[Ubicacion]],Registros[Ubicacion],Registros[Total], "")</f>
        <v/>
      </c>
      <c r="J429" s="26" t="str">
        <f>_xlfn.XLOOKUP(CRUCE[[#This Row],[Ubicacion]],Registros[Ubicacion],Registros[UMA], "")</f>
        <v/>
      </c>
      <c r="K429" s="26" t="str">
        <f>IF(CRUCE[[#This Row],[TOTAL]]="","",CRUCE[[#This Row],[TOTAL]]-CRUCE[[#This Row],[BULTOS]])</f>
        <v/>
      </c>
      <c r="L429" s="39" t="str">
        <f>IF(CRUCE[[#This Row],[TOTAL]]="", "PENDIENTE", IF(CRUCE[[#This Row],[Diferencia]]=0, "CUADRADO", IF(CRUCE[[#This Row],[Diferencia]]&gt;0, "SOBRANTE", "FALTANTE")))</f>
        <v>PENDIENTE</v>
      </c>
      <c r="M429" s="72" t="str">
        <f>IF(CRUCE[[#This Row],[Diferencia]]="","",IF(CRUCE[[#This Row],[Diferencia]]=0,"OK","RECONTEO"))</f>
        <v/>
      </c>
      <c r="N429" s="39" t="str">
        <f>_xlfn.XLOOKUP(CRUCE[[#This Row],[Ubicacion]],Registros[Ubicacion],Registros[Codigo], "")</f>
        <v/>
      </c>
      <c r="O429" s="26"/>
      <c r="P429" s="26"/>
      <c r="Q429" s="39" t="str">
        <f>IF(CRUCE[[#This Row],[TOTAL2]]="", "PENDIENTE", IF(CRUCE[[#This Row],[DIFERENCIA2]]=0, "CUADRADO", IF(CRUCE[[#This Row],[DIFERENCIA2]]&gt;0, "SOBRANTE", "FALTANTE")))</f>
        <v>PENDIENTE</v>
      </c>
      <c r="R429" s="102" t="s">
        <v>5081</v>
      </c>
      <c r="S429" s="127" t="s">
        <v>5515</v>
      </c>
    </row>
    <row r="430" spans="1:19">
      <c r="A430" s="93" t="s">
        <v>5484</v>
      </c>
      <c r="B430" s="38" t="s">
        <v>4048</v>
      </c>
      <c r="C430" s="38">
        <v>8412045</v>
      </c>
      <c r="D430" s="74">
        <v>17750243079751</v>
      </c>
      <c r="E430" s="38" t="s">
        <v>2602</v>
      </c>
      <c r="F430" s="38">
        <v>5</v>
      </c>
      <c r="G430" s="38" t="s">
        <v>288</v>
      </c>
      <c r="H430" s="39" t="str">
        <f>_xlfn.XLOOKUP(CRUCE[[#This Row],[Ubicacion]],Registros[Ubicacion],Registros[Codigo], "")</f>
        <v/>
      </c>
      <c r="I430" s="25" t="str">
        <f>_xlfn.XLOOKUP(CRUCE[[#This Row],[Ubicacion]],Registros[Ubicacion],Registros[Total], "")</f>
        <v/>
      </c>
      <c r="J430" s="25" t="str">
        <f>_xlfn.XLOOKUP(CRUCE[[#This Row],[Ubicacion]],Registros[Ubicacion],Registros[UMA], "")</f>
        <v/>
      </c>
      <c r="K430" s="25" t="str">
        <f>IF(CRUCE[[#This Row],[TOTAL]]="","",CRUCE[[#This Row],[TOTAL]]-CRUCE[[#This Row],[BULTOS]])</f>
        <v/>
      </c>
      <c r="L430" s="38" t="str">
        <f>IF(CRUCE[[#This Row],[TOTAL]]="", "PENDIENTE", IF(CRUCE[[#This Row],[Diferencia]]=0, "CUADRADO", IF(CRUCE[[#This Row],[Diferencia]]&gt;0, "SOBRANTE", "FALTANTE")))</f>
        <v>PENDIENTE</v>
      </c>
      <c r="M430" s="71" t="str">
        <f>IF(CRUCE[[#This Row],[Diferencia]]="","",IF(CRUCE[[#This Row],[Diferencia]]=0,"OK","RECONTEO"))</f>
        <v/>
      </c>
      <c r="N430" s="39" t="str">
        <f>_xlfn.XLOOKUP(CRUCE[[#This Row],[Ubicacion]],Registros[Ubicacion],Registros[Codigo], "")</f>
        <v/>
      </c>
      <c r="O430" s="25"/>
      <c r="P430" s="25"/>
      <c r="Q430" s="39" t="str">
        <f>IF(CRUCE[[#This Row],[TOTAL2]]="", "PENDIENTE", IF(CRUCE[[#This Row],[DIFERENCIA2]]=0, "CUADRADO", IF(CRUCE[[#This Row],[DIFERENCIA2]]&gt;0, "SOBRANTE", "FALTANTE")))</f>
        <v>PENDIENTE</v>
      </c>
      <c r="R430" s="103" t="s">
        <v>5081</v>
      </c>
      <c r="S430" s="127" t="s">
        <v>5516</v>
      </c>
    </row>
    <row r="431" spans="1:19">
      <c r="A431" s="92" t="s">
        <v>5484</v>
      </c>
      <c r="B431" s="39" t="s">
        <v>4050</v>
      </c>
      <c r="C431" s="39">
        <v>8412045</v>
      </c>
      <c r="D431" s="73">
        <v>17750243079751</v>
      </c>
      <c r="E431" s="39" t="s">
        <v>2602</v>
      </c>
      <c r="F431" s="39">
        <v>5</v>
      </c>
      <c r="G431" s="39" t="s">
        <v>288</v>
      </c>
      <c r="H431" s="39" t="str">
        <f>_xlfn.XLOOKUP(CRUCE[[#This Row],[Ubicacion]],Registros[Ubicacion],Registros[Codigo], "")</f>
        <v/>
      </c>
      <c r="I431" s="26" t="str">
        <f>_xlfn.XLOOKUP(CRUCE[[#This Row],[Ubicacion]],Registros[Ubicacion],Registros[Total], "")</f>
        <v/>
      </c>
      <c r="J431" s="26" t="str">
        <f>_xlfn.XLOOKUP(CRUCE[[#This Row],[Ubicacion]],Registros[Ubicacion],Registros[UMA], "")</f>
        <v/>
      </c>
      <c r="K431" s="26" t="str">
        <f>IF(CRUCE[[#This Row],[TOTAL]]="","",CRUCE[[#This Row],[TOTAL]]-CRUCE[[#This Row],[BULTOS]])</f>
        <v/>
      </c>
      <c r="L431" s="39" t="str">
        <f>IF(CRUCE[[#This Row],[TOTAL]]="", "PENDIENTE", IF(CRUCE[[#This Row],[Diferencia]]=0, "CUADRADO", IF(CRUCE[[#This Row],[Diferencia]]&gt;0, "SOBRANTE", "FALTANTE")))</f>
        <v>PENDIENTE</v>
      </c>
      <c r="M431" s="72" t="str">
        <f>IF(CRUCE[[#This Row],[Diferencia]]="","",IF(CRUCE[[#This Row],[Diferencia]]=0,"OK","RECONTEO"))</f>
        <v/>
      </c>
      <c r="N431" s="39" t="str">
        <f>_xlfn.XLOOKUP(CRUCE[[#This Row],[Ubicacion]],Registros[Ubicacion],Registros[Codigo], "")</f>
        <v/>
      </c>
      <c r="O431" s="26"/>
      <c r="P431" s="26"/>
      <c r="Q431" s="39" t="str">
        <f>IF(CRUCE[[#This Row],[TOTAL2]]="", "PENDIENTE", IF(CRUCE[[#This Row],[DIFERENCIA2]]=0, "CUADRADO", IF(CRUCE[[#This Row],[DIFERENCIA2]]&gt;0, "SOBRANTE", "FALTANTE")))</f>
        <v>PENDIENTE</v>
      </c>
      <c r="R431" s="102" t="s">
        <v>5081</v>
      </c>
      <c r="S431" s="127" t="s">
        <v>5517</v>
      </c>
    </row>
    <row r="432" spans="1:19">
      <c r="A432" s="93" t="s">
        <v>5484</v>
      </c>
      <c r="B432" s="38" t="s">
        <v>4044</v>
      </c>
      <c r="C432" s="38">
        <v>8412044</v>
      </c>
      <c r="D432" s="74">
        <v>17750243079744</v>
      </c>
      <c r="E432" s="38" t="s">
        <v>2600</v>
      </c>
      <c r="F432" s="38">
        <v>33</v>
      </c>
      <c r="G432" s="38" t="s">
        <v>288</v>
      </c>
      <c r="H432" s="39" t="str">
        <f>_xlfn.XLOOKUP(CRUCE[[#This Row],[Ubicacion]],Registros[Ubicacion],Registros[Codigo], "")</f>
        <v/>
      </c>
      <c r="I432" s="25" t="str">
        <f>_xlfn.XLOOKUP(CRUCE[[#This Row],[Ubicacion]],Registros[Ubicacion],Registros[Total], "")</f>
        <v/>
      </c>
      <c r="J432" s="25" t="str">
        <f>_xlfn.XLOOKUP(CRUCE[[#This Row],[Ubicacion]],Registros[Ubicacion],Registros[UMA], "")</f>
        <v/>
      </c>
      <c r="K432" s="25" t="str">
        <f>IF(CRUCE[[#This Row],[TOTAL]]="","",CRUCE[[#This Row],[TOTAL]]-CRUCE[[#This Row],[BULTOS]])</f>
        <v/>
      </c>
      <c r="L432" s="38" t="str">
        <f>IF(CRUCE[[#This Row],[TOTAL]]="", "PENDIENTE", IF(CRUCE[[#This Row],[Diferencia]]=0, "CUADRADO", IF(CRUCE[[#This Row],[Diferencia]]&gt;0, "SOBRANTE", "FALTANTE")))</f>
        <v>PENDIENTE</v>
      </c>
      <c r="M432" s="71" t="str">
        <f>IF(CRUCE[[#This Row],[Diferencia]]="","",IF(CRUCE[[#This Row],[Diferencia]]=0,"OK","RECONTEO"))</f>
        <v/>
      </c>
      <c r="N432" s="39" t="str">
        <f>_xlfn.XLOOKUP(CRUCE[[#This Row],[Ubicacion]],Registros[Ubicacion],Registros[Codigo], "")</f>
        <v/>
      </c>
      <c r="O432" s="25"/>
      <c r="P432" s="25"/>
      <c r="Q432" s="39" t="str">
        <f>IF(CRUCE[[#This Row],[TOTAL2]]="", "PENDIENTE", IF(CRUCE[[#This Row],[DIFERENCIA2]]=0, "CUADRADO", IF(CRUCE[[#This Row],[DIFERENCIA2]]&gt;0, "SOBRANTE", "FALTANTE")))</f>
        <v>PENDIENTE</v>
      </c>
      <c r="R432" s="103" t="s">
        <v>5081</v>
      </c>
      <c r="S432" s="127" t="s">
        <v>5518</v>
      </c>
    </row>
    <row r="433" spans="1:19">
      <c r="A433" s="92" t="s">
        <v>5484</v>
      </c>
      <c r="B433" s="39" t="s">
        <v>4046</v>
      </c>
      <c r="C433" s="39">
        <v>8412044</v>
      </c>
      <c r="D433" s="73">
        <v>17750243079744</v>
      </c>
      <c r="E433" s="39" t="s">
        <v>2600</v>
      </c>
      <c r="F433" s="39">
        <v>33</v>
      </c>
      <c r="G433" s="39" t="s">
        <v>288</v>
      </c>
      <c r="H433" s="39" t="str">
        <f>_xlfn.XLOOKUP(CRUCE[[#This Row],[Ubicacion]],Registros[Ubicacion],Registros[Codigo], "")</f>
        <v/>
      </c>
      <c r="I433" s="26" t="str">
        <f>_xlfn.XLOOKUP(CRUCE[[#This Row],[Ubicacion]],Registros[Ubicacion],Registros[Total], "")</f>
        <v/>
      </c>
      <c r="J433" s="26" t="str">
        <f>_xlfn.XLOOKUP(CRUCE[[#This Row],[Ubicacion]],Registros[Ubicacion],Registros[UMA], "")</f>
        <v/>
      </c>
      <c r="K433" s="26" t="str">
        <f>IF(CRUCE[[#This Row],[TOTAL]]="","",CRUCE[[#This Row],[TOTAL]]-CRUCE[[#This Row],[BULTOS]])</f>
        <v/>
      </c>
      <c r="L433" s="39" t="str">
        <f>IF(CRUCE[[#This Row],[TOTAL]]="", "PENDIENTE", IF(CRUCE[[#This Row],[Diferencia]]=0, "CUADRADO", IF(CRUCE[[#This Row],[Diferencia]]&gt;0, "SOBRANTE", "FALTANTE")))</f>
        <v>PENDIENTE</v>
      </c>
      <c r="M433" s="72" t="str">
        <f>IF(CRUCE[[#This Row],[Diferencia]]="","",IF(CRUCE[[#This Row],[Diferencia]]=0,"OK","RECONTEO"))</f>
        <v/>
      </c>
      <c r="N433" s="39" t="str">
        <f>_xlfn.XLOOKUP(CRUCE[[#This Row],[Ubicacion]],Registros[Ubicacion],Registros[Codigo], "")</f>
        <v/>
      </c>
      <c r="O433" s="26"/>
      <c r="P433" s="26"/>
      <c r="Q433" s="39" t="str">
        <f>IF(CRUCE[[#This Row],[TOTAL2]]="", "PENDIENTE", IF(CRUCE[[#This Row],[DIFERENCIA2]]=0, "CUADRADO", IF(CRUCE[[#This Row],[DIFERENCIA2]]&gt;0, "SOBRANTE", "FALTANTE")))</f>
        <v>PENDIENTE</v>
      </c>
      <c r="R433" s="102" t="s">
        <v>5081</v>
      </c>
      <c r="S433" s="127" t="s">
        <v>5519</v>
      </c>
    </row>
    <row r="434" spans="1:19">
      <c r="A434" s="93" t="s">
        <v>5484</v>
      </c>
      <c r="B434" s="38" t="s">
        <v>4782</v>
      </c>
      <c r="C434" s="25"/>
      <c r="D434" s="34"/>
      <c r="E434" s="25"/>
      <c r="F434" s="25"/>
      <c r="G434" s="25"/>
      <c r="H434" s="39" t="str">
        <f>_xlfn.XLOOKUP(CRUCE[[#This Row],[Ubicacion]],Registros[Ubicacion],Registros[Codigo], "")</f>
        <v/>
      </c>
      <c r="I434" s="25" t="str">
        <f>_xlfn.XLOOKUP(CRUCE[[#This Row],[Ubicacion]],Registros[Ubicacion],Registros[Total], "")</f>
        <v/>
      </c>
      <c r="J434" s="25" t="str">
        <f>_xlfn.XLOOKUP(CRUCE[[#This Row],[Ubicacion]],Registros[Ubicacion],Registros[UMA], "")</f>
        <v/>
      </c>
      <c r="K434" s="25" t="str">
        <f>IF(CRUCE[[#This Row],[TOTAL]]="","",CRUCE[[#This Row],[TOTAL]]-CRUCE[[#This Row],[BULTOS]])</f>
        <v/>
      </c>
      <c r="L434" s="38" t="str">
        <f>IF(CRUCE[[#This Row],[TOTAL]]="", "PENDIENTE", IF(CRUCE[[#This Row],[Diferencia]]=0, "CUADRADO", IF(CRUCE[[#This Row],[Diferencia]]&gt;0, "SOBRANTE", "FALTANTE")))</f>
        <v>PENDIENTE</v>
      </c>
      <c r="M434" s="71" t="str">
        <f>IF(CRUCE[[#This Row],[Diferencia]]="","",IF(CRUCE[[#This Row],[Diferencia]]=0,"OK","RECONTEO"))</f>
        <v/>
      </c>
      <c r="N434" s="39" t="str">
        <f>_xlfn.XLOOKUP(CRUCE[[#This Row],[Ubicacion]],Registros[Ubicacion],Registros[Codigo], "")</f>
        <v/>
      </c>
      <c r="O434" s="25"/>
      <c r="P434" s="25"/>
      <c r="Q434" s="39" t="str">
        <f>IF(CRUCE[[#This Row],[TOTAL2]]="", "PENDIENTE", IF(CRUCE[[#This Row],[DIFERENCIA2]]=0, "CUADRADO", IF(CRUCE[[#This Row],[DIFERENCIA2]]&gt;0, "SOBRANTE", "FALTANTE")))</f>
        <v>PENDIENTE</v>
      </c>
      <c r="R434" s="103" t="s">
        <v>5081</v>
      </c>
      <c r="S434" s="127" t="s">
        <v>5520</v>
      </c>
    </row>
    <row r="435" spans="1:19">
      <c r="A435" s="92" t="s">
        <v>5484</v>
      </c>
      <c r="B435" s="39" t="s">
        <v>3955</v>
      </c>
      <c r="C435" s="39">
        <v>8406156</v>
      </c>
      <c r="D435" s="73">
        <v>17750243080719</v>
      </c>
      <c r="E435" s="39" t="s">
        <v>2279</v>
      </c>
      <c r="F435" s="39">
        <v>29</v>
      </c>
      <c r="G435" s="39" t="s">
        <v>288</v>
      </c>
      <c r="H435" s="39" t="str">
        <f>_xlfn.XLOOKUP(CRUCE[[#This Row],[Ubicacion]],Registros[Ubicacion],Registros[Codigo], "")</f>
        <v/>
      </c>
      <c r="I435" s="26" t="str">
        <f>_xlfn.XLOOKUP(CRUCE[[#This Row],[Ubicacion]],Registros[Ubicacion],Registros[Total], "")</f>
        <v/>
      </c>
      <c r="J435" s="26" t="str">
        <f>_xlfn.XLOOKUP(CRUCE[[#This Row],[Ubicacion]],Registros[Ubicacion],Registros[UMA], "")</f>
        <v/>
      </c>
      <c r="K435" s="26" t="str">
        <f>IF(CRUCE[[#This Row],[TOTAL]]="","",CRUCE[[#This Row],[TOTAL]]-CRUCE[[#This Row],[BULTOS]])</f>
        <v/>
      </c>
      <c r="L435" s="39" t="str">
        <f>IF(CRUCE[[#This Row],[TOTAL]]="", "PENDIENTE", IF(CRUCE[[#This Row],[Diferencia]]=0, "CUADRADO", IF(CRUCE[[#This Row],[Diferencia]]&gt;0, "SOBRANTE", "FALTANTE")))</f>
        <v>PENDIENTE</v>
      </c>
      <c r="M435" s="72" t="str">
        <f>IF(CRUCE[[#This Row],[Diferencia]]="","",IF(CRUCE[[#This Row],[Diferencia]]=0,"OK","RECONTEO"))</f>
        <v/>
      </c>
      <c r="N435" s="39" t="str">
        <f>_xlfn.XLOOKUP(CRUCE[[#This Row],[Ubicacion]],Registros[Ubicacion],Registros[Codigo], "")</f>
        <v/>
      </c>
      <c r="O435" s="26"/>
      <c r="P435" s="26"/>
      <c r="Q435" s="39" t="str">
        <f>IF(CRUCE[[#This Row],[TOTAL2]]="", "PENDIENTE", IF(CRUCE[[#This Row],[DIFERENCIA2]]=0, "CUADRADO", IF(CRUCE[[#This Row],[DIFERENCIA2]]&gt;0, "SOBRANTE", "FALTANTE")))</f>
        <v>PENDIENTE</v>
      </c>
      <c r="R435" s="102" t="s">
        <v>5081</v>
      </c>
      <c r="S435" s="127" t="s">
        <v>5521</v>
      </c>
    </row>
    <row r="436" spans="1:19">
      <c r="A436" s="93" t="s">
        <v>5484</v>
      </c>
      <c r="B436" s="38" t="s">
        <v>3814</v>
      </c>
      <c r="C436" s="38">
        <v>8400641</v>
      </c>
      <c r="D436" s="74">
        <v>17750243079119</v>
      </c>
      <c r="E436" s="38" t="s">
        <v>2038</v>
      </c>
      <c r="F436" s="38">
        <v>8</v>
      </c>
      <c r="G436" s="38" t="s">
        <v>288</v>
      </c>
      <c r="H436" s="39" t="str">
        <f>_xlfn.XLOOKUP(CRUCE[[#This Row],[Ubicacion]],Registros[Ubicacion],Registros[Codigo], "")</f>
        <v/>
      </c>
      <c r="I436" s="25" t="str">
        <f>_xlfn.XLOOKUP(CRUCE[[#This Row],[Ubicacion]],Registros[Ubicacion],Registros[Total], "")</f>
        <v/>
      </c>
      <c r="J436" s="25" t="str">
        <f>_xlfn.XLOOKUP(CRUCE[[#This Row],[Ubicacion]],Registros[Ubicacion],Registros[UMA], "")</f>
        <v/>
      </c>
      <c r="K436" s="25" t="str">
        <f>IF(CRUCE[[#This Row],[TOTAL]]="","",CRUCE[[#This Row],[TOTAL]]-CRUCE[[#This Row],[BULTOS]])</f>
        <v/>
      </c>
      <c r="L436" s="38" t="str">
        <f>IF(CRUCE[[#This Row],[TOTAL]]="", "PENDIENTE", IF(CRUCE[[#This Row],[Diferencia]]=0, "CUADRADO", IF(CRUCE[[#This Row],[Diferencia]]&gt;0, "SOBRANTE", "FALTANTE")))</f>
        <v>PENDIENTE</v>
      </c>
      <c r="M436" s="71" t="str">
        <f>IF(CRUCE[[#This Row],[Diferencia]]="","",IF(CRUCE[[#This Row],[Diferencia]]=0,"OK","RECONTEO"))</f>
        <v/>
      </c>
      <c r="N436" s="39" t="str">
        <f>_xlfn.XLOOKUP(CRUCE[[#This Row],[Ubicacion]],Registros[Ubicacion],Registros[Codigo], "")</f>
        <v/>
      </c>
      <c r="O436" s="25"/>
      <c r="P436" s="25"/>
      <c r="Q436" s="39" t="str">
        <f>IF(CRUCE[[#This Row],[TOTAL2]]="", "PENDIENTE", IF(CRUCE[[#This Row],[DIFERENCIA2]]=0, "CUADRADO", IF(CRUCE[[#This Row],[DIFERENCIA2]]&gt;0, "SOBRANTE", "FALTANTE")))</f>
        <v>PENDIENTE</v>
      </c>
      <c r="R436" s="103" t="s">
        <v>5081</v>
      </c>
      <c r="S436" s="127" t="s">
        <v>5522</v>
      </c>
    </row>
    <row r="437" spans="1:19">
      <c r="A437" s="92" t="s">
        <v>5484</v>
      </c>
      <c r="B437" s="39" t="s">
        <v>3847</v>
      </c>
      <c r="C437" s="39">
        <v>8400692</v>
      </c>
      <c r="D437" s="73">
        <v>37750243079113</v>
      </c>
      <c r="E437" s="39" t="s">
        <v>2102</v>
      </c>
      <c r="F437" s="39">
        <v>1</v>
      </c>
      <c r="G437" s="39" t="s">
        <v>288</v>
      </c>
      <c r="H437" s="39" t="str">
        <f>_xlfn.XLOOKUP(CRUCE[[#This Row],[Ubicacion]],Registros[Ubicacion],Registros[Codigo], "")</f>
        <v/>
      </c>
      <c r="I437" s="26" t="str">
        <f>_xlfn.XLOOKUP(CRUCE[[#This Row],[Ubicacion]],Registros[Ubicacion],Registros[Total], "")</f>
        <v/>
      </c>
      <c r="J437" s="26" t="str">
        <f>_xlfn.XLOOKUP(CRUCE[[#This Row],[Ubicacion]],Registros[Ubicacion],Registros[UMA], "")</f>
        <v/>
      </c>
      <c r="K437" s="26" t="str">
        <f>IF(CRUCE[[#This Row],[TOTAL]]="","",CRUCE[[#This Row],[TOTAL]]-CRUCE[[#This Row],[BULTOS]])</f>
        <v/>
      </c>
      <c r="L437" s="39" t="str">
        <f>IF(CRUCE[[#This Row],[TOTAL]]="", "PENDIENTE", IF(CRUCE[[#This Row],[Diferencia]]=0, "CUADRADO", IF(CRUCE[[#This Row],[Diferencia]]&gt;0, "SOBRANTE", "FALTANTE")))</f>
        <v>PENDIENTE</v>
      </c>
      <c r="M437" s="72" t="str">
        <f>IF(CRUCE[[#This Row],[Diferencia]]="","",IF(CRUCE[[#This Row],[Diferencia]]=0,"OK","RECONTEO"))</f>
        <v/>
      </c>
      <c r="N437" s="39" t="str">
        <f>_xlfn.XLOOKUP(CRUCE[[#This Row],[Ubicacion]],Registros[Ubicacion],Registros[Codigo], "")</f>
        <v/>
      </c>
      <c r="O437" s="26"/>
      <c r="P437" s="26"/>
      <c r="Q437" s="39" t="str">
        <f>IF(CRUCE[[#This Row],[TOTAL2]]="", "PENDIENTE", IF(CRUCE[[#This Row],[DIFERENCIA2]]=0, "CUADRADO", IF(CRUCE[[#This Row],[DIFERENCIA2]]&gt;0, "SOBRANTE", "FALTANTE")))</f>
        <v>PENDIENTE</v>
      </c>
      <c r="R437" s="102" t="s">
        <v>5081</v>
      </c>
      <c r="S437" s="127" t="s">
        <v>5523</v>
      </c>
    </row>
    <row r="438" spans="1:19">
      <c r="A438" s="93" t="s">
        <v>5484</v>
      </c>
      <c r="B438" s="38" t="s">
        <v>3232</v>
      </c>
      <c r="C438" s="38">
        <v>8303020</v>
      </c>
      <c r="D438" s="74">
        <v>17751851025260</v>
      </c>
      <c r="E438" s="38" t="s">
        <v>296</v>
      </c>
      <c r="F438" s="38">
        <v>13</v>
      </c>
      <c r="G438" s="38" t="s">
        <v>288</v>
      </c>
      <c r="H438" s="39" t="str">
        <f>_xlfn.XLOOKUP(CRUCE[[#This Row],[Ubicacion]],Registros[Ubicacion],Registros[Codigo], "")</f>
        <v/>
      </c>
      <c r="I438" s="25" t="str">
        <f>_xlfn.XLOOKUP(CRUCE[[#This Row],[Ubicacion]],Registros[Ubicacion],Registros[Total], "")</f>
        <v/>
      </c>
      <c r="J438" s="25" t="str">
        <f>_xlfn.XLOOKUP(CRUCE[[#This Row],[Ubicacion]],Registros[Ubicacion],Registros[UMA], "")</f>
        <v/>
      </c>
      <c r="K438" s="25" t="str">
        <f>IF(CRUCE[[#This Row],[TOTAL]]="","",CRUCE[[#This Row],[TOTAL]]-CRUCE[[#This Row],[BULTOS]])</f>
        <v/>
      </c>
      <c r="L438" s="38" t="str">
        <f>IF(CRUCE[[#This Row],[TOTAL]]="", "PENDIENTE", IF(CRUCE[[#This Row],[Diferencia]]=0, "CUADRADO", IF(CRUCE[[#This Row],[Diferencia]]&gt;0, "SOBRANTE", "FALTANTE")))</f>
        <v>PENDIENTE</v>
      </c>
      <c r="M438" s="71" t="str">
        <f>IF(CRUCE[[#This Row],[Diferencia]]="","",IF(CRUCE[[#This Row],[Diferencia]]=0,"OK","RECONTEO"))</f>
        <v/>
      </c>
      <c r="N438" s="39" t="str">
        <f>_xlfn.XLOOKUP(CRUCE[[#This Row],[Ubicacion]],Registros[Ubicacion],Registros[Codigo], "")</f>
        <v/>
      </c>
      <c r="O438" s="25"/>
      <c r="P438" s="25"/>
      <c r="Q438" s="39" t="str">
        <f>IF(CRUCE[[#This Row],[TOTAL2]]="", "PENDIENTE", IF(CRUCE[[#This Row],[DIFERENCIA2]]=0, "CUADRADO", IF(CRUCE[[#This Row],[DIFERENCIA2]]&gt;0, "SOBRANTE", "FALTANTE")))</f>
        <v>PENDIENTE</v>
      </c>
      <c r="R438" s="103" t="s">
        <v>5081</v>
      </c>
      <c r="S438" s="127" t="s">
        <v>5524</v>
      </c>
    </row>
    <row r="439" spans="1:19">
      <c r="A439" s="92" t="s">
        <v>5484</v>
      </c>
      <c r="B439" s="39" t="s">
        <v>3845</v>
      </c>
      <c r="C439" s="39">
        <v>8400691</v>
      </c>
      <c r="D439" s="73">
        <v>37750243079038</v>
      </c>
      <c r="E439" s="39" t="s">
        <v>2100</v>
      </c>
      <c r="F439" s="39">
        <v>22</v>
      </c>
      <c r="G439" s="39" t="s">
        <v>288</v>
      </c>
      <c r="H439" s="39" t="str">
        <f>_xlfn.XLOOKUP(CRUCE[[#This Row],[Ubicacion]],Registros[Ubicacion],Registros[Codigo], "")</f>
        <v/>
      </c>
      <c r="I439" s="26" t="str">
        <f>_xlfn.XLOOKUP(CRUCE[[#This Row],[Ubicacion]],Registros[Ubicacion],Registros[Total], "")</f>
        <v/>
      </c>
      <c r="J439" s="26" t="str">
        <f>_xlfn.XLOOKUP(CRUCE[[#This Row],[Ubicacion]],Registros[Ubicacion],Registros[UMA], "")</f>
        <v/>
      </c>
      <c r="K439" s="26" t="str">
        <f>IF(CRUCE[[#This Row],[TOTAL]]="","",CRUCE[[#This Row],[TOTAL]]-CRUCE[[#This Row],[BULTOS]])</f>
        <v/>
      </c>
      <c r="L439" s="39" t="str">
        <f>IF(CRUCE[[#This Row],[TOTAL]]="", "PENDIENTE", IF(CRUCE[[#This Row],[Diferencia]]=0, "CUADRADO", IF(CRUCE[[#This Row],[Diferencia]]&gt;0, "SOBRANTE", "FALTANTE")))</f>
        <v>PENDIENTE</v>
      </c>
      <c r="M439" s="72" t="str">
        <f>IF(CRUCE[[#This Row],[Diferencia]]="","",IF(CRUCE[[#This Row],[Diferencia]]=0,"OK","RECONTEO"))</f>
        <v/>
      </c>
      <c r="N439" s="39" t="str">
        <f>_xlfn.XLOOKUP(CRUCE[[#This Row],[Ubicacion]],Registros[Ubicacion],Registros[Codigo], "")</f>
        <v/>
      </c>
      <c r="O439" s="26"/>
      <c r="P439" s="26"/>
      <c r="Q439" s="39" t="str">
        <f>IF(CRUCE[[#This Row],[TOTAL2]]="", "PENDIENTE", IF(CRUCE[[#This Row],[DIFERENCIA2]]=0, "CUADRADO", IF(CRUCE[[#This Row],[DIFERENCIA2]]&gt;0, "SOBRANTE", "FALTANTE")))</f>
        <v>PENDIENTE</v>
      </c>
      <c r="R439" s="102" t="s">
        <v>5081</v>
      </c>
      <c r="S439" s="127" t="s">
        <v>5525</v>
      </c>
    </row>
    <row r="440" spans="1:19">
      <c r="A440" s="93" t="s">
        <v>5484</v>
      </c>
      <c r="B440" s="38" t="s">
        <v>3780</v>
      </c>
      <c r="C440" s="38">
        <v>8400632</v>
      </c>
      <c r="D440" s="74">
        <v>17750243079034</v>
      </c>
      <c r="E440" s="38" t="s">
        <v>2020</v>
      </c>
      <c r="F440" s="38">
        <v>34</v>
      </c>
      <c r="G440" s="38" t="s">
        <v>288</v>
      </c>
      <c r="H440" s="39" t="str">
        <f>_xlfn.XLOOKUP(CRUCE[[#This Row],[Ubicacion]],Registros[Ubicacion],Registros[Codigo], "")</f>
        <v/>
      </c>
      <c r="I440" s="25" t="str">
        <f>_xlfn.XLOOKUP(CRUCE[[#This Row],[Ubicacion]],Registros[Ubicacion],Registros[Total], "")</f>
        <v/>
      </c>
      <c r="J440" s="25" t="str">
        <f>_xlfn.XLOOKUP(CRUCE[[#This Row],[Ubicacion]],Registros[Ubicacion],Registros[UMA], "")</f>
        <v/>
      </c>
      <c r="K440" s="25" t="str">
        <f>IF(CRUCE[[#This Row],[TOTAL]]="","",CRUCE[[#This Row],[TOTAL]]-CRUCE[[#This Row],[BULTOS]])</f>
        <v/>
      </c>
      <c r="L440" s="38" t="str">
        <f>IF(CRUCE[[#This Row],[TOTAL]]="", "PENDIENTE", IF(CRUCE[[#This Row],[Diferencia]]=0, "CUADRADO", IF(CRUCE[[#This Row],[Diferencia]]&gt;0, "SOBRANTE", "FALTANTE")))</f>
        <v>PENDIENTE</v>
      </c>
      <c r="M440" s="71" t="str">
        <f>IF(CRUCE[[#This Row],[Diferencia]]="","",IF(CRUCE[[#This Row],[Diferencia]]=0,"OK","RECONTEO"))</f>
        <v/>
      </c>
      <c r="N440" s="39" t="str">
        <f>_xlfn.XLOOKUP(CRUCE[[#This Row],[Ubicacion]],Registros[Ubicacion],Registros[Codigo], "")</f>
        <v/>
      </c>
      <c r="O440" s="25"/>
      <c r="P440" s="25"/>
      <c r="Q440" s="39" t="str">
        <f>IF(CRUCE[[#This Row],[TOTAL2]]="", "PENDIENTE", IF(CRUCE[[#This Row],[DIFERENCIA2]]=0, "CUADRADO", IF(CRUCE[[#This Row],[DIFERENCIA2]]&gt;0, "SOBRANTE", "FALTANTE")))</f>
        <v>PENDIENTE</v>
      </c>
      <c r="R440" s="103" t="s">
        <v>5081</v>
      </c>
      <c r="S440" s="127" t="s">
        <v>5526</v>
      </c>
    </row>
    <row r="441" spans="1:19">
      <c r="A441" s="92" t="s">
        <v>5484</v>
      </c>
      <c r="B441" s="39" t="s">
        <v>3244</v>
      </c>
      <c r="C441" s="39">
        <v>8303031</v>
      </c>
      <c r="D441" s="73">
        <v>17751851025369</v>
      </c>
      <c r="E441" s="39" t="s">
        <v>310</v>
      </c>
      <c r="F441" s="39">
        <v>33</v>
      </c>
      <c r="G441" s="39" t="s">
        <v>288</v>
      </c>
      <c r="H441" s="39" t="str">
        <f>_xlfn.XLOOKUP(CRUCE[[#This Row],[Ubicacion]],Registros[Ubicacion],Registros[Codigo], "")</f>
        <v/>
      </c>
      <c r="I441" s="26" t="str">
        <f>_xlfn.XLOOKUP(CRUCE[[#This Row],[Ubicacion]],Registros[Ubicacion],Registros[Total], "")</f>
        <v/>
      </c>
      <c r="J441" s="26" t="str">
        <f>_xlfn.XLOOKUP(CRUCE[[#This Row],[Ubicacion]],Registros[Ubicacion],Registros[UMA], "")</f>
        <v/>
      </c>
      <c r="K441" s="26" t="str">
        <f>IF(CRUCE[[#This Row],[TOTAL]]="","",CRUCE[[#This Row],[TOTAL]]-CRUCE[[#This Row],[BULTOS]])</f>
        <v/>
      </c>
      <c r="L441" s="39" t="str">
        <f>IF(CRUCE[[#This Row],[TOTAL]]="", "PENDIENTE", IF(CRUCE[[#This Row],[Diferencia]]=0, "CUADRADO", IF(CRUCE[[#This Row],[Diferencia]]&gt;0, "SOBRANTE", "FALTANTE")))</f>
        <v>PENDIENTE</v>
      </c>
      <c r="M441" s="72" t="str">
        <f>IF(CRUCE[[#This Row],[Diferencia]]="","",IF(CRUCE[[#This Row],[Diferencia]]=0,"OK","RECONTEO"))</f>
        <v/>
      </c>
      <c r="N441" s="39" t="str">
        <f>_xlfn.XLOOKUP(CRUCE[[#This Row],[Ubicacion]],Registros[Ubicacion],Registros[Codigo], "")</f>
        <v/>
      </c>
      <c r="O441" s="26"/>
      <c r="P441" s="26"/>
      <c r="Q441" s="39" t="str">
        <f>IF(CRUCE[[#This Row],[TOTAL2]]="", "PENDIENTE", IF(CRUCE[[#This Row],[DIFERENCIA2]]=0, "CUADRADO", IF(CRUCE[[#This Row],[DIFERENCIA2]]&gt;0, "SOBRANTE", "FALTANTE")))</f>
        <v>PENDIENTE</v>
      </c>
      <c r="R441" s="102" t="s">
        <v>5081</v>
      </c>
      <c r="S441" s="127" t="s">
        <v>5527</v>
      </c>
    </row>
    <row r="442" spans="1:19">
      <c r="A442" s="93" t="s">
        <v>5484</v>
      </c>
      <c r="B442" s="38" t="s">
        <v>4791</v>
      </c>
      <c r="C442" s="25"/>
      <c r="D442" s="34"/>
      <c r="E442" s="25"/>
      <c r="F442" s="25"/>
      <c r="G442" s="25"/>
      <c r="H442" s="39" t="str">
        <f>_xlfn.XLOOKUP(CRUCE[[#This Row],[Ubicacion]],Registros[Ubicacion],Registros[Codigo], "")</f>
        <v/>
      </c>
      <c r="I442" s="25" t="str">
        <f>_xlfn.XLOOKUP(CRUCE[[#This Row],[Ubicacion]],Registros[Ubicacion],Registros[Total], "")</f>
        <v/>
      </c>
      <c r="J442" s="25" t="str">
        <f>_xlfn.XLOOKUP(CRUCE[[#This Row],[Ubicacion]],Registros[Ubicacion],Registros[UMA], "")</f>
        <v/>
      </c>
      <c r="K442" s="25" t="str">
        <f>IF(CRUCE[[#This Row],[TOTAL]]="","",CRUCE[[#This Row],[TOTAL]]-CRUCE[[#This Row],[BULTOS]])</f>
        <v/>
      </c>
      <c r="L442" s="38" t="str">
        <f>IF(CRUCE[[#This Row],[TOTAL]]="", "PENDIENTE", IF(CRUCE[[#This Row],[Diferencia]]=0, "CUADRADO", IF(CRUCE[[#This Row],[Diferencia]]&gt;0, "SOBRANTE", "FALTANTE")))</f>
        <v>PENDIENTE</v>
      </c>
      <c r="M442" s="71" t="str">
        <f>IF(CRUCE[[#This Row],[Diferencia]]="","",IF(CRUCE[[#This Row],[Diferencia]]=0,"OK","RECONTEO"))</f>
        <v/>
      </c>
      <c r="N442" s="39" t="str">
        <f>_xlfn.XLOOKUP(CRUCE[[#This Row],[Ubicacion]],Registros[Ubicacion],Registros[Codigo], "")</f>
        <v/>
      </c>
      <c r="O442" s="25"/>
      <c r="P442" s="25"/>
      <c r="Q442" s="39" t="str">
        <f>IF(CRUCE[[#This Row],[TOTAL2]]="", "PENDIENTE", IF(CRUCE[[#This Row],[DIFERENCIA2]]=0, "CUADRADO", IF(CRUCE[[#This Row],[DIFERENCIA2]]&gt;0, "SOBRANTE", "FALTANTE")))</f>
        <v>PENDIENTE</v>
      </c>
      <c r="R442" s="103" t="s">
        <v>5081</v>
      </c>
      <c r="S442" s="127" t="s">
        <v>5528</v>
      </c>
    </row>
    <row r="443" spans="1:19">
      <c r="A443" s="92" t="s">
        <v>5484</v>
      </c>
      <c r="B443" s="39" t="s">
        <v>4020</v>
      </c>
      <c r="C443" s="39">
        <v>8410222</v>
      </c>
      <c r="D443" s="73">
        <v>27751851025359</v>
      </c>
      <c r="E443" s="39" t="s">
        <v>2562</v>
      </c>
      <c r="F443" s="39">
        <v>13</v>
      </c>
      <c r="G443" s="39" t="s">
        <v>288</v>
      </c>
      <c r="H443" s="39" t="str">
        <f>_xlfn.XLOOKUP(CRUCE[[#This Row],[Ubicacion]],Registros[Ubicacion],Registros[Codigo], "")</f>
        <v/>
      </c>
      <c r="I443" s="26" t="str">
        <f>_xlfn.XLOOKUP(CRUCE[[#This Row],[Ubicacion]],Registros[Ubicacion],Registros[Total], "")</f>
        <v/>
      </c>
      <c r="J443" s="26" t="str">
        <f>_xlfn.XLOOKUP(CRUCE[[#This Row],[Ubicacion]],Registros[Ubicacion],Registros[UMA], "")</f>
        <v/>
      </c>
      <c r="K443" s="26" t="str">
        <f>IF(CRUCE[[#This Row],[TOTAL]]="","",CRUCE[[#This Row],[TOTAL]]-CRUCE[[#This Row],[BULTOS]])</f>
        <v/>
      </c>
      <c r="L443" s="39" t="str">
        <f>IF(CRUCE[[#This Row],[TOTAL]]="", "PENDIENTE", IF(CRUCE[[#This Row],[Diferencia]]=0, "CUADRADO", IF(CRUCE[[#This Row],[Diferencia]]&gt;0, "SOBRANTE", "FALTANTE")))</f>
        <v>PENDIENTE</v>
      </c>
      <c r="M443" s="72" t="str">
        <f>IF(CRUCE[[#This Row],[Diferencia]]="","",IF(CRUCE[[#This Row],[Diferencia]]=0,"OK","RECONTEO"))</f>
        <v/>
      </c>
      <c r="N443" s="39" t="str">
        <f>_xlfn.XLOOKUP(CRUCE[[#This Row],[Ubicacion]],Registros[Ubicacion],Registros[Codigo], "")</f>
        <v/>
      </c>
      <c r="O443" s="26"/>
      <c r="P443" s="26"/>
      <c r="Q443" s="39" t="str">
        <f>IF(CRUCE[[#This Row],[TOTAL2]]="", "PENDIENTE", IF(CRUCE[[#This Row],[DIFERENCIA2]]=0, "CUADRADO", IF(CRUCE[[#This Row],[DIFERENCIA2]]&gt;0, "SOBRANTE", "FALTANTE")))</f>
        <v>PENDIENTE</v>
      </c>
      <c r="R443" s="102" t="s">
        <v>5081</v>
      </c>
      <c r="S443" s="127" t="s">
        <v>5529</v>
      </c>
    </row>
    <row r="444" spans="1:19">
      <c r="A444" s="93" t="s">
        <v>5484</v>
      </c>
      <c r="B444" s="38" t="s">
        <v>3242</v>
      </c>
      <c r="C444" s="38">
        <v>8303029</v>
      </c>
      <c r="D444" s="74">
        <v>17751851025352</v>
      </c>
      <c r="E444" s="38" t="s">
        <v>308</v>
      </c>
      <c r="F444" s="38">
        <v>31</v>
      </c>
      <c r="G444" s="38" t="s">
        <v>288</v>
      </c>
      <c r="H444" s="39" t="str">
        <f>_xlfn.XLOOKUP(CRUCE[[#This Row],[Ubicacion]],Registros[Ubicacion],Registros[Codigo], "")</f>
        <v/>
      </c>
      <c r="I444" s="25" t="str">
        <f>_xlfn.XLOOKUP(CRUCE[[#This Row],[Ubicacion]],Registros[Ubicacion],Registros[Total], "")</f>
        <v/>
      </c>
      <c r="J444" s="25" t="str">
        <f>_xlfn.XLOOKUP(CRUCE[[#This Row],[Ubicacion]],Registros[Ubicacion],Registros[UMA], "")</f>
        <v/>
      </c>
      <c r="K444" s="25" t="str">
        <f>IF(CRUCE[[#This Row],[TOTAL]]="","",CRUCE[[#This Row],[TOTAL]]-CRUCE[[#This Row],[BULTOS]])</f>
        <v/>
      </c>
      <c r="L444" s="38" t="str">
        <f>IF(CRUCE[[#This Row],[TOTAL]]="", "PENDIENTE", IF(CRUCE[[#This Row],[Diferencia]]=0, "CUADRADO", IF(CRUCE[[#This Row],[Diferencia]]&gt;0, "SOBRANTE", "FALTANTE")))</f>
        <v>PENDIENTE</v>
      </c>
      <c r="M444" s="71" t="str">
        <f>IF(CRUCE[[#This Row],[Diferencia]]="","",IF(CRUCE[[#This Row],[Diferencia]]=0,"OK","RECONTEO"))</f>
        <v/>
      </c>
      <c r="N444" s="39" t="str">
        <f>_xlfn.XLOOKUP(CRUCE[[#This Row],[Ubicacion]],Registros[Ubicacion],Registros[Codigo], "")</f>
        <v/>
      </c>
      <c r="O444" s="25"/>
      <c r="P444" s="25"/>
      <c r="Q444" s="39" t="str">
        <f>IF(CRUCE[[#This Row],[TOTAL2]]="", "PENDIENTE", IF(CRUCE[[#This Row],[DIFERENCIA2]]=0, "CUADRADO", IF(CRUCE[[#This Row],[DIFERENCIA2]]&gt;0, "SOBRANTE", "FALTANTE")))</f>
        <v>PENDIENTE</v>
      </c>
      <c r="R444" s="103" t="s">
        <v>5081</v>
      </c>
      <c r="S444" s="127" t="s">
        <v>5530</v>
      </c>
    </row>
    <row r="445" spans="1:19">
      <c r="A445" s="92" t="s">
        <v>5484</v>
      </c>
      <c r="B445" s="39" t="s">
        <v>4087</v>
      </c>
      <c r="C445" s="39">
        <v>8414042</v>
      </c>
      <c r="D445" s="73">
        <v>17750243085400</v>
      </c>
      <c r="E445" s="39" t="s">
        <v>2703</v>
      </c>
      <c r="F445" s="39">
        <v>11</v>
      </c>
      <c r="G445" s="39" t="s">
        <v>288</v>
      </c>
      <c r="H445" s="39" t="str">
        <f>_xlfn.XLOOKUP(CRUCE[[#This Row],[Ubicacion]],Registros[Ubicacion],Registros[Codigo], "")</f>
        <v/>
      </c>
      <c r="I445" s="26" t="str">
        <f>_xlfn.XLOOKUP(CRUCE[[#This Row],[Ubicacion]],Registros[Ubicacion],Registros[Total], "")</f>
        <v/>
      </c>
      <c r="J445" s="26" t="str">
        <f>_xlfn.XLOOKUP(CRUCE[[#This Row],[Ubicacion]],Registros[Ubicacion],Registros[UMA], "")</f>
        <v/>
      </c>
      <c r="K445" s="26" t="str">
        <f>IF(CRUCE[[#This Row],[TOTAL]]="","",CRUCE[[#This Row],[TOTAL]]-CRUCE[[#This Row],[BULTOS]])</f>
        <v/>
      </c>
      <c r="L445" s="39" t="str">
        <f>IF(CRUCE[[#This Row],[TOTAL]]="", "PENDIENTE", IF(CRUCE[[#This Row],[Diferencia]]=0, "CUADRADO", IF(CRUCE[[#This Row],[Diferencia]]&gt;0, "SOBRANTE", "FALTANTE")))</f>
        <v>PENDIENTE</v>
      </c>
      <c r="M445" s="72" t="str">
        <f>IF(CRUCE[[#This Row],[Diferencia]]="","",IF(CRUCE[[#This Row],[Diferencia]]=0,"OK","RECONTEO"))</f>
        <v/>
      </c>
      <c r="N445" s="39" t="str">
        <f>_xlfn.XLOOKUP(CRUCE[[#This Row],[Ubicacion]],Registros[Ubicacion],Registros[Codigo], "")</f>
        <v/>
      </c>
      <c r="O445" s="26"/>
      <c r="P445" s="26"/>
      <c r="Q445" s="39" t="str">
        <f>IF(CRUCE[[#This Row],[TOTAL2]]="", "PENDIENTE", IF(CRUCE[[#This Row],[DIFERENCIA2]]=0, "CUADRADO", IF(CRUCE[[#This Row],[DIFERENCIA2]]&gt;0, "SOBRANTE", "FALTANTE")))</f>
        <v>PENDIENTE</v>
      </c>
      <c r="R445" s="102" t="s">
        <v>5081</v>
      </c>
      <c r="S445" s="129" t="s">
        <v>5531</v>
      </c>
    </row>
    <row r="446" spans="1:19">
      <c r="A446" s="93" t="s">
        <v>5484</v>
      </c>
      <c r="B446" s="38" t="s">
        <v>3973</v>
      </c>
      <c r="C446" s="38">
        <v>8408041</v>
      </c>
      <c r="D446" s="74">
        <v>17750243079683</v>
      </c>
      <c r="E446" s="38" t="s">
        <v>2402</v>
      </c>
      <c r="F446" s="38">
        <v>31</v>
      </c>
      <c r="G446" s="38" t="s">
        <v>288</v>
      </c>
      <c r="H446" s="39" t="str">
        <f>_xlfn.XLOOKUP(CRUCE[[#This Row],[Ubicacion]],Registros[Ubicacion],Registros[Codigo], "")</f>
        <v/>
      </c>
      <c r="I446" s="25" t="str">
        <f>_xlfn.XLOOKUP(CRUCE[[#This Row],[Ubicacion]],Registros[Ubicacion],Registros[Total], "")</f>
        <v/>
      </c>
      <c r="J446" s="25" t="str">
        <f>_xlfn.XLOOKUP(CRUCE[[#This Row],[Ubicacion]],Registros[Ubicacion],Registros[UMA], "")</f>
        <v/>
      </c>
      <c r="K446" s="25" t="str">
        <f>IF(CRUCE[[#This Row],[TOTAL]]="","",CRUCE[[#This Row],[TOTAL]]-CRUCE[[#This Row],[BULTOS]])</f>
        <v/>
      </c>
      <c r="L446" s="38" t="str">
        <f>IF(CRUCE[[#This Row],[TOTAL]]="", "PENDIENTE", IF(CRUCE[[#This Row],[Diferencia]]=0, "CUADRADO", IF(CRUCE[[#This Row],[Diferencia]]&gt;0, "SOBRANTE", "FALTANTE")))</f>
        <v>PENDIENTE</v>
      </c>
      <c r="M446" s="71" t="str">
        <f>IF(CRUCE[[#This Row],[Diferencia]]="","",IF(CRUCE[[#This Row],[Diferencia]]=0,"OK","RECONTEO"))</f>
        <v/>
      </c>
      <c r="N446" s="39" t="str">
        <f>_xlfn.XLOOKUP(CRUCE[[#This Row],[Ubicacion]],Registros[Ubicacion],Registros[Codigo], "")</f>
        <v/>
      </c>
      <c r="O446" s="25"/>
      <c r="P446" s="25"/>
      <c r="Q446" s="39" t="str">
        <f>IF(CRUCE[[#This Row],[TOTAL2]]="", "PENDIENTE", IF(CRUCE[[#This Row],[DIFERENCIA2]]=0, "CUADRADO", IF(CRUCE[[#This Row],[DIFERENCIA2]]&gt;0, "SOBRANTE", "FALTANTE")))</f>
        <v>PENDIENTE</v>
      </c>
      <c r="R446" s="103" t="s">
        <v>5081</v>
      </c>
      <c r="S446" s="127" t="s">
        <v>5532</v>
      </c>
    </row>
    <row r="447" spans="1:19">
      <c r="A447" s="92" t="s">
        <v>5484</v>
      </c>
      <c r="B447" s="39" t="s">
        <v>3976</v>
      </c>
      <c r="C447" s="39">
        <v>8408041</v>
      </c>
      <c r="D447" s="73">
        <v>17750243079683</v>
      </c>
      <c r="E447" s="39" t="s">
        <v>2402</v>
      </c>
      <c r="F447" s="39">
        <v>31</v>
      </c>
      <c r="G447" s="39" t="s">
        <v>288</v>
      </c>
      <c r="H447" s="39" t="str">
        <f>_xlfn.XLOOKUP(CRUCE[[#This Row],[Ubicacion]],Registros[Ubicacion],Registros[Codigo], "")</f>
        <v/>
      </c>
      <c r="I447" s="26" t="str">
        <f>_xlfn.XLOOKUP(CRUCE[[#This Row],[Ubicacion]],Registros[Ubicacion],Registros[Total], "")</f>
        <v/>
      </c>
      <c r="J447" s="26" t="str">
        <f>_xlfn.XLOOKUP(CRUCE[[#This Row],[Ubicacion]],Registros[Ubicacion],Registros[UMA], "")</f>
        <v/>
      </c>
      <c r="K447" s="26" t="str">
        <f>IF(CRUCE[[#This Row],[TOTAL]]="","",CRUCE[[#This Row],[TOTAL]]-CRUCE[[#This Row],[BULTOS]])</f>
        <v/>
      </c>
      <c r="L447" s="39" t="str">
        <f>IF(CRUCE[[#This Row],[TOTAL]]="", "PENDIENTE", IF(CRUCE[[#This Row],[Diferencia]]=0, "CUADRADO", IF(CRUCE[[#This Row],[Diferencia]]&gt;0, "SOBRANTE", "FALTANTE")))</f>
        <v>PENDIENTE</v>
      </c>
      <c r="M447" s="72" t="str">
        <f>IF(CRUCE[[#This Row],[Diferencia]]="","",IF(CRUCE[[#This Row],[Diferencia]]=0,"OK","RECONTEO"))</f>
        <v/>
      </c>
      <c r="N447" s="39" t="str">
        <f>_xlfn.XLOOKUP(CRUCE[[#This Row],[Ubicacion]],Registros[Ubicacion],Registros[Codigo], "")</f>
        <v/>
      </c>
      <c r="O447" s="26"/>
      <c r="P447" s="26"/>
      <c r="Q447" s="39" t="str">
        <f>IF(CRUCE[[#This Row],[TOTAL2]]="", "PENDIENTE", IF(CRUCE[[#This Row],[DIFERENCIA2]]=0, "CUADRADO", IF(CRUCE[[#This Row],[DIFERENCIA2]]&gt;0, "SOBRANTE", "FALTANTE")))</f>
        <v>PENDIENTE</v>
      </c>
      <c r="R447" s="102" t="s">
        <v>5081</v>
      </c>
      <c r="S447" s="127" t="s">
        <v>5533</v>
      </c>
    </row>
    <row r="448" spans="1:19">
      <c r="A448" s="93" t="s">
        <v>5484</v>
      </c>
      <c r="B448" s="38" t="s">
        <v>4798</v>
      </c>
      <c r="C448" s="25"/>
      <c r="D448" s="34"/>
      <c r="E448" s="25"/>
      <c r="F448" s="25"/>
      <c r="G448" s="25"/>
      <c r="H448" s="39" t="str">
        <f>_xlfn.XLOOKUP(CRUCE[[#This Row],[Ubicacion]],Registros[Ubicacion],Registros[Codigo], "")</f>
        <v/>
      </c>
      <c r="I448" s="25" t="str">
        <f>_xlfn.XLOOKUP(CRUCE[[#This Row],[Ubicacion]],Registros[Ubicacion],Registros[Total], "")</f>
        <v/>
      </c>
      <c r="J448" s="25" t="str">
        <f>_xlfn.XLOOKUP(CRUCE[[#This Row],[Ubicacion]],Registros[Ubicacion],Registros[UMA], "")</f>
        <v/>
      </c>
      <c r="K448" s="25" t="str">
        <f>IF(CRUCE[[#This Row],[TOTAL]]="","",CRUCE[[#This Row],[TOTAL]]-CRUCE[[#This Row],[BULTOS]])</f>
        <v/>
      </c>
      <c r="L448" s="38" t="str">
        <f>IF(CRUCE[[#This Row],[TOTAL]]="", "PENDIENTE", IF(CRUCE[[#This Row],[Diferencia]]=0, "CUADRADO", IF(CRUCE[[#This Row],[Diferencia]]&gt;0, "SOBRANTE", "FALTANTE")))</f>
        <v>PENDIENTE</v>
      </c>
      <c r="M448" s="71" t="str">
        <f>IF(CRUCE[[#This Row],[Diferencia]]="","",IF(CRUCE[[#This Row],[Diferencia]]=0,"OK","RECONTEO"))</f>
        <v/>
      </c>
      <c r="N448" s="39" t="str">
        <f>_xlfn.XLOOKUP(CRUCE[[#This Row],[Ubicacion]],Registros[Ubicacion],Registros[Codigo], "")</f>
        <v/>
      </c>
      <c r="O448" s="25"/>
      <c r="P448" s="25"/>
      <c r="Q448" s="39" t="str">
        <f>IF(CRUCE[[#This Row],[TOTAL2]]="", "PENDIENTE", IF(CRUCE[[#This Row],[DIFERENCIA2]]=0, "CUADRADO", IF(CRUCE[[#This Row],[DIFERENCIA2]]&gt;0, "SOBRANTE", "FALTANTE")))</f>
        <v>PENDIENTE</v>
      </c>
      <c r="R448" s="103" t="s">
        <v>5081</v>
      </c>
      <c r="S448" s="127" t="s">
        <v>5534</v>
      </c>
    </row>
    <row r="449" spans="1:19">
      <c r="A449" s="92" t="s">
        <v>5484</v>
      </c>
      <c r="B449" s="39" t="s">
        <v>4800</v>
      </c>
      <c r="C449" s="26"/>
      <c r="D449" s="35"/>
      <c r="E449" s="26"/>
      <c r="F449" s="26"/>
      <c r="G449" s="26"/>
      <c r="H449" s="39" t="str">
        <f>_xlfn.XLOOKUP(CRUCE[[#This Row],[Ubicacion]],Registros[Ubicacion],Registros[Codigo], "")</f>
        <v/>
      </c>
      <c r="I449" s="26" t="str">
        <f>_xlfn.XLOOKUP(CRUCE[[#This Row],[Ubicacion]],Registros[Ubicacion],Registros[Total], "")</f>
        <v/>
      </c>
      <c r="J449" s="26" t="str">
        <f>_xlfn.XLOOKUP(CRUCE[[#This Row],[Ubicacion]],Registros[Ubicacion],Registros[UMA], "")</f>
        <v/>
      </c>
      <c r="K449" s="26" t="str">
        <f>IF(CRUCE[[#This Row],[TOTAL]]="","",CRUCE[[#This Row],[TOTAL]]-CRUCE[[#This Row],[BULTOS]])</f>
        <v/>
      </c>
      <c r="L449" s="39" t="str">
        <f>IF(CRUCE[[#This Row],[TOTAL]]="", "PENDIENTE", IF(CRUCE[[#This Row],[Diferencia]]=0, "CUADRADO", IF(CRUCE[[#This Row],[Diferencia]]&gt;0, "SOBRANTE", "FALTANTE")))</f>
        <v>PENDIENTE</v>
      </c>
      <c r="M449" s="72" t="str">
        <f>IF(CRUCE[[#This Row],[Diferencia]]="","",IF(CRUCE[[#This Row],[Diferencia]]=0,"OK","RECONTEO"))</f>
        <v/>
      </c>
      <c r="N449" s="39" t="str">
        <f>_xlfn.XLOOKUP(CRUCE[[#This Row],[Ubicacion]],Registros[Ubicacion],Registros[Codigo], "")</f>
        <v/>
      </c>
      <c r="O449" s="26"/>
      <c r="P449" s="26"/>
      <c r="Q449" s="39" t="str">
        <f>IF(CRUCE[[#This Row],[TOTAL2]]="", "PENDIENTE", IF(CRUCE[[#This Row],[DIFERENCIA2]]=0, "CUADRADO", IF(CRUCE[[#This Row],[DIFERENCIA2]]&gt;0, "SOBRANTE", "FALTANTE")))</f>
        <v>PENDIENTE</v>
      </c>
      <c r="R449" s="102" t="s">
        <v>5081</v>
      </c>
      <c r="S449" s="127" t="s">
        <v>5535</v>
      </c>
    </row>
    <row r="450" spans="1:19">
      <c r="A450" s="93" t="s">
        <v>5536</v>
      </c>
      <c r="B450" s="38" t="s">
        <v>3811</v>
      </c>
      <c r="C450" s="38">
        <v>8400640</v>
      </c>
      <c r="D450" s="74">
        <v>17750243079102</v>
      </c>
      <c r="E450" s="38" t="s">
        <v>2036</v>
      </c>
      <c r="F450" s="38">
        <v>27</v>
      </c>
      <c r="G450" s="38" t="s">
        <v>288</v>
      </c>
      <c r="H450" s="39" t="str">
        <f>_xlfn.XLOOKUP(CRUCE[[#This Row],[Ubicacion]],Registros[Ubicacion],Registros[Codigo], "")</f>
        <v/>
      </c>
      <c r="I450" s="25" t="str">
        <f>_xlfn.XLOOKUP(CRUCE[[#This Row],[Ubicacion]],Registros[Ubicacion],Registros[Total], "")</f>
        <v/>
      </c>
      <c r="J450" s="25" t="str">
        <f>_xlfn.XLOOKUP(CRUCE[[#This Row],[Ubicacion]],Registros[Ubicacion],Registros[UMA], "")</f>
        <v/>
      </c>
      <c r="K450" s="25" t="str">
        <f>IF(CRUCE[[#This Row],[TOTAL]]="","",CRUCE[[#This Row],[TOTAL]]-CRUCE[[#This Row],[BULTOS]])</f>
        <v/>
      </c>
      <c r="L450" s="38" t="str">
        <f>IF(CRUCE[[#This Row],[TOTAL]]="", "PENDIENTE", IF(CRUCE[[#This Row],[Diferencia]]=0, "CUADRADO", IF(CRUCE[[#This Row],[Diferencia]]&gt;0, "SOBRANTE", "FALTANTE")))</f>
        <v>PENDIENTE</v>
      </c>
      <c r="M450" s="71" t="str">
        <f>IF(CRUCE[[#This Row],[Diferencia]]="","",IF(CRUCE[[#This Row],[Diferencia]]=0,"OK","RECONTEO"))</f>
        <v/>
      </c>
      <c r="N450" s="39" t="str">
        <f>_xlfn.XLOOKUP(CRUCE[[#This Row],[Ubicacion]],Registros[Ubicacion],Registros[Codigo], "")</f>
        <v/>
      </c>
      <c r="O450" s="25"/>
      <c r="P450" s="25"/>
      <c r="Q450" s="39" t="str">
        <f>IF(CRUCE[[#This Row],[TOTAL2]]="", "PENDIENTE", IF(CRUCE[[#This Row],[DIFERENCIA2]]=0, "CUADRADO", IF(CRUCE[[#This Row],[DIFERENCIA2]]&gt;0, "SOBRANTE", "FALTANTE")))</f>
        <v>PENDIENTE</v>
      </c>
      <c r="R450" s="103" t="s">
        <v>5081</v>
      </c>
      <c r="S450" s="127" t="s">
        <v>5537</v>
      </c>
    </row>
    <row r="451" spans="1:19">
      <c r="A451" s="92" t="s">
        <v>5536</v>
      </c>
      <c r="B451" s="39" t="s">
        <v>3949</v>
      </c>
      <c r="C451" s="39">
        <v>8406152</v>
      </c>
      <c r="D451" s="73">
        <v>17750243080689</v>
      </c>
      <c r="E451" s="39" t="s">
        <v>2271</v>
      </c>
      <c r="F451" s="39">
        <v>8</v>
      </c>
      <c r="G451" s="39" t="s">
        <v>288</v>
      </c>
      <c r="H451" s="39" t="str">
        <f>_xlfn.XLOOKUP(CRUCE[[#This Row],[Ubicacion]],Registros[Ubicacion],Registros[Codigo], "")</f>
        <v/>
      </c>
      <c r="I451" s="26" t="str">
        <f>_xlfn.XLOOKUP(CRUCE[[#This Row],[Ubicacion]],Registros[Ubicacion],Registros[Total], "")</f>
        <v/>
      </c>
      <c r="J451" s="26" t="str">
        <f>_xlfn.XLOOKUP(CRUCE[[#This Row],[Ubicacion]],Registros[Ubicacion],Registros[UMA], "")</f>
        <v/>
      </c>
      <c r="K451" s="26" t="str">
        <f>IF(CRUCE[[#This Row],[TOTAL]]="","",CRUCE[[#This Row],[TOTAL]]-CRUCE[[#This Row],[BULTOS]])</f>
        <v/>
      </c>
      <c r="L451" s="39" t="str">
        <f>IF(CRUCE[[#This Row],[TOTAL]]="", "PENDIENTE", IF(CRUCE[[#This Row],[Diferencia]]=0, "CUADRADO", IF(CRUCE[[#This Row],[Diferencia]]&gt;0, "SOBRANTE", "FALTANTE")))</f>
        <v>PENDIENTE</v>
      </c>
      <c r="M451" s="72" t="str">
        <f>IF(CRUCE[[#This Row],[Diferencia]]="","",IF(CRUCE[[#This Row],[Diferencia]]=0,"OK","RECONTEO"))</f>
        <v/>
      </c>
      <c r="N451" s="39" t="str">
        <f>_xlfn.XLOOKUP(CRUCE[[#This Row],[Ubicacion]],Registros[Ubicacion],Registros[Codigo], "")</f>
        <v/>
      </c>
      <c r="O451" s="26"/>
      <c r="P451" s="26"/>
      <c r="Q451" s="39" t="str">
        <f>IF(CRUCE[[#This Row],[TOTAL2]]="", "PENDIENTE", IF(CRUCE[[#This Row],[DIFERENCIA2]]=0, "CUADRADO", IF(CRUCE[[#This Row],[DIFERENCIA2]]&gt;0, "SOBRANTE", "FALTANTE")))</f>
        <v>PENDIENTE</v>
      </c>
      <c r="R451" s="102" t="s">
        <v>5081</v>
      </c>
      <c r="S451" s="127" t="s">
        <v>5538</v>
      </c>
    </row>
    <row r="452" spans="1:19">
      <c r="A452" s="93" t="s">
        <v>5536</v>
      </c>
      <c r="B452" s="38" t="s">
        <v>3770</v>
      </c>
      <c r="C452" s="38">
        <v>8400629</v>
      </c>
      <c r="D452" s="74">
        <v>17750243079065</v>
      </c>
      <c r="E452" s="38" t="s">
        <v>2014</v>
      </c>
      <c r="F452" s="38">
        <v>2</v>
      </c>
      <c r="G452" s="38" t="s">
        <v>288</v>
      </c>
      <c r="H452" s="39" t="str">
        <f>_xlfn.XLOOKUP(CRUCE[[#This Row],[Ubicacion]],Registros[Ubicacion],Registros[Codigo], "")</f>
        <v/>
      </c>
      <c r="I452" s="25" t="str">
        <f>_xlfn.XLOOKUP(CRUCE[[#This Row],[Ubicacion]],Registros[Ubicacion],Registros[Total], "")</f>
        <v/>
      </c>
      <c r="J452" s="25" t="str">
        <f>_xlfn.XLOOKUP(CRUCE[[#This Row],[Ubicacion]],Registros[Ubicacion],Registros[UMA], "")</f>
        <v/>
      </c>
      <c r="K452" s="25" t="str">
        <f>IF(CRUCE[[#This Row],[TOTAL]]="","",CRUCE[[#This Row],[TOTAL]]-CRUCE[[#This Row],[BULTOS]])</f>
        <v/>
      </c>
      <c r="L452" s="38" t="str">
        <f>IF(CRUCE[[#This Row],[TOTAL]]="", "PENDIENTE", IF(CRUCE[[#This Row],[Diferencia]]=0, "CUADRADO", IF(CRUCE[[#This Row],[Diferencia]]&gt;0, "SOBRANTE", "FALTANTE")))</f>
        <v>PENDIENTE</v>
      </c>
      <c r="M452" s="71" t="str">
        <f>IF(CRUCE[[#This Row],[Diferencia]]="","",IF(CRUCE[[#This Row],[Diferencia]]=0,"OK","RECONTEO"))</f>
        <v/>
      </c>
      <c r="N452" s="39" t="str">
        <f>_xlfn.XLOOKUP(CRUCE[[#This Row],[Ubicacion]],Registros[Ubicacion],Registros[Codigo], "")</f>
        <v/>
      </c>
      <c r="O452" s="25"/>
      <c r="P452" s="25"/>
      <c r="Q452" s="39" t="str">
        <f>IF(CRUCE[[#This Row],[TOTAL2]]="", "PENDIENTE", IF(CRUCE[[#This Row],[DIFERENCIA2]]=0, "CUADRADO", IF(CRUCE[[#This Row],[DIFERENCIA2]]&gt;0, "SOBRANTE", "FALTANTE")))</f>
        <v>PENDIENTE</v>
      </c>
      <c r="R452" s="103" t="s">
        <v>5081</v>
      </c>
      <c r="S452" s="127" t="s">
        <v>5539</v>
      </c>
    </row>
    <row r="453" spans="1:19">
      <c r="A453" s="92" t="s">
        <v>5536</v>
      </c>
      <c r="B453" s="39" t="s">
        <v>3828</v>
      </c>
      <c r="C453" s="39">
        <v>8400659</v>
      </c>
      <c r="D453" s="73">
        <v>17750243083215</v>
      </c>
      <c r="E453" s="39" t="s">
        <v>2050</v>
      </c>
      <c r="F453" s="39">
        <v>30</v>
      </c>
      <c r="G453" s="39" t="s">
        <v>288</v>
      </c>
      <c r="H453" s="39" t="str">
        <f>_xlfn.XLOOKUP(CRUCE[[#This Row],[Ubicacion]],Registros[Ubicacion],Registros[Codigo], "")</f>
        <v/>
      </c>
      <c r="I453" s="26" t="str">
        <f>_xlfn.XLOOKUP(CRUCE[[#This Row],[Ubicacion]],Registros[Ubicacion],Registros[Total], "")</f>
        <v/>
      </c>
      <c r="J453" s="26" t="str">
        <f>_xlfn.XLOOKUP(CRUCE[[#This Row],[Ubicacion]],Registros[Ubicacion],Registros[UMA], "")</f>
        <v/>
      </c>
      <c r="K453" s="26" t="str">
        <f>IF(CRUCE[[#This Row],[TOTAL]]="","",CRUCE[[#This Row],[TOTAL]]-CRUCE[[#This Row],[BULTOS]])</f>
        <v/>
      </c>
      <c r="L453" s="39" t="str">
        <f>IF(CRUCE[[#This Row],[TOTAL]]="", "PENDIENTE", IF(CRUCE[[#This Row],[Diferencia]]=0, "CUADRADO", IF(CRUCE[[#This Row],[Diferencia]]&gt;0, "SOBRANTE", "FALTANTE")))</f>
        <v>PENDIENTE</v>
      </c>
      <c r="M453" s="72" t="str">
        <f>IF(CRUCE[[#This Row],[Diferencia]]="","",IF(CRUCE[[#This Row],[Diferencia]]=0,"OK","RECONTEO"))</f>
        <v/>
      </c>
      <c r="N453" s="39" t="str">
        <f>_xlfn.XLOOKUP(CRUCE[[#This Row],[Ubicacion]],Registros[Ubicacion],Registros[Codigo], "")</f>
        <v/>
      </c>
      <c r="O453" s="26"/>
      <c r="P453" s="26"/>
      <c r="Q453" s="39" t="str">
        <f>IF(CRUCE[[#This Row],[TOTAL2]]="", "PENDIENTE", IF(CRUCE[[#This Row],[DIFERENCIA2]]=0, "CUADRADO", IF(CRUCE[[#This Row],[DIFERENCIA2]]&gt;0, "SOBRANTE", "FALTANTE")))</f>
        <v>PENDIENTE</v>
      </c>
      <c r="R453" s="102" t="s">
        <v>5081</v>
      </c>
      <c r="S453" s="127" t="s">
        <v>5540</v>
      </c>
    </row>
    <row r="454" spans="1:19">
      <c r="A454" s="93" t="s">
        <v>5536</v>
      </c>
      <c r="B454" s="38" t="s">
        <v>4060</v>
      </c>
      <c r="C454" s="38">
        <v>8412049</v>
      </c>
      <c r="D454" s="74">
        <v>17750243079799</v>
      </c>
      <c r="E454" s="38" t="s">
        <v>2610</v>
      </c>
      <c r="F454" s="38">
        <v>20</v>
      </c>
      <c r="G454" s="38" t="s">
        <v>288</v>
      </c>
      <c r="H454" s="39" t="str">
        <f>_xlfn.XLOOKUP(CRUCE[[#This Row],[Ubicacion]],Registros[Ubicacion],Registros[Codigo], "")</f>
        <v/>
      </c>
      <c r="I454" s="25" t="str">
        <f>_xlfn.XLOOKUP(CRUCE[[#This Row],[Ubicacion]],Registros[Ubicacion],Registros[Total], "")</f>
        <v/>
      </c>
      <c r="J454" s="25" t="str">
        <f>_xlfn.XLOOKUP(CRUCE[[#This Row],[Ubicacion]],Registros[Ubicacion],Registros[UMA], "")</f>
        <v/>
      </c>
      <c r="K454" s="25" t="str">
        <f>IF(CRUCE[[#This Row],[TOTAL]]="","",CRUCE[[#This Row],[TOTAL]]-CRUCE[[#This Row],[BULTOS]])</f>
        <v/>
      </c>
      <c r="L454" s="38" t="str">
        <f>IF(CRUCE[[#This Row],[TOTAL]]="", "PENDIENTE", IF(CRUCE[[#This Row],[Diferencia]]=0, "CUADRADO", IF(CRUCE[[#This Row],[Diferencia]]&gt;0, "SOBRANTE", "FALTANTE")))</f>
        <v>PENDIENTE</v>
      </c>
      <c r="M454" s="71" t="str">
        <f>IF(CRUCE[[#This Row],[Diferencia]]="","",IF(CRUCE[[#This Row],[Diferencia]]=0,"OK","RECONTEO"))</f>
        <v/>
      </c>
      <c r="N454" s="39" t="str">
        <f>_xlfn.XLOOKUP(CRUCE[[#This Row],[Ubicacion]],Registros[Ubicacion],Registros[Codigo], "")</f>
        <v/>
      </c>
      <c r="O454" s="25"/>
      <c r="P454" s="25"/>
      <c r="Q454" s="39" t="str">
        <f>IF(CRUCE[[#This Row],[TOTAL2]]="", "PENDIENTE", IF(CRUCE[[#This Row],[DIFERENCIA2]]=0, "CUADRADO", IF(CRUCE[[#This Row],[DIFERENCIA2]]&gt;0, "SOBRANTE", "FALTANTE")))</f>
        <v>PENDIENTE</v>
      </c>
      <c r="R454" s="103" t="s">
        <v>5081</v>
      </c>
      <c r="S454" s="127" t="s">
        <v>5541</v>
      </c>
    </row>
    <row r="455" spans="1:19">
      <c r="A455" s="92" t="s">
        <v>5536</v>
      </c>
      <c r="B455" s="39" t="s">
        <v>4056</v>
      </c>
      <c r="C455" s="39">
        <v>8412047</v>
      </c>
      <c r="D455" s="73">
        <v>17750243079775</v>
      </c>
      <c r="E455" s="39" t="s">
        <v>2606</v>
      </c>
      <c r="F455" s="39">
        <v>3</v>
      </c>
      <c r="G455" s="39" t="s">
        <v>288</v>
      </c>
      <c r="H455" s="39" t="str">
        <f>_xlfn.XLOOKUP(CRUCE[[#This Row],[Ubicacion]],Registros[Ubicacion],Registros[Codigo], "")</f>
        <v/>
      </c>
      <c r="I455" s="26" t="str">
        <f>_xlfn.XLOOKUP(CRUCE[[#This Row],[Ubicacion]],Registros[Ubicacion],Registros[Total], "")</f>
        <v/>
      </c>
      <c r="J455" s="26" t="str">
        <f>_xlfn.XLOOKUP(CRUCE[[#This Row],[Ubicacion]],Registros[Ubicacion],Registros[UMA], "")</f>
        <v/>
      </c>
      <c r="K455" s="26" t="str">
        <f>IF(CRUCE[[#This Row],[TOTAL]]="","",CRUCE[[#This Row],[TOTAL]]-CRUCE[[#This Row],[BULTOS]])</f>
        <v/>
      </c>
      <c r="L455" s="39" t="str">
        <f>IF(CRUCE[[#This Row],[TOTAL]]="", "PENDIENTE", IF(CRUCE[[#This Row],[Diferencia]]=0, "CUADRADO", IF(CRUCE[[#This Row],[Diferencia]]&gt;0, "SOBRANTE", "FALTANTE")))</f>
        <v>PENDIENTE</v>
      </c>
      <c r="M455" s="72" t="str">
        <f>IF(CRUCE[[#This Row],[Diferencia]]="","",IF(CRUCE[[#This Row],[Diferencia]]=0,"OK","RECONTEO"))</f>
        <v/>
      </c>
      <c r="N455" s="39" t="str">
        <f>_xlfn.XLOOKUP(CRUCE[[#This Row],[Ubicacion]],Registros[Ubicacion],Registros[Codigo], "")</f>
        <v/>
      </c>
      <c r="O455" s="26"/>
      <c r="P455" s="26"/>
      <c r="Q455" s="39" t="str">
        <f>IF(CRUCE[[#This Row],[TOTAL2]]="", "PENDIENTE", IF(CRUCE[[#This Row],[DIFERENCIA2]]=0, "CUADRADO", IF(CRUCE[[#This Row],[DIFERENCIA2]]&gt;0, "SOBRANTE", "FALTANTE")))</f>
        <v>PENDIENTE</v>
      </c>
      <c r="R455" s="102" t="s">
        <v>5081</v>
      </c>
      <c r="S455" s="129" t="s">
        <v>5542</v>
      </c>
    </row>
    <row r="456" spans="1:19">
      <c r="A456" s="93" t="s">
        <v>5536</v>
      </c>
      <c r="B456" s="38" t="s">
        <v>4058</v>
      </c>
      <c r="C456" s="38">
        <v>8412048</v>
      </c>
      <c r="D456" s="74">
        <v>17750243079782</v>
      </c>
      <c r="E456" s="38" t="s">
        <v>2608</v>
      </c>
      <c r="F456" s="38">
        <v>18</v>
      </c>
      <c r="G456" s="38" t="s">
        <v>288</v>
      </c>
      <c r="H456" s="39" t="str">
        <f>_xlfn.XLOOKUP(CRUCE[[#This Row],[Ubicacion]],Registros[Ubicacion],Registros[Codigo], "")</f>
        <v/>
      </c>
      <c r="I456" s="25" t="str">
        <f>_xlfn.XLOOKUP(CRUCE[[#This Row],[Ubicacion]],Registros[Ubicacion],Registros[Total], "")</f>
        <v/>
      </c>
      <c r="J456" s="25" t="str">
        <f>_xlfn.XLOOKUP(CRUCE[[#This Row],[Ubicacion]],Registros[Ubicacion],Registros[UMA], "")</f>
        <v/>
      </c>
      <c r="K456" s="25" t="str">
        <f>IF(CRUCE[[#This Row],[TOTAL]]="","",CRUCE[[#This Row],[TOTAL]]-CRUCE[[#This Row],[BULTOS]])</f>
        <v/>
      </c>
      <c r="L456" s="38" t="str">
        <f>IF(CRUCE[[#This Row],[TOTAL]]="", "PENDIENTE", IF(CRUCE[[#This Row],[Diferencia]]=0, "CUADRADO", IF(CRUCE[[#This Row],[Diferencia]]&gt;0, "SOBRANTE", "FALTANTE")))</f>
        <v>PENDIENTE</v>
      </c>
      <c r="M456" s="71" t="str">
        <f>IF(CRUCE[[#This Row],[Diferencia]]="","",IF(CRUCE[[#This Row],[Diferencia]]=0,"OK","RECONTEO"))</f>
        <v/>
      </c>
      <c r="N456" s="39" t="str">
        <f>_xlfn.XLOOKUP(CRUCE[[#This Row],[Ubicacion]],Registros[Ubicacion],Registros[Codigo], "")</f>
        <v/>
      </c>
      <c r="O456" s="25"/>
      <c r="P456" s="25"/>
      <c r="Q456" s="39" t="str">
        <f>IF(CRUCE[[#This Row],[TOTAL2]]="", "PENDIENTE", IF(CRUCE[[#This Row],[DIFERENCIA2]]=0, "CUADRADO", IF(CRUCE[[#This Row],[DIFERENCIA2]]&gt;0, "SOBRANTE", "FALTANTE")))</f>
        <v>PENDIENTE</v>
      </c>
      <c r="R456" s="103" t="s">
        <v>5081</v>
      </c>
      <c r="S456" s="127" t="s">
        <v>5543</v>
      </c>
    </row>
    <row r="457" spans="1:19">
      <c r="A457" s="92" t="s">
        <v>5536</v>
      </c>
      <c r="B457" s="39" t="s">
        <v>4062</v>
      </c>
      <c r="C457" s="39">
        <v>8412050</v>
      </c>
      <c r="D457" s="73">
        <v>17750243079805</v>
      </c>
      <c r="E457" s="39" t="s">
        <v>2612</v>
      </c>
      <c r="F457" s="39">
        <v>16</v>
      </c>
      <c r="G457" s="39" t="s">
        <v>288</v>
      </c>
      <c r="H457" s="39" t="str">
        <f>_xlfn.XLOOKUP(CRUCE[[#This Row],[Ubicacion]],Registros[Ubicacion],Registros[Codigo], "")</f>
        <v/>
      </c>
      <c r="I457" s="26" t="str">
        <f>_xlfn.XLOOKUP(CRUCE[[#This Row],[Ubicacion]],Registros[Ubicacion],Registros[Total], "")</f>
        <v/>
      </c>
      <c r="J457" s="26" t="str">
        <f>_xlfn.XLOOKUP(CRUCE[[#This Row],[Ubicacion]],Registros[Ubicacion],Registros[UMA], "")</f>
        <v/>
      </c>
      <c r="K457" s="26" t="str">
        <f>IF(CRUCE[[#This Row],[TOTAL]]="","",CRUCE[[#This Row],[TOTAL]]-CRUCE[[#This Row],[BULTOS]])</f>
        <v/>
      </c>
      <c r="L457" s="39" t="str">
        <f>IF(CRUCE[[#This Row],[TOTAL]]="", "PENDIENTE", IF(CRUCE[[#This Row],[Diferencia]]=0, "CUADRADO", IF(CRUCE[[#This Row],[Diferencia]]&gt;0, "SOBRANTE", "FALTANTE")))</f>
        <v>PENDIENTE</v>
      </c>
      <c r="M457" s="72" t="str">
        <f>IF(CRUCE[[#This Row],[Diferencia]]="","",IF(CRUCE[[#This Row],[Diferencia]]=0,"OK","RECONTEO"))</f>
        <v/>
      </c>
      <c r="N457" s="39" t="str">
        <f>_xlfn.XLOOKUP(CRUCE[[#This Row],[Ubicacion]],Registros[Ubicacion],Registros[Codigo], "")</f>
        <v/>
      </c>
      <c r="O457" s="26"/>
      <c r="P457" s="26"/>
      <c r="Q457" s="39" t="str">
        <f>IF(CRUCE[[#This Row],[TOTAL2]]="", "PENDIENTE", IF(CRUCE[[#This Row],[DIFERENCIA2]]=0, "CUADRADO", IF(CRUCE[[#This Row],[DIFERENCIA2]]&gt;0, "SOBRANTE", "FALTANTE")))</f>
        <v>PENDIENTE</v>
      </c>
      <c r="R457" s="102" t="s">
        <v>5081</v>
      </c>
      <c r="S457" s="127" t="s">
        <v>5544</v>
      </c>
    </row>
    <row r="458" spans="1:19">
      <c r="A458" s="93" t="s">
        <v>5536</v>
      </c>
      <c r="B458" s="38" t="s">
        <v>3840</v>
      </c>
      <c r="C458" s="38">
        <v>8400689</v>
      </c>
      <c r="D458" s="74">
        <v>37750243079076</v>
      </c>
      <c r="E458" s="38" t="s">
        <v>3841</v>
      </c>
      <c r="F458" s="38">
        <v>4</v>
      </c>
      <c r="G458" s="38" t="s">
        <v>288</v>
      </c>
      <c r="H458" s="39" t="str">
        <f>_xlfn.XLOOKUP(CRUCE[[#This Row],[Ubicacion]],Registros[Ubicacion],Registros[Codigo], "")</f>
        <v/>
      </c>
      <c r="I458" s="25" t="str">
        <f>_xlfn.XLOOKUP(CRUCE[[#This Row],[Ubicacion]],Registros[Ubicacion],Registros[Total], "")</f>
        <v/>
      </c>
      <c r="J458" s="25" t="str">
        <f>_xlfn.XLOOKUP(CRUCE[[#This Row],[Ubicacion]],Registros[Ubicacion],Registros[UMA], "")</f>
        <v/>
      </c>
      <c r="K458" s="25" t="str">
        <f>IF(CRUCE[[#This Row],[TOTAL]]="","",CRUCE[[#This Row],[TOTAL]]-CRUCE[[#This Row],[BULTOS]])</f>
        <v/>
      </c>
      <c r="L458" s="38" t="str">
        <f>IF(CRUCE[[#This Row],[TOTAL]]="", "PENDIENTE", IF(CRUCE[[#This Row],[Diferencia]]=0, "CUADRADO", IF(CRUCE[[#This Row],[Diferencia]]&gt;0, "SOBRANTE", "FALTANTE")))</f>
        <v>PENDIENTE</v>
      </c>
      <c r="M458" s="71" t="str">
        <f>IF(CRUCE[[#This Row],[Diferencia]]="","",IF(CRUCE[[#This Row],[Diferencia]]=0,"OK","RECONTEO"))</f>
        <v/>
      </c>
      <c r="N458" s="39" t="str">
        <f>_xlfn.XLOOKUP(CRUCE[[#This Row],[Ubicacion]],Registros[Ubicacion],Registros[Codigo], "")</f>
        <v/>
      </c>
      <c r="O458" s="25"/>
      <c r="P458" s="25"/>
      <c r="Q458" s="39" t="str">
        <f>IF(CRUCE[[#This Row],[TOTAL2]]="", "PENDIENTE", IF(CRUCE[[#This Row],[DIFERENCIA2]]=0, "CUADRADO", IF(CRUCE[[#This Row],[DIFERENCIA2]]&gt;0, "SOBRANTE", "FALTANTE")))</f>
        <v>PENDIENTE</v>
      </c>
      <c r="R458" s="103" t="s">
        <v>5081</v>
      </c>
      <c r="S458" s="127" t="s">
        <v>5545</v>
      </c>
    </row>
    <row r="459" spans="1:19">
      <c r="A459" s="92" t="s">
        <v>5536</v>
      </c>
      <c r="B459" s="39" t="s">
        <v>3968</v>
      </c>
      <c r="C459" s="39">
        <v>8406219</v>
      </c>
      <c r="D459" s="73">
        <v>37750243080645</v>
      </c>
      <c r="E459" s="39" t="s">
        <v>3969</v>
      </c>
      <c r="F459" s="39">
        <v>41</v>
      </c>
      <c r="G459" s="39" t="s">
        <v>288</v>
      </c>
      <c r="H459" s="39" t="str">
        <f>_xlfn.XLOOKUP(CRUCE[[#This Row],[Ubicacion]],Registros[Ubicacion],Registros[Codigo], "")</f>
        <v/>
      </c>
      <c r="I459" s="26" t="str">
        <f>_xlfn.XLOOKUP(CRUCE[[#This Row],[Ubicacion]],Registros[Ubicacion],Registros[Total], "")</f>
        <v/>
      </c>
      <c r="J459" s="26" t="str">
        <f>_xlfn.XLOOKUP(CRUCE[[#This Row],[Ubicacion]],Registros[Ubicacion],Registros[UMA], "")</f>
        <v/>
      </c>
      <c r="K459" s="26" t="str">
        <f>IF(CRUCE[[#This Row],[TOTAL]]="","",CRUCE[[#This Row],[TOTAL]]-CRUCE[[#This Row],[BULTOS]])</f>
        <v/>
      </c>
      <c r="L459" s="39" t="str">
        <f>IF(CRUCE[[#This Row],[TOTAL]]="", "PENDIENTE", IF(CRUCE[[#This Row],[Diferencia]]=0, "CUADRADO", IF(CRUCE[[#This Row],[Diferencia]]&gt;0, "SOBRANTE", "FALTANTE")))</f>
        <v>PENDIENTE</v>
      </c>
      <c r="M459" s="72" t="str">
        <f>IF(CRUCE[[#This Row],[Diferencia]]="","",IF(CRUCE[[#This Row],[Diferencia]]=0,"OK","RECONTEO"))</f>
        <v/>
      </c>
      <c r="N459" s="39" t="str">
        <f>_xlfn.XLOOKUP(CRUCE[[#This Row],[Ubicacion]],Registros[Ubicacion],Registros[Codigo], "")</f>
        <v/>
      </c>
      <c r="O459" s="26"/>
      <c r="P459" s="26"/>
      <c r="Q459" s="39" t="str">
        <f>IF(CRUCE[[#This Row],[TOTAL2]]="", "PENDIENTE", IF(CRUCE[[#This Row],[DIFERENCIA2]]=0, "CUADRADO", IF(CRUCE[[#This Row],[DIFERENCIA2]]&gt;0, "SOBRANTE", "FALTANTE")))</f>
        <v>PENDIENTE</v>
      </c>
      <c r="R459" s="102" t="s">
        <v>5081</v>
      </c>
      <c r="S459" s="127" t="s">
        <v>5546</v>
      </c>
    </row>
    <row r="460" spans="1:19">
      <c r="A460" s="93" t="s">
        <v>5536</v>
      </c>
      <c r="B460" s="38" t="s">
        <v>3915</v>
      </c>
      <c r="C460" s="38">
        <v>8404728</v>
      </c>
      <c r="D460" s="74">
        <v>37750243079823</v>
      </c>
      <c r="E460" s="38" t="s">
        <v>2222</v>
      </c>
      <c r="F460" s="38">
        <v>16</v>
      </c>
      <c r="G460" s="38" t="s">
        <v>288</v>
      </c>
      <c r="H460" s="39" t="str">
        <f>_xlfn.XLOOKUP(CRUCE[[#This Row],[Ubicacion]],Registros[Ubicacion],Registros[Codigo], "")</f>
        <v/>
      </c>
      <c r="I460" s="25" t="str">
        <f>_xlfn.XLOOKUP(CRUCE[[#This Row],[Ubicacion]],Registros[Ubicacion],Registros[Total], "")</f>
        <v/>
      </c>
      <c r="J460" s="25" t="str">
        <f>_xlfn.XLOOKUP(CRUCE[[#This Row],[Ubicacion]],Registros[Ubicacion],Registros[UMA], "")</f>
        <v/>
      </c>
      <c r="K460" s="25" t="str">
        <f>IF(CRUCE[[#This Row],[TOTAL]]="","",CRUCE[[#This Row],[TOTAL]]-CRUCE[[#This Row],[BULTOS]])</f>
        <v/>
      </c>
      <c r="L460" s="38" t="str">
        <f>IF(CRUCE[[#This Row],[TOTAL]]="", "PENDIENTE", IF(CRUCE[[#This Row],[Diferencia]]=0, "CUADRADO", IF(CRUCE[[#This Row],[Diferencia]]&gt;0, "SOBRANTE", "FALTANTE")))</f>
        <v>PENDIENTE</v>
      </c>
      <c r="M460" s="71" t="str">
        <f>IF(CRUCE[[#This Row],[Diferencia]]="","",IF(CRUCE[[#This Row],[Diferencia]]=0,"OK","RECONTEO"))</f>
        <v/>
      </c>
      <c r="N460" s="39" t="str">
        <f>_xlfn.XLOOKUP(CRUCE[[#This Row],[Ubicacion]],Registros[Ubicacion],Registros[Codigo], "")</f>
        <v/>
      </c>
      <c r="O460" s="25"/>
      <c r="P460" s="25"/>
      <c r="Q460" s="39" t="str">
        <f>IF(CRUCE[[#This Row],[TOTAL2]]="", "PENDIENTE", IF(CRUCE[[#This Row],[DIFERENCIA2]]=0, "CUADRADO", IF(CRUCE[[#This Row],[DIFERENCIA2]]&gt;0, "SOBRANTE", "FALTANTE")))</f>
        <v>PENDIENTE</v>
      </c>
      <c r="R460" s="103" t="s">
        <v>5081</v>
      </c>
      <c r="S460" s="127" t="s">
        <v>5547</v>
      </c>
    </row>
    <row r="461" spans="1:19">
      <c r="A461" s="92" t="s">
        <v>5536</v>
      </c>
      <c r="B461" s="39" t="s">
        <v>3941</v>
      </c>
      <c r="C461" s="39">
        <v>8406147</v>
      </c>
      <c r="D461" s="73">
        <v>17750243080641</v>
      </c>
      <c r="E461" s="39" t="s">
        <v>2261</v>
      </c>
      <c r="F461" s="39">
        <v>7</v>
      </c>
      <c r="G461" s="39" t="s">
        <v>288</v>
      </c>
      <c r="H461" s="39" t="str">
        <f>_xlfn.XLOOKUP(CRUCE[[#This Row],[Ubicacion]],Registros[Ubicacion],Registros[Codigo], "")</f>
        <v/>
      </c>
      <c r="I461" s="26" t="str">
        <f>_xlfn.XLOOKUP(CRUCE[[#This Row],[Ubicacion]],Registros[Ubicacion],Registros[Total], "")</f>
        <v/>
      </c>
      <c r="J461" s="26" t="str">
        <f>_xlfn.XLOOKUP(CRUCE[[#This Row],[Ubicacion]],Registros[Ubicacion],Registros[UMA], "")</f>
        <v/>
      </c>
      <c r="K461" s="26" t="str">
        <f>IF(CRUCE[[#This Row],[TOTAL]]="","",CRUCE[[#This Row],[TOTAL]]-CRUCE[[#This Row],[BULTOS]])</f>
        <v/>
      </c>
      <c r="L461" s="39" t="str">
        <f>IF(CRUCE[[#This Row],[TOTAL]]="", "PENDIENTE", IF(CRUCE[[#This Row],[Diferencia]]=0, "CUADRADO", IF(CRUCE[[#This Row],[Diferencia]]&gt;0, "SOBRANTE", "FALTANTE")))</f>
        <v>PENDIENTE</v>
      </c>
      <c r="M461" s="72" t="str">
        <f>IF(CRUCE[[#This Row],[Diferencia]]="","",IF(CRUCE[[#This Row],[Diferencia]]=0,"OK","RECONTEO"))</f>
        <v/>
      </c>
      <c r="N461" s="39" t="str">
        <f>_xlfn.XLOOKUP(CRUCE[[#This Row],[Ubicacion]],Registros[Ubicacion],Registros[Codigo], "")</f>
        <v/>
      </c>
      <c r="O461" s="26"/>
      <c r="P461" s="26"/>
      <c r="Q461" s="39" t="str">
        <f>IF(CRUCE[[#This Row],[TOTAL2]]="", "PENDIENTE", IF(CRUCE[[#This Row],[DIFERENCIA2]]=0, "CUADRADO", IF(CRUCE[[#This Row],[DIFERENCIA2]]&gt;0, "SOBRANTE", "FALTANTE")))</f>
        <v>PENDIENTE</v>
      </c>
      <c r="R461" s="102" t="s">
        <v>5081</v>
      </c>
      <c r="S461" s="127" t="s">
        <v>5548</v>
      </c>
    </row>
    <row r="462" spans="1:19">
      <c r="A462" s="93" t="s">
        <v>5536</v>
      </c>
      <c r="B462" s="38" t="s">
        <v>3881</v>
      </c>
      <c r="C462" s="38">
        <v>8404714</v>
      </c>
      <c r="D462" s="74">
        <v>17750243079829</v>
      </c>
      <c r="E462" s="38" t="s">
        <v>2196</v>
      </c>
      <c r="F462" s="38">
        <v>19</v>
      </c>
      <c r="G462" s="38" t="s">
        <v>288</v>
      </c>
      <c r="H462" s="39" t="str">
        <f>_xlfn.XLOOKUP(CRUCE[[#This Row],[Ubicacion]],Registros[Ubicacion],Registros[Codigo], "")</f>
        <v/>
      </c>
      <c r="I462" s="25" t="str">
        <f>_xlfn.XLOOKUP(CRUCE[[#This Row],[Ubicacion]],Registros[Ubicacion],Registros[Total], "")</f>
        <v/>
      </c>
      <c r="J462" s="25" t="str">
        <f>_xlfn.XLOOKUP(CRUCE[[#This Row],[Ubicacion]],Registros[Ubicacion],Registros[UMA], "")</f>
        <v/>
      </c>
      <c r="K462" s="25" t="str">
        <f>IF(CRUCE[[#This Row],[TOTAL]]="","",CRUCE[[#This Row],[TOTAL]]-CRUCE[[#This Row],[BULTOS]])</f>
        <v/>
      </c>
      <c r="L462" s="38" t="str">
        <f>IF(CRUCE[[#This Row],[TOTAL]]="", "PENDIENTE", IF(CRUCE[[#This Row],[Diferencia]]=0, "CUADRADO", IF(CRUCE[[#This Row],[Diferencia]]&gt;0, "SOBRANTE", "FALTANTE")))</f>
        <v>PENDIENTE</v>
      </c>
      <c r="M462" s="71" t="str">
        <f>IF(CRUCE[[#This Row],[Diferencia]]="","",IF(CRUCE[[#This Row],[Diferencia]]=0,"OK","RECONTEO"))</f>
        <v/>
      </c>
      <c r="N462" s="39" t="str">
        <f>_xlfn.XLOOKUP(CRUCE[[#This Row],[Ubicacion]],Registros[Ubicacion],Registros[Codigo], "")</f>
        <v/>
      </c>
      <c r="O462" s="25"/>
      <c r="P462" s="25"/>
      <c r="Q462" s="39" t="str">
        <f>IF(CRUCE[[#This Row],[TOTAL2]]="", "PENDIENTE", IF(CRUCE[[#This Row],[DIFERENCIA2]]=0, "CUADRADO", IF(CRUCE[[#This Row],[DIFERENCIA2]]&gt;0, "SOBRANTE", "FALTANTE")))</f>
        <v>PENDIENTE</v>
      </c>
      <c r="R462" s="103" t="s">
        <v>5081</v>
      </c>
      <c r="S462" s="127" t="s">
        <v>5549</v>
      </c>
    </row>
    <row r="463" spans="1:19">
      <c r="A463" s="92" t="s">
        <v>5536</v>
      </c>
      <c r="B463" s="39" t="s">
        <v>3767</v>
      </c>
      <c r="C463" s="39">
        <v>8400628</v>
      </c>
      <c r="D463" s="73">
        <v>17750243079072</v>
      </c>
      <c r="E463" s="39" t="s">
        <v>3768</v>
      </c>
      <c r="F463" s="39">
        <v>39</v>
      </c>
      <c r="G463" s="39" t="s">
        <v>288</v>
      </c>
      <c r="H463" s="39" t="str">
        <f>_xlfn.XLOOKUP(CRUCE[[#This Row],[Ubicacion]],Registros[Ubicacion],Registros[Codigo], "")</f>
        <v/>
      </c>
      <c r="I463" s="26" t="str">
        <f>_xlfn.XLOOKUP(CRUCE[[#This Row],[Ubicacion]],Registros[Ubicacion],Registros[Total], "")</f>
        <v/>
      </c>
      <c r="J463" s="26" t="str">
        <f>_xlfn.XLOOKUP(CRUCE[[#This Row],[Ubicacion]],Registros[Ubicacion],Registros[UMA], "")</f>
        <v/>
      </c>
      <c r="K463" s="26" t="str">
        <f>IF(CRUCE[[#This Row],[TOTAL]]="","",CRUCE[[#This Row],[TOTAL]]-CRUCE[[#This Row],[BULTOS]])</f>
        <v/>
      </c>
      <c r="L463" s="39" t="str">
        <f>IF(CRUCE[[#This Row],[TOTAL]]="", "PENDIENTE", IF(CRUCE[[#This Row],[Diferencia]]=0, "CUADRADO", IF(CRUCE[[#This Row],[Diferencia]]&gt;0, "SOBRANTE", "FALTANTE")))</f>
        <v>PENDIENTE</v>
      </c>
      <c r="M463" s="72" t="str">
        <f>IF(CRUCE[[#This Row],[Diferencia]]="","",IF(CRUCE[[#This Row],[Diferencia]]=0,"OK","RECONTEO"))</f>
        <v/>
      </c>
      <c r="N463" s="39" t="str">
        <f>_xlfn.XLOOKUP(CRUCE[[#This Row],[Ubicacion]],Registros[Ubicacion],Registros[Codigo], "")</f>
        <v/>
      </c>
      <c r="O463" s="26"/>
      <c r="P463" s="26"/>
      <c r="Q463" s="39" t="str">
        <f>IF(CRUCE[[#This Row],[TOTAL2]]="", "PENDIENTE", IF(CRUCE[[#This Row],[DIFERENCIA2]]=0, "CUADRADO", IF(CRUCE[[#This Row],[DIFERENCIA2]]&gt;0, "SOBRANTE", "FALTANTE")))</f>
        <v>PENDIENTE</v>
      </c>
      <c r="R463" s="102" t="s">
        <v>5081</v>
      </c>
      <c r="S463" s="127" t="s">
        <v>5550</v>
      </c>
    </row>
    <row r="464" spans="1:19">
      <c r="A464" s="93" t="s">
        <v>5536</v>
      </c>
      <c r="B464" s="38" t="s">
        <v>4015</v>
      </c>
      <c r="C464" s="38">
        <v>8410220</v>
      </c>
      <c r="D464" s="74">
        <v>37750243065840</v>
      </c>
      <c r="E464" s="38" t="s">
        <v>2558</v>
      </c>
      <c r="F464" s="38">
        <v>22</v>
      </c>
      <c r="G464" s="38" t="s">
        <v>288</v>
      </c>
      <c r="H464" s="39" t="str">
        <f>_xlfn.XLOOKUP(CRUCE[[#This Row],[Ubicacion]],Registros[Ubicacion],Registros[Codigo], "")</f>
        <v/>
      </c>
      <c r="I464" s="25" t="str">
        <f>_xlfn.XLOOKUP(CRUCE[[#This Row],[Ubicacion]],Registros[Ubicacion],Registros[Total], "")</f>
        <v/>
      </c>
      <c r="J464" s="25" t="str">
        <f>_xlfn.XLOOKUP(CRUCE[[#This Row],[Ubicacion]],Registros[Ubicacion],Registros[UMA], "")</f>
        <v/>
      </c>
      <c r="K464" s="25" t="str">
        <f>IF(CRUCE[[#This Row],[TOTAL]]="","",CRUCE[[#This Row],[TOTAL]]-CRUCE[[#This Row],[BULTOS]])</f>
        <v/>
      </c>
      <c r="L464" s="38" t="str">
        <f>IF(CRUCE[[#This Row],[TOTAL]]="", "PENDIENTE", IF(CRUCE[[#This Row],[Diferencia]]=0, "CUADRADO", IF(CRUCE[[#This Row],[Diferencia]]&gt;0, "SOBRANTE", "FALTANTE")))</f>
        <v>PENDIENTE</v>
      </c>
      <c r="M464" s="71" t="str">
        <f>IF(CRUCE[[#This Row],[Diferencia]]="","",IF(CRUCE[[#This Row],[Diferencia]]=0,"OK","RECONTEO"))</f>
        <v/>
      </c>
      <c r="N464" s="39" t="str">
        <f>_xlfn.XLOOKUP(CRUCE[[#This Row],[Ubicacion]],Registros[Ubicacion],Registros[Codigo], "")</f>
        <v/>
      </c>
      <c r="O464" s="25"/>
      <c r="P464" s="25"/>
      <c r="Q464" s="39" t="str">
        <f>IF(CRUCE[[#This Row],[TOTAL2]]="", "PENDIENTE", IF(CRUCE[[#This Row],[DIFERENCIA2]]=0, "CUADRADO", IF(CRUCE[[#This Row],[DIFERENCIA2]]&gt;0, "SOBRANTE", "FALTANTE")))</f>
        <v>PENDIENTE</v>
      </c>
      <c r="R464" s="103" t="s">
        <v>5081</v>
      </c>
      <c r="S464" s="127" t="s">
        <v>5551</v>
      </c>
    </row>
    <row r="465" spans="1:19">
      <c r="A465" s="92" t="s">
        <v>5536</v>
      </c>
      <c r="B465" s="39" t="s">
        <v>3985</v>
      </c>
      <c r="C465" s="39">
        <v>8410147</v>
      </c>
      <c r="D465" s="73">
        <v>17750243065853</v>
      </c>
      <c r="E465" s="39" t="s">
        <v>2498</v>
      </c>
      <c r="F465" s="39">
        <v>29</v>
      </c>
      <c r="G465" s="39" t="s">
        <v>288</v>
      </c>
      <c r="H465" s="39" t="str">
        <f>_xlfn.XLOOKUP(CRUCE[[#This Row],[Ubicacion]],Registros[Ubicacion],Registros[Codigo], "")</f>
        <v/>
      </c>
      <c r="I465" s="26" t="str">
        <f>_xlfn.XLOOKUP(CRUCE[[#This Row],[Ubicacion]],Registros[Ubicacion],Registros[Total], "")</f>
        <v/>
      </c>
      <c r="J465" s="26" t="str">
        <f>_xlfn.XLOOKUP(CRUCE[[#This Row],[Ubicacion]],Registros[Ubicacion],Registros[UMA], "")</f>
        <v/>
      </c>
      <c r="K465" s="26" t="str">
        <f>IF(CRUCE[[#This Row],[TOTAL]]="","",CRUCE[[#This Row],[TOTAL]]-CRUCE[[#This Row],[BULTOS]])</f>
        <v/>
      </c>
      <c r="L465" s="39" t="str">
        <f>IF(CRUCE[[#This Row],[TOTAL]]="", "PENDIENTE", IF(CRUCE[[#This Row],[Diferencia]]=0, "CUADRADO", IF(CRUCE[[#This Row],[Diferencia]]&gt;0, "SOBRANTE", "FALTANTE")))</f>
        <v>PENDIENTE</v>
      </c>
      <c r="M465" s="72" t="str">
        <f>IF(CRUCE[[#This Row],[Diferencia]]="","",IF(CRUCE[[#This Row],[Diferencia]]=0,"OK","RECONTEO"))</f>
        <v/>
      </c>
      <c r="N465" s="39" t="str">
        <f>_xlfn.XLOOKUP(CRUCE[[#This Row],[Ubicacion]],Registros[Ubicacion],Registros[Codigo], "")</f>
        <v/>
      </c>
      <c r="O465" s="26"/>
      <c r="P465" s="26"/>
      <c r="Q465" s="39" t="str">
        <f>IF(CRUCE[[#This Row],[TOTAL2]]="", "PENDIENTE", IF(CRUCE[[#This Row],[DIFERENCIA2]]=0, "CUADRADO", IF(CRUCE[[#This Row],[DIFERENCIA2]]&gt;0, "SOBRANTE", "FALTANTE")))</f>
        <v>PENDIENTE</v>
      </c>
      <c r="R465" s="102" t="s">
        <v>5081</v>
      </c>
      <c r="S465" s="127" t="s">
        <v>5552</v>
      </c>
    </row>
    <row r="466" spans="1:19">
      <c r="A466" s="93" t="s">
        <v>5536</v>
      </c>
      <c r="B466" s="38" t="s">
        <v>4818</v>
      </c>
      <c r="C466" s="25"/>
      <c r="D466" s="34"/>
      <c r="E466" s="25"/>
      <c r="F466" s="25"/>
      <c r="G466" s="25"/>
      <c r="H466" s="39" t="str">
        <f>_xlfn.XLOOKUP(CRUCE[[#This Row],[Ubicacion]],Registros[Ubicacion],Registros[Codigo], "")</f>
        <v/>
      </c>
      <c r="I466" s="25" t="str">
        <f>_xlfn.XLOOKUP(CRUCE[[#This Row],[Ubicacion]],Registros[Ubicacion],Registros[Total], "")</f>
        <v/>
      </c>
      <c r="J466" s="25" t="str">
        <f>_xlfn.XLOOKUP(CRUCE[[#This Row],[Ubicacion]],Registros[Ubicacion],Registros[UMA], "")</f>
        <v/>
      </c>
      <c r="K466" s="25" t="str">
        <f>IF(CRUCE[[#This Row],[TOTAL]]="","",CRUCE[[#This Row],[TOTAL]]-CRUCE[[#This Row],[BULTOS]])</f>
        <v/>
      </c>
      <c r="L466" s="38" t="str">
        <f>IF(CRUCE[[#This Row],[TOTAL]]="", "PENDIENTE", IF(CRUCE[[#This Row],[Diferencia]]=0, "CUADRADO", IF(CRUCE[[#This Row],[Diferencia]]&gt;0, "SOBRANTE", "FALTANTE")))</f>
        <v>PENDIENTE</v>
      </c>
      <c r="M466" s="71" t="str">
        <f>IF(CRUCE[[#This Row],[Diferencia]]="","",IF(CRUCE[[#This Row],[Diferencia]]=0,"OK","RECONTEO"))</f>
        <v/>
      </c>
      <c r="N466" s="39" t="str">
        <f>_xlfn.XLOOKUP(CRUCE[[#This Row],[Ubicacion]],Registros[Ubicacion],Registros[Codigo], "")</f>
        <v/>
      </c>
      <c r="O466" s="25"/>
      <c r="P466" s="25"/>
      <c r="Q466" s="39" t="str">
        <f>IF(CRUCE[[#This Row],[TOTAL2]]="", "PENDIENTE", IF(CRUCE[[#This Row],[DIFERENCIA2]]=0, "CUADRADO", IF(CRUCE[[#This Row],[DIFERENCIA2]]&gt;0, "SOBRANTE", "FALTANTE")))</f>
        <v>PENDIENTE</v>
      </c>
      <c r="R466" s="103" t="s">
        <v>5081</v>
      </c>
      <c r="S466" s="127" t="s">
        <v>5553</v>
      </c>
    </row>
    <row r="467" spans="1:19">
      <c r="A467" s="92" t="s">
        <v>5536</v>
      </c>
      <c r="B467" s="39" t="s">
        <v>4022</v>
      </c>
      <c r="C467" s="39">
        <v>8410223</v>
      </c>
      <c r="D467" s="73">
        <v>17750243087657</v>
      </c>
      <c r="E467" s="39" t="s">
        <v>4023</v>
      </c>
      <c r="F467" s="39">
        <v>10</v>
      </c>
      <c r="G467" s="39" t="s">
        <v>288</v>
      </c>
      <c r="H467" s="39" t="str">
        <f>_xlfn.XLOOKUP(CRUCE[[#This Row],[Ubicacion]],Registros[Ubicacion],Registros[Codigo], "")</f>
        <v/>
      </c>
      <c r="I467" s="26" t="str">
        <f>_xlfn.XLOOKUP(CRUCE[[#This Row],[Ubicacion]],Registros[Ubicacion],Registros[Total], "")</f>
        <v/>
      </c>
      <c r="J467" s="26" t="str">
        <f>_xlfn.XLOOKUP(CRUCE[[#This Row],[Ubicacion]],Registros[Ubicacion],Registros[UMA], "")</f>
        <v/>
      </c>
      <c r="K467" s="26" t="str">
        <f>IF(CRUCE[[#This Row],[TOTAL]]="","",CRUCE[[#This Row],[TOTAL]]-CRUCE[[#This Row],[BULTOS]])</f>
        <v/>
      </c>
      <c r="L467" s="39" t="str">
        <f>IF(CRUCE[[#This Row],[TOTAL]]="", "PENDIENTE", IF(CRUCE[[#This Row],[Diferencia]]=0, "CUADRADO", IF(CRUCE[[#This Row],[Diferencia]]&gt;0, "SOBRANTE", "FALTANTE")))</f>
        <v>PENDIENTE</v>
      </c>
      <c r="M467" s="72" t="str">
        <f>IF(CRUCE[[#This Row],[Diferencia]]="","",IF(CRUCE[[#This Row],[Diferencia]]=0,"OK","RECONTEO"))</f>
        <v/>
      </c>
      <c r="N467" s="39" t="str">
        <f>_xlfn.XLOOKUP(CRUCE[[#This Row],[Ubicacion]],Registros[Ubicacion],Registros[Codigo], "")</f>
        <v/>
      </c>
      <c r="O467" s="26"/>
      <c r="P467" s="26"/>
      <c r="Q467" s="39" t="str">
        <f>IF(CRUCE[[#This Row],[TOTAL2]]="", "PENDIENTE", IF(CRUCE[[#This Row],[DIFERENCIA2]]=0, "CUADRADO", IF(CRUCE[[#This Row],[DIFERENCIA2]]&gt;0, "SOBRANTE", "FALTANTE")))</f>
        <v>PENDIENTE</v>
      </c>
      <c r="R467" s="102" t="s">
        <v>5081</v>
      </c>
      <c r="S467" s="127" t="s">
        <v>5554</v>
      </c>
    </row>
    <row r="468" spans="1:19">
      <c r="A468" s="93" t="s">
        <v>5536</v>
      </c>
      <c r="B468" s="38" t="s">
        <v>4012</v>
      </c>
      <c r="C468" s="38">
        <v>8410219</v>
      </c>
      <c r="D468" s="74">
        <v>7750243083911</v>
      </c>
      <c r="E468" s="38" t="s">
        <v>4013</v>
      </c>
      <c r="F468" s="38">
        <v>29</v>
      </c>
      <c r="G468" s="38" t="s">
        <v>100</v>
      </c>
      <c r="H468" s="39" t="str">
        <f>_xlfn.XLOOKUP(CRUCE[[#This Row],[Ubicacion]],Registros[Ubicacion],Registros[Codigo], "")</f>
        <v/>
      </c>
      <c r="I468" s="25" t="str">
        <f>_xlfn.XLOOKUP(CRUCE[[#This Row],[Ubicacion]],Registros[Ubicacion],Registros[Total], "")</f>
        <v/>
      </c>
      <c r="J468" s="25" t="str">
        <f>_xlfn.XLOOKUP(CRUCE[[#This Row],[Ubicacion]],Registros[Ubicacion],Registros[UMA], "")</f>
        <v/>
      </c>
      <c r="K468" s="25" t="str">
        <f>IF(CRUCE[[#This Row],[TOTAL]]="","",CRUCE[[#This Row],[TOTAL]]-CRUCE[[#This Row],[BULTOS]])</f>
        <v/>
      </c>
      <c r="L468" s="38" t="str">
        <f>IF(CRUCE[[#This Row],[TOTAL]]="", "PENDIENTE", IF(CRUCE[[#This Row],[Diferencia]]=0, "CUADRADO", IF(CRUCE[[#This Row],[Diferencia]]&gt;0, "SOBRANTE", "FALTANTE")))</f>
        <v>PENDIENTE</v>
      </c>
      <c r="M468" s="71" t="str">
        <f>IF(CRUCE[[#This Row],[Diferencia]]="","",IF(CRUCE[[#This Row],[Diferencia]]=0,"OK","RECONTEO"))</f>
        <v/>
      </c>
      <c r="N468" s="39" t="str">
        <f>_xlfn.XLOOKUP(CRUCE[[#This Row],[Ubicacion]],Registros[Ubicacion],Registros[Codigo], "")</f>
        <v/>
      </c>
      <c r="O468" s="25"/>
      <c r="P468" s="25"/>
      <c r="Q468" s="39" t="str">
        <f>IF(CRUCE[[#This Row],[TOTAL2]]="", "PENDIENTE", IF(CRUCE[[#This Row],[DIFERENCIA2]]=0, "CUADRADO", IF(CRUCE[[#This Row],[DIFERENCIA2]]&gt;0, "SOBRANTE", "FALTANTE")))</f>
        <v>PENDIENTE</v>
      </c>
      <c r="R468" s="103" t="s">
        <v>5081</v>
      </c>
      <c r="S468" s="127" t="s">
        <v>5555</v>
      </c>
    </row>
    <row r="469" spans="1:19">
      <c r="A469" s="92" t="s">
        <v>5536</v>
      </c>
      <c r="B469" s="39" t="s">
        <v>3796</v>
      </c>
      <c r="C469" s="39">
        <v>8400637</v>
      </c>
      <c r="D469" s="73">
        <v>7750243078986</v>
      </c>
      <c r="E469" s="39" t="s">
        <v>3797</v>
      </c>
      <c r="F469" s="39">
        <v>17</v>
      </c>
      <c r="G469" s="39" t="s">
        <v>100</v>
      </c>
      <c r="H469" s="39" t="str">
        <f>_xlfn.XLOOKUP(CRUCE[[#This Row],[Ubicacion]],Registros[Ubicacion],Registros[Codigo], "")</f>
        <v/>
      </c>
      <c r="I469" s="26" t="str">
        <f>_xlfn.XLOOKUP(CRUCE[[#This Row],[Ubicacion]],Registros[Ubicacion],Registros[Total], "")</f>
        <v/>
      </c>
      <c r="J469" s="26" t="str">
        <f>_xlfn.XLOOKUP(CRUCE[[#This Row],[Ubicacion]],Registros[Ubicacion],Registros[UMA], "")</f>
        <v/>
      </c>
      <c r="K469" s="26" t="str">
        <f>IF(CRUCE[[#This Row],[TOTAL]]="","",CRUCE[[#This Row],[TOTAL]]-CRUCE[[#This Row],[BULTOS]])</f>
        <v/>
      </c>
      <c r="L469" s="39" t="str">
        <f>IF(CRUCE[[#This Row],[TOTAL]]="", "PENDIENTE", IF(CRUCE[[#This Row],[Diferencia]]=0, "CUADRADO", IF(CRUCE[[#This Row],[Diferencia]]&gt;0, "SOBRANTE", "FALTANTE")))</f>
        <v>PENDIENTE</v>
      </c>
      <c r="M469" s="72" t="str">
        <f>IF(CRUCE[[#This Row],[Diferencia]]="","",IF(CRUCE[[#This Row],[Diferencia]]=0,"OK","RECONTEO"))</f>
        <v/>
      </c>
      <c r="N469" s="39" t="str">
        <f>_xlfn.XLOOKUP(CRUCE[[#This Row],[Ubicacion]],Registros[Ubicacion],Registros[Codigo], "")</f>
        <v/>
      </c>
      <c r="O469" s="26"/>
      <c r="P469" s="26"/>
      <c r="Q469" s="39" t="str">
        <f>IF(CRUCE[[#This Row],[TOTAL2]]="", "PENDIENTE", IF(CRUCE[[#This Row],[DIFERENCIA2]]=0, "CUADRADO", IF(CRUCE[[#This Row],[DIFERENCIA2]]&gt;0, "SOBRANTE", "FALTANTE")))</f>
        <v>PENDIENTE</v>
      </c>
      <c r="R469" s="102" t="s">
        <v>5081</v>
      </c>
      <c r="S469" s="127" t="s">
        <v>5556</v>
      </c>
    </row>
    <row r="470" spans="1:19">
      <c r="A470" s="93" t="s">
        <v>5536</v>
      </c>
      <c r="B470" s="38" t="s">
        <v>3799</v>
      </c>
      <c r="C470" s="38">
        <v>8400637</v>
      </c>
      <c r="D470" s="74">
        <v>7750243078986</v>
      </c>
      <c r="E470" s="38" t="s">
        <v>3797</v>
      </c>
      <c r="F470" s="38">
        <v>17</v>
      </c>
      <c r="G470" s="38" t="s">
        <v>100</v>
      </c>
      <c r="H470" s="39" t="str">
        <f>_xlfn.XLOOKUP(CRUCE[[#This Row],[Ubicacion]],Registros[Ubicacion],Registros[Codigo], "")</f>
        <v/>
      </c>
      <c r="I470" s="25" t="str">
        <f>_xlfn.XLOOKUP(CRUCE[[#This Row],[Ubicacion]],Registros[Ubicacion],Registros[Total], "")</f>
        <v/>
      </c>
      <c r="J470" s="25" t="str">
        <f>_xlfn.XLOOKUP(CRUCE[[#This Row],[Ubicacion]],Registros[Ubicacion],Registros[UMA], "")</f>
        <v/>
      </c>
      <c r="K470" s="25" t="str">
        <f>IF(CRUCE[[#This Row],[TOTAL]]="","",CRUCE[[#This Row],[TOTAL]]-CRUCE[[#This Row],[BULTOS]])</f>
        <v/>
      </c>
      <c r="L470" s="38" t="str">
        <f>IF(CRUCE[[#This Row],[TOTAL]]="", "PENDIENTE", IF(CRUCE[[#This Row],[Diferencia]]=0, "CUADRADO", IF(CRUCE[[#This Row],[Diferencia]]&gt;0, "SOBRANTE", "FALTANTE")))</f>
        <v>PENDIENTE</v>
      </c>
      <c r="M470" s="71" t="str">
        <f>IF(CRUCE[[#This Row],[Diferencia]]="","",IF(CRUCE[[#This Row],[Diferencia]]=0,"OK","RECONTEO"))</f>
        <v/>
      </c>
      <c r="N470" s="39" t="str">
        <f>_xlfn.XLOOKUP(CRUCE[[#This Row],[Ubicacion]],Registros[Ubicacion],Registros[Codigo], "")</f>
        <v/>
      </c>
      <c r="O470" s="25"/>
      <c r="P470" s="25"/>
      <c r="Q470" s="39" t="str">
        <f>IF(CRUCE[[#This Row],[TOTAL2]]="", "PENDIENTE", IF(CRUCE[[#This Row],[DIFERENCIA2]]=0, "CUADRADO", IF(CRUCE[[#This Row],[DIFERENCIA2]]&gt;0, "SOBRANTE", "FALTANTE")))</f>
        <v>PENDIENTE</v>
      </c>
      <c r="R470" s="103" t="s">
        <v>5081</v>
      </c>
      <c r="S470" s="127" t="s">
        <v>5557</v>
      </c>
    </row>
    <row r="471" spans="1:19">
      <c r="A471" s="92" t="s">
        <v>5536</v>
      </c>
      <c r="B471" s="39" t="s">
        <v>3921</v>
      </c>
      <c r="C471" s="39">
        <v>8406134</v>
      </c>
      <c r="D471" s="73">
        <v>7750243080576</v>
      </c>
      <c r="E471" s="39" t="s">
        <v>2246</v>
      </c>
      <c r="F471" s="39">
        <v>24</v>
      </c>
      <c r="G471" s="39" t="s">
        <v>100</v>
      </c>
      <c r="H471" s="39" t="str">
        <f>_xlfn.XLOOKUP(CRUCE[[#This Row],[Ubicacion]],Registros[Ubicacion],Registros[Codigo], "")</f>
        <v/>
      </c>
      <c r="I471" s="26" t="str">
        <f>_xlfn.XLOOKUP(CRUCE[[#This Row],[Ubicacion]],Registros[Ubicacion],Registros[Total], "")</f>
        <v/>
      </c>
      <c r="J471" s="26" t="str">
        <f>_xlfn.XLOOKUP(CRUCE[[#This Row],[Ubicacion]],Registros[Ubicacion],Registros[UMA], "")</f>
        <v/>
      </c>
      <c r="K471" s="26" t="str">
        <f>IF(CRUCE[[#This Row],[TOTAL]]="","",CRUCE[[#This Row],[TOTAL]]-CRUCE[[#This Row],[BULTOS]])</f>
        <v/>
      </c>
      <c r="L471" s="39" t="str">
        <f>IF(CRUCE[[#This Row],[TOTAL]]="", "PENDIENTE", IF(CRUCE[[#This Row],[Diferencia]]=0, "CUADRADO", IF(CRUCE[[#This Row],[Diferencia]]&gt;0, "SOBRANTE", "FALTANTE")))</f>
        <v>PENDIENTE</v>
      </c>
      <c r="M471" s="72" t="str">
        <f>IF(CRUCE[[#This Row],[Diferencia]]="","",IF(CRUCE[[#This Row],[Diferencia]]=0,"OK","RECONTEO"))</f>
        <v/>
      </c>
      <c r="N471" s="39" t="str">
        <f>_xlfn.XLOOKUP(CRUCE[[#This Row],[Ubicacion]],Registros[Ubicacion],Registros[Codigo], "")</f>
        <v/>
      </c>
      <c r="O471" s="26"/>
      <c r="P471" s="26"/>
      <c r="Q471" s="39" t="str">
        <f>IF(CRUCE[[#This Row],[TOTAL2]]="", "PENDIENTE", IF(CRUCE[[#This Row],[DIFERENCIA2]]=0, "CUADRADO", IF(CRUCE[[#This Row],[DIFERENCIA2]]&gt;0, "SOBRANTE", "FALTANTE")))</f>
        <v>PENDIENTE</v>
      </c>
      <c r="R471" s="102" t="s">
        <v>5081</v>
      </c>
      <c r="S471" s="127" t="s">
        <v>5558</v>
      </c>
    </row>
    <row r="472" spans="1:19">
      <c r="A472" s="93" t="s">
        <v>5536</v>
      </c>
      <c r="B472" s="38" t="s">
        <v>4085</v>
      </c>
      <c r="C472" s="38">
        <v>8414038</v>
      </c>
      <c r="D472" s="74">
        <v>17750243079386</v>
      </c>
      <c r="E472" s="38" t="s">
        <v>2698</v>
      </c>
      <c r="F472" s="38">
        <v>12</v>
      </c>
      <c r="G472" s="38" t="s">
        <v>288</v>
      </c>
      <c r="H472" s="39" t="str">
        <f>_xlfn.XLOOKUP(CRUCE[[#This Row],[Ubicacion]],Registros[Ubicacion],Registros[Codigo], "")</f>
        <v/>
      </c>
      <c r="I472" s="25" t="str">
        <f>_xlfn.XLOOKUP(CRUCE[[#This Row],[Ubicacion]],Registros[Ubicacion],Registros[Total], "")</f>
        <v/>
      </c>
      <c r="J472" s="25" t="str">
        <f>_xlfn.XLOOKUP(CRUCE[[#This Row],[Ubicacion]],Registros[Ubicacion],Registros[UMA], "")</f>
        <v/>
      </c>
      <c r="K472" s="25" t="str">
        <f>IF(CRUCE[[#This Row],[TOTAL]]="","",CRUCE[[#This Row],[TOTAL]]-CRUCE[[#This Row],[BULTOS]])</f>
        <v/>
      </c>
      <c r="L472" s="38" t="str">
        <f>IF(CRUCE[[#This Row],[TOTAL]]="", "PENDIENTE", IF(CRUCE[[#This Row],[Diferencia]]=0, "CUADRADO", IF(CRUCE[[#This Row],[Diferencia]]&gt;0, "SOBRANTE", "FALTANTE")))</f>
        <v>PENDIENTE</v>
      </c>
      <c r="M472" s="71" t="str">
        <f>IF(CRUCE[[#This Row],[Diferencia]]="","",IF(CRUCE[[#This Row],[Diferencia]]=0,"OK","RECONTEO"))</f>
        <v/>
      </c>
      <c r="N472" s="39" t="str">
        <f>_xlfn.XLOOKUP(CRUCE[[#This Row],[Ubicacion]],Registros[Ubicacion],Registros[Codigo], "")</f>
        <v/>
      </c>
      <c r="O472" s="25"/>
      <c r="P472" s="25"/>
      <c r="Q472" s="39" t="str">
        <f>IF(CRUCE[[#This Row],[TOTAL2]]="", "PENDIENTE", IF(CRUCE[[#This Row],[DIFERENCIA2]]=0, "CUADRADO", IF(CRUCE[[#This Row],[DIFERENCIA2]]&gt;0, "SOBRANTE", "FALTANTE")))</f>
        <v>PENDIENTE</v>
      </c>
      <c r="R472" s="103" t="s">
        <v>5081</v>
      </c>
      <c r="S472" s="127" t="s">
        <v>5559</v>
      </c>
    </row>
    <row r="473" spans="1:19">
      <c r="A473" s="92" t="s">
        <v>5536</v>
      </c>
      <c r="B473" s="39" t="s">
        <v>4025</v>
      </c>
      <c r="C473" s="39">
        <v>8412039</v>
      </c>
      <c r="D473" s="73">
        <v>17750243079690</v>
      </c>
      <c r="E473" s="39" t="s">
        <v>2590</v>
      </c>
      <c r="F473" s="39">
        <v>54</v>
      </c>
      <c r="G473" s="39" t="s">
        <v>288</v>
      </c>
      <c r="H473" s="39" t="str">
        <f>_xlfn.XLOOKUP(CRUCE[[#This Row],[Ubicacion]],Registros[Ubicacion],Registros[Codigo], "")</f>
        <v/>
      </c>
      <c r="I473" s="26" t="str">
        <f>_xlfn.XLOOKUP(CRUCE[[#This Row],[Ubicacion]],Registros[Ubicacion],Registros[Total], "")</f>
        <v/>
      </c>
      <c r="J473" s="26" t="str">
        <f>_xlfn.XLOOKUP(CRUCE[[#This Row],[Ubicacion]],Registros[Ubicacion],Registros[UMA], "")</f>
        <v/>
      </c>
      <c r="K473" s="26" t="str">
        <f>IF(CRUCE[[#This Row],[TOTAL]]="","",CRUCE[[#This Row],[TOTAL]]-CRUCE[[#This Row],[BULTOS]])</f>
        <v/>
      </c>
      <c r="L473" s="39" t="str">
        <f>IF(CRUCE[[#This Row],[TOTAL]]="", "PENDIENTE", IF(CRUCE[[#This Row],[Diferencia]]=0, "CUADRADO", IF(CRUCE[[#This Row],[Diferencia]]&gt;0, "SOBRANTE", "FALTANTE")))</f>
        <v>PENDIENTE</v>
      </c>
      <c r="M473" s="72" t="str">
        <f>IF(CRUCE[[#This Row],[Diferencia]]="","",IF(CRUCE[[#This Row],[Diferencia]]=0,"OK","RECONTEO"))</f>
        <v/>
      </c>
      <c r="N473" s="39" t="str">
        <f>_xlfn.XLOOKUP(CRUCE[[#This Row],[Ubicacion]],Registros[Ubicacion],Registros[Codigo], "")</f>
        <v/>
      </c>
      <c r="O473" s="26"/>
      <c r="P473" s="26"/>
      <c r="Q473" s="39" t="str">
        <f>IF(CRUCE[[#This Row],[TOTAL2]]="", "PENDIENTE", IF(CRUCE[[#This Row],[DIFERENCIA2]]=0, "CUADRADO", IF(CRUCE[[#This Row],[DIFERENCIA2]]&gt;0, "SOBRANTE", "FALTANTE")))</f>
        <v>PENDIENTE</v>
      </c>
      <c r="R473" s="102" t="s">
        <v>5081</v>
      </c>
      <c r="S473" s="127" t="s">
        <v>5560</v>
      </c>
    </row>
    <row r="474" spans="1:19">
      <c r="A474" s="93" t="s">
        <v>5536</v>
      </c>
      <c r="B474" s="38" t="s">
        <v>4027</v>
      </c>
      <c r="C474" s="38">
        <v>8412039</v>
      </c>
      <c r="D474" s="74">
        <v>17750243079690</v>
      </c>
      <c r="E474" s="38" t="s">
        <v>2590</v>
      </c>
      <c r="F474" s="38">
        <v>54</v>
      </c>
      <c r="G474" s="38" t="s">
        <v>288</v>
      </c>
      <c r="H474" s="39" t="str">
        <f>_xlfn.XLOOKUP(CRUCE[[#This Row],[Ubicacion]],Registros[Ubicacion],Registros[Codigo], "")</f>
        <v/>
      </c>
      <c r="I474" s="25" t="str">
        <f>_xlfn.XLOOKUP(CRUCE[[#This Row],[Ubicacion]],Registros[Ubicacion],Registros[Total], "")</f>
        <v/>
      </c>
      <c r="J474" s="25" t="str">
        <f>_xlfn.XLOOKUP(CRUCE[[#This Row],[Ubicacion]],Registros[Ubicacion],Registros[UMA], "")</f>
        <v/>
      </c>
      <c r="K474" s="25" t="str">
        <f>IF(CRUCE[[#This Row],[TOTAL]]="","",CRUCE[[#This Row],[TOTAL]]-CRUCE[[#This Row],[BULTOS]])</f>
        <v/>
      </c>
      <c r="L474" s="38" t="str">
        <f>IF(CRUCE[[#This Row],[TOTAL]]="", "PENDIENTE", IF(CRUCE[[#This Row],[Diferencia]]=0, "CUADRADO", IF(CRUCE[[#This Row],[Diferencia]]&gt;0, "SOBRANTE", "FALTANTE")))</f>
        <v>PENDIENTE</v>
      </c>
      <c r="M474" s="71" t="str">
        <f>IF(CRUCE[[#This Row],[Diferencia]]="","",IF(CRUCE[[#This Row],[Diferencia]]=0,"OK","RECONTEO"))</f>
        <v/>
      </c>
      <c r="N474" s="39" t="str">
        <f>_xlfn.XLOOKUP(CRUCE[[#This Row],[Ubicacion]],Registros[Ubicacion],Registros[Codigo], "")</f>
        <v/>
      </c>
      <c r="O474" s="25"/>
      <c r="P474" s="25"/>
      <c r="Q474" s="39" t="str">
        <f>IF(CRUCE[[#This Row],[TOTAL2]]="", "PENDIENTE", IF(CRUCE[[#This Row],[DIFERENCIA2]]=0, "CUADRADO", IF(CRUCE[[#This Row],[DIFERENCIA2]]&gt;0, "SOBRANTE", "FALTANTE")))</f>
        <v>PENDIENTE</v>
      </c>
      <c r="R474" s="103" t="s">
        <v>5081</v>
      </c>
      <c r="S474" s="127" t="s">
        <v>5561</v>
      </c>
    </row>
    <row r="475" spans="1:19">
      <c r="A475" s="92" t="s">
        <v>5536</v>
      </c>
      <c r="B475" s="39" t="s">
        <v>4032</v>
      </c>
      <c r="C475" s="39">
        <v>8412041</v>
      </c>
      <c r="D475" s="73">
        <v>17750243079713</v>
      </c>
      <c r="E475" s="39" t="s">
        <v>4033</v>
      </c>
      <c r="F475" s="39">
        <v>49</v>
      </c>
      <c r="G475" s="39" t="s">
        <v>288</v>
      </c>
      <c r="H475" s="39" t="str">
        <f>_xlfn.XLOOKUP(CRUCE[[#This Row],[Ubicacion]],Registros[Ubicacion],Registros[Codigo], "")</f>
        <v/>
      </c>
      <c r="I475" s="26" t="str">
        <f>_xlfn.XLOOKUP(CRUCE[[#This Row],[Ubicacion]],Registros[Ubicacion],Registros[Total], "")</f>
        <v/>
      </c>
      <c r="J475" s="26" t="str">
        <f>_xlfn.XLOOKUP(CRUCE[[#This Row],[Ubicacion]],Registros[Ubicacion],Registros[UMA], "")</f>
        <v/>
      </c>
      <c r="K475" s="26" t="str">
        <f>IF(CRUCE[[#This Row],[TOTAL]]="","",CRUCE[[#This Row],[TOTAL]]-CRUCE[[#This Row],[BULTOS]])</f>
        <v/>
      </c>
      <c r="L475" s="39" t="str">
        <f>IF(CRUCE[[#This Row],[TOTAL]]="", "PENDIENTE", IF(CRUCE[[#This Row],[Diferencia]]=0, "CUADRADO", IF(CRUCE[[#This Row],[Diferencia]]&gt;0, "SOBRANTE", "FALTANTE")))</f>
        <v>PENDIENTE</v>
      </c>
      <c r="M475" s="72" t="str">
        <f>IF(CRUCE[[#This Row],[Diferencia]]="","",IF(CRUCE[[#This Row],[Diferencia]]=0,"OK","RECONTEO"))</f>
        <v/>
      </c>
      <c r="N475" s="39" t="str">
        <f>_xlfn.XLOOKUP(CRUCE[[#This Row],[Ubicacion]],Registros[Ubicacion],Registros[Codigo], "")</f>
        <v/>
      </c>
      <c r="O475" s="26"/>
      <c r="P475" s="26"/>
      <c r="Q475" s="39" t="str">
        <f>IF(CRUCE[[#This Row],[TOTAL2]]="", "PENDIENTE", IF(CRUCE[[#This Row],[DIFERENCIA2]]=0, "CUADRADO", IF(CRUCE[[#This Row],[DIFERENCIA2]]&gt;0, "SOBRANTE", "FALTANTE")))</f>
        <v>PENDIENTE</v>
      </c>
      <c r="R475" s="102" t="s">
        <v>5081</v>
      </c>
      <c r="S475" s="127" t="s">
        <v>5562</v>
      </c>
    </row>
    <row r="476" spans="1:19">
      <c r="A476" s="93" t="s">
        <v>5536</v>
      </c>
      <c r="B476" s="38" t="s">
        <v>4036</v>
      </c>
      <c r="C476" s="38">
        <v>8412041</v>
      </c>
      <c r="D476" s="74">
        <v>17750243079713</v>
      </c>
      <c r="E476" s="38" t="s">
        <v>4033</v>
      </c>
      <c r="F476" s="38">
        <v>49</v>
      </c>
      <c r="G476" s="38" t="s">
        <v>288</v>
      </c>
      <c r="H476" s="39" t="str">
        <f>_xlfn.XLOOKUP(CRUCE[[#This Row],[Ubicacion]],Registros[Ubicacion],Registros[Codigo], "")</f>
        <v/>
      </c>
      <c r="I476" s="25" t="str">
        <f>_xlfn.XLOOKUP(CRUCE[[#This Row],[Ubicacion]],Registros[Ubicacion],Registros[Total], "")</f>
        <v/>
      </c>
      <c r="J476" s="25" t="str">
        <f>_xlfn.XLOOKUP(CRUCE[[#This Row],[Ubicacion]],Registros[Ubicacion],Registros[UMA], "")</f>
        <v/>
      </c>
      <c r="K476" s="25" t="str">
        <f>IF(CRUCE[[#This Row],[TOTAL]]="","",CRUCE[[#This Row],[TOTAL]]-CRUCE[[#This Row],[BULTOS]])</f>
        <v/>
      </c>
      <c r="L476" s="38" t="str">
        <f>IF(CRUCE[[#This Row],[TOTAL]]="", "PENDIENTE", IF(CRUCE[[#This Row],[Diferencia]]=0, "CUADRADO", IF(CRUCE[[#This Row],[Diferencia]]&gt;0, "SOBRANTE", "FALTANTE")))</f>
        <v>PENDIENTE</v>
      </c>
      <c r="M476" s="71" t="str">
        <f>IF(CRUCE[[#This Row],[Diferencia]]="","",IF(CRUCE[[#This Row],[Diferencia]]=0,"OK","RECONTEO"))</f>
        <v/>
      </c>
      <c r="N476" s="39" t="str">
        <f>_xlfn.XLOOKUP(CRUCE[[#This Row],[Ubicacion]],Registros[Ubicacion],Registros[Codigo], "")</f>
        <v/>
      </c>
      <c r="O476" s="25"/>
      <c r="P476" s="25"/>
      <c r="Q476" s="39" t="str">
        <f>IF(CRUCE[[#This Row],[TOTAL2]]="", "PENDIENTE", IF(CRUCE[[#This Row],[DIFERENCIA2]]=0, "CUADRADO", IF(CRUCE[[#This Row],[DIFERENCIA2]]&gt;0, "SOBRANTE", "FALTANTE")))</f>
        <v>PENDIENTE</v>
      </c>
      <c r="R476" s="103" t="s">
        <v>5081</v>
      </c>
      <c r="S476" s="127" t="s">
        <v>5563</v>
      </c>
    </row>
    <row r="477" spans="1:19">
      <c r="A477" s="92" t="s">
        <v>5536</v>
      </c>
      <c r="B477" s="39" t="s">
        <v>4029</v>
      </c>
      <c r="C477" s="39">
        <v>8412040</v>
      </c>
      <c r="D477" s="73">
        <v>17750243079706</v>
      </c>
      <c r="E477" s="39" t="s">
        <v>4030</v>
      </c>
      <c r="F477" s="39">
        <v>47</v>
      </c>
      <c r="G477" s="39" t="s">
        <v>288</v>
      </c>
      <c r="H477" s="39" t="str">
        <f>_xlfn.XLOOKUP(CRUCE[[#This Row],[Ubicacion]],Registros[Ubicacion],Registros[Codigo], "")</f>
        <v/>
      </c>
      <c r="I477" s="26" t="str">
        <f>_xlfn.XLOOKUP(CRUCE[[#This Row],[Ubicacion]],Registros[Ubicacion],Registros[Total], "")</f>
        <v/>
      </c>
      <c r="J477" s="26" t="str">
        <f>_xlfn.XLOOKUP(CRUCE[[#This Row],[Ubicacion]],Registros[Ubicacion],Registros[UMA], "")</f>
        <v/>
      </c>
      <c r="K477" s="26" t="str">
        <f>IF(CRUCE[[#This Row],[TOTAL]]="","",CRUCE[[#This Row],[TOTAL]]-CRUCE[[#This Row],[BULTOS]])</f>
        <v/>
      </c>
      <c r="L477" s="39" t="str">
        <f>IF(CRUCE[[#This Row],[TOTAL]]="", "PENDIENTE", IF(CRUCE[[#This Row],[Diferencia]]=0, "CUADRADO", IF(CRUCE[[#This Row],[Diferencia]]&gt;0, "SOBRANTE", "FALTANTE")))</f>
        <v>PENDIENTE</v>
      </c>
      <c r="M477" s="72" t="str">
        <f>IF(CRUCE[[#This Row],[Diferencia]]="","",IF(CRUCE[[#This Row],[Diferencia]]=0,"OK","RECONTEO"))</f>
        <v/>
      </c>
      <c r="N477" s="39" t="str">
        <f>_xlfn.XLOOKUP(CRUCE[[#This Row],[Ubicacion]],Registros[Ubicacion],Registros[Codigo], "")</f>
        <v/>
      </c>
      <c r="O477" s="26"/>
      <c r="P477" s="26"/>
      <c r="Q477" s="39" t="str">
        <f>IF(CRUCE[[#This Row],[TOTAL2]]="", "PENDIENTE", IF(CRUCE[[#This Row],[DIFERENCIA2]]=0, "CUADRADO", IF(CRUCE[[#This Row],[DIFERENCIA2]]&gt;0, "SOBRANTE", "FALTANTE")))</f>
        <v>PENDIENTE</v>
      </c>
      <c r="R477" s="102" t="s">
        <v>5081</v>
      </c>
      <c r="S477" s="127" t="s">
        <v>5564</v>
      </c>
    </row>
    <row r="478" spans="1:19">
      <c r="A478" s="93" t="s">
        <v>5536</v>
      </c>
      <c r="B478" s="38" t="s">
        <v>3995</v>
      </c>
      <c r="C478" s="38">
        <v>8410211</v>
      </c>
      <c r="D478" s="74">
        <v>17750243082133</v>
      </c>
      <c r="E478" s="38" t="s">
        <v>2546</v>
      </c>
      <c r="F478" s="38">
        <v>25</v>
      </c>
      <c r="G478" s="38" t="s">
        <v>288</v>
      </c>
      <c r="H478" s="39" t="str">
        <f>_xlfn.XLOOKUP(CRUCE[[#This Row],[Ubicacion]],Registros[Ubicacion],Registros[Codigo], "")</f>
        <v/>
      </c>
      <c r="I478" s="25" t="str">
        <f>_xlfn.XLOOKUP(CRUCE[[#This Row],[Ubicacion]],Registros[Ubicacion],Registros[Total], "")</f>
        <v/>
      </c>
      <c r="J478" s="25" t="str">
        <f>_xlfn.XLOOKUP(CRUCE[[#This Row],[Ubicacion]],Registros[Ubicacion],Registros[UMA], "")</f>
        <v/>
      </c>
      <c r="K478" s="25" t="str">
        <f>IF(CRUCE[[#This Row],[TOTAL]]="","",CRUCE[[#This Row],[TOTAL]]-CRUCE[[#This Row],[BULTOS]])</f>
        <v/>
      </c>
      <c r="L478" s="38" t="str">
        <f>IF(CRUCE[[#This Row],[TOTAL]]="", "PENDIENTE", IF(CRUCE[[#This Row],[Diferencia]]=0, "CUADRADO", IF(CRUCE[[#This Row],[Diferencia]]&gt;0, "SOBRANTE", "FALTANTE")))</f>
        <v>PENDIENTE</v>
      </c>
      <c r="M478" s="71" t="str">
        <f>IF(CRUCE[[#This Row],[Diferencia]]="","",IF(CRUCE[[#This Row],[Diferencia]]=0,"OK","RECONTEO"))</f>
        <v/>
      </c>
      <c r="N478" s="39" t="str">
        <f>_xlfn.XLOOKUP(CRUCE[[#This Row],[Ubicacion]],Registros[Ubicacion],Registros[Codigo], "")</f>
        <v/>
      </c>
      <c r="O478" s="25"/>
      <c r="P478" s="25"/>
      <c r="Q478" s="39" t="str">
        <f>IF(CRUCE[[#This Row],[TOTAL2]]="", "PENDIENTE", IF(CRUCE[[#This Row],[DIFERENCIA2]]=0, "CUADRADO", IF(CRUCE[[#This Row],[DIFERENCIA2]]&gt;0, "SOBRANTE", "FALTANTE")))</f>
        <v>PENDIENTE</v>
      </c>
      <c r="R478" s="103" t="s">
        <v>5081</v>
      </c>
      <c r="S478" s="127" t="s">
        <v>5565</v>
      </c>
    </row>
    <row r="479" spans="1:19">
      <c r="A479" s="92" t="s">
        <v>5536</v>
      </c>
      <c r="B479" s="39" t="s">
        <v>3997</v>
      </c>
      <c r="C479" s="39">
        <v>8410211</v>
      </c>
      <c r="D479" s="73">
        <v>17750243082133</v>
      </c>
      <c r="E479" s="39" t="s">
        <v>2546</v>
      </c>
      <c r="F479" s="39">
        <v>25</v>
      </c>
      <c r="G479" s="39" t="s">
        <v>288</v>
      </c>
      <c r="H479" s="39" t="str">
        <f>_xlfn.XLOOKUP(CRUCE[[#This Row],[Ubicacion]],Registros[Ubicacion],Registros[Codigo], "")</f>
        <v/>
      </c>
      <c r="I479" s="26" t="str">
        <f>_xlfn.XLOOKUP(CRUCE[[#This Row],[Ubicacion]],Registros[Ubicacion],Registros[Total], "")</f>
        <v/>
      </c>
      <c r="J479" s="26" t="str">
        <f>_xlfn.XLOOKUP(CRUCE[[#This Row],[Ubicacion]],Registros[Ubicacion],Registros[UMA], "")</f>
        <v/>
      </c>
      <c r="K479" s="26" t="str">
        <f>IF(CRUCE[[#This Row],[TOTAL]]="","",CRUCE[[#This Row],[TOTAL]]-CRUCE[[#This Row],[BULTOS]])</f>
        <v/>
      </c>
      <c r="L479" s="39" t="str">
        <f>IF(CRUCE[[#This Row],[TOTAL]]="", "PENDIENTE", IF(CRUCE[[#This Row],[Diferencia]]=0, "CUADRADO", IF(CRUCE[[#This Row],[Diferencia]]&gt;0, "SOBRANTE", "FALTANTE")))</f>
        <v>PENDIENTE</v>
      </c>
      <c r="M479" s="72" t="str">
        <f>IF(CRUCE[[#This Row],[Diferencia]]="","",IF(CRUCE[[#This Row],[Diferencia]]=0,"OK","RECONTEO"))</f>
        <v/>
      </c>
      <c r="N479" s="39" t="str">
        <f>_xlfn.XLOOKUP(CRUCE[[#This Row],[Ubicacion]],Registros[Ubicacion],Registros[Codigo], "")</f>
        <v/>
      </c>
      <c r="O479" s="26"/>
      <c r="P479" s="26"/>
      <c r="Q479" s="39" t="str">
        <f>IF(CRUCE[[#This Row],[TOTAL2]]="", "PENDIENTE", IF(CRUCE[[#This Row],[DIFERENCIA2]]=0, "CUADRADO", IF(CRUCE[[#This Row],[DIFERENCIA2]]&gt;0, "SOBRANTE", "FALTANTE")))</f>
        <v>PENDIENTE</v>
      </c>
      <c r="R479" s="102" t="s">
        <v>5081</v>
      </c>
      <c r="S479" s="127" t="s">
        <v>5566</v>
      </c>
    </row>
    <row r="480" spans="1:19">
      <c r="A480" s="93" t="s">
        <v>5536</v>
      </c>
      <c r="B480" s="38" t="s">
        <v>4001</v>
      </c>
      <c r="C480" s="38">
        <v>8410213</v>
      </c>
      <c r="D480" s="74">
        <v>17750243082157</v>
      </c>
      <c r="E480" s="38" t="s">
        <v>2550</v>
      </c>
      <c r="F480" s="38">
        <v>40</v>
      </c>
      <c r="G480" s="38" t="s">
        <v>288</v>
      </c>
      <c r="H480" s="39" t="str">
        <f>_xlfn.XLOOKUP(CRUCE[[#This Row],[Ubicacion]],Registros[Ubicacion],Registros[Codigo], "")</f>
        <v/>
      </c>
      <c r="I480" s="25" t="str">
        <f>_xlfn.XLOOKUP(CRUCE[[#This Row],[Ubicacion]],Registros[Ubicacion],Registros[Total], "")</f>
        <v/>
      </c>
      <c r="J480" s="25" t="str">
        <f>_xlfn.XLOOKUP(CRUCE[[#This Row],[Ubicacion]],Registros[Ubicacion],Registros[UMA], "")</f>
        <v/>
      </c>
      <c r="K480" s="25" t="str">
        <f>IF(CRUCE[[#This Row],[TOTAL]]="","",CRUCE[[#This Row],[TOTAL]]-CRUCE[[#This Row],[BULTOS]])</f>
        <v/>
      </c>
      <c r="L480" s="38" t="str">
        <f>IF(CRUCE[[#This Row],[TOTAL]]="", "PENDIENTE", IF(CRUCE[[#This Row],[Diferencia]]=0, "CUADRADO", IF(CRUCE[[#This Row],[Diferencia]]&gt;0, "SOBRANTE", "FALTANTE")))</f>
        <v>PENDIENTE</v>
      </c>
      <c r="M480" s="71" t="str">
        <f>IF(CRUCE[[#This Row],[Diferencia]]="","",IF(CRUCE[[#This Row],[Diferencia]]=0,"OK","RECONTEO"))</f>
        <v/>
      </c>
      <c r="N480" s="39" t="str">
        <f>_xlfn.XLOOKUP(CRUCE[[#This Row],[Ubicacion]],Registros[Ubicacion],Registros[Codigo], "")</f>
        <v/>
      </c>
      <c r="O480" s="25"/>
      <c r="P480" s="25"/>
      <c r="Q480" s="39" t="str">
        <f>IF(CRUCE[[#This Row],[TOTAL2]]="", "PENDIENTE", IF(CRUCE[[#This Row],[DIFERENCIA2]]=0, "CUADRADO", IF(CRUCE[[#This Row],[DIFERENCIA2]]&gt;0, "SOBRANTE", "FALTANTE")))</f>
        <v>PENDIENTE</v>
      </c>
      <c r="R480" s="103" t="s">
        <v>5081</v>
      </c>
      <c r="S480" s="127" t="s">
        <v>5567</v>
      </c>
    </row>
    <row r="481" spans="1:19">
      <c r="A481" s="92" t="s">
        <v>5536</v>
      </c>
      <c r="B481" s="39" t="s">
        <v>4003</v>
      </c>
      <c r="C481" s="39">
        <v>8410213</v>
      </c>
      <c r="D481" s="73">
        <v>17750243082157</v>
      </c>
      <c r="E481" s="39" t="s">
        <v>2550</v>
      </c>
      <c r="F481" s="39">
        <v>40</v>
      </c>
      <c r="G481" s="39" t="s">
        <v>288</v>
      </c>
      <c r="H481" s="39" t="str">
        <f>_xlfn.XLOOKUP(CRUCE[[#This Row],[Ubicacion]],Registros[Ubicacion],Registros[Codigo], "")</f>
        <v/>
      </c>
      <c r="I481" s="26" t="str">
        <f>_xlfn.XLOOKUP(CRUCE[[#This Row],[Ubicacion]],Registros[Ubicacion],Registros[Total], "")</f>
        <v/>
      </c>
      <c r="J481" s="26" t="str">
        <f>_xlfn.XLOOKUP(CRUCE[[#This Row],[Ubicacion]],Registros[Ubicacion],Registros[UMA], "")</f>
        <v/>
      </c>
      <c r="K481" s="26" t="str">
        <f>IF(CRUCE[[#This Row],[TOTAL]]="","",CRUCE[[#This Row],[TOTAL]]-CRUCE[[#This Row],[BULTOS]])</f>
        <v/>
      </c>
      <c r="L481" s="39" t="str">
        <f>IF(CRUCE[[#This Row],[TOTAL]]="", "PENDIENTE", IF(CRUCE[[#This Row],[Diferencia]]=0, "CUADRADO", IF(CRUCE[[#This Row],[Diferencia]]&gt;0, "SOBRANTE", "FALTANTE")))</f>
        <v>PENDIENTE</v>
      </c>
      <c r="M481" s="72" t="str">
        <f>IF(CRUCE[[#This Row],[Diferencia]]="","",IF(CRUCE[[#This Row],[Diferencia]]=0,"OK","RECONTEO"))</f>
        <v/>
      </c>
      <c r="N481" s="39" t="str">
        <f>_xlfn.XLOOKUP(CRUCE[[#This Row],[Ubicacion]],Registros[Ubicacion],Registros[Codigo], "")</f>
        <v/>
      </c>
      <c r="O481" s="26"/>
      <c r="P481" s="26"/>
      <c r="Q481" s="39" t="str">
        <f>IF(CRUCE[[#This Row],[TOTAL2]]="", "PENDIENTE", IF(CRUCE[[#This Row],[DIFERENCIA2]]=0, "CUADRADO", IF(CRUCE[[#This Row],[DIFERENCIA2]]&gt;0, "SOBRANTE", "FALTANTE")))</f>
        <v>PENDIENTE</v>
      </c>
      <c r="R481" s="102" t="s">
        <v>5081</v>
      </c>
      <c r="S481" s="127" t="s">
        <v>5568</v>
      </c>
    </row>
    <row r="482" spans="1:19">
      <c r="A482" s="93" t="s">
        <v>5536</v>
      </c>
      <c r="B482" s="38" t="s">
        <v>3999</v>
      </c>
      <c r="C482" s="38">
        <v>8410212</v>
      </c>
      <c r="D482" s="74">
        <v>17750243082140</v>
      </c>
      <c r="E482" s="38" t="s">
        <v>2548</v>
      </c>
      <c r="F482" s="38">
        <v>34</v>
      </c>
      <c r="G482" s="38" t="s">
        <v>288</v>
      </c>
      <c r="H482" s="39" t="str">
        <f>_xlfn.XLOOKUP(CRUCE[[#This Row],[Ubicacion]],Registros[Ubicacion],Registros[Codigo], "")</f>
        <v/>
      </c>
      <c r="I482" s="25" t="str">
        <f>_xlfn.XLOOKUP(CRUCE[[#This Row],[Ubicacion]],Registros[Ubicacion],Registros[Total], "")</f>
        <v/>
      </c>
      <c r="J482" s="25" t="str">
        <f>_xlfn.XLOOKUP(CRUCE[[#This Row],[Ubicacion]],Registros[Ubicacion],Registros[UMA], "")</f>
        <v/>
      </c>
      <c r="K482" s="25" t="str">
        <f>IF(CRUCE[[#This Row],[TOTAL]]="","",CRUCE[[#This Row],[TOTAL]]-CRUCE[[#This Row],[BULTOS]])</f>
        <v/>
      </c>
      <c r="L482" s="38" t="str">
        <f>IF(CRUCE[[#This Row],[TOTAL]]="", "PENDIENTE", IF(CRUCE[[#This Row],[Diferencia]]=0, "CUADRADO", IF(CRUCE[[#This Row],[Diferencia]]&gt;0, "SOBRANTE", "FALTANTE")))</f>
        <v>PENDIENTE</v>
      </c>
      <c r="M482" s="71" t="str">
        <f>IF(CRUCE[[#This Row],[Diferencia]]="","",IF(CRUCE[[#This Row],[Diferencia]]=0,"OK","RECONTEO"))</f>
        <v/>
      </c>
      <c r="N482" s="39" t="str">
        <f>_xlfn.XLOOKUP(CRUCE[[#This Row],[Ubicacion]],Registros[Ubicacion],Registros[Codigo], "")</f>
        <v/>
      </c>
      <c r="O482" s="25"/>
      <c r="P482" s="25"/>
      <c r="Q482" s="39" t="str">
        <f>IF(CRUCE[[#This Row],[TOTAL2]]="", "PENDIENTE", IF(CRUCE[[#This Row],[DIFERENCIA2]]=0, "CUADRADO", IF(CRUCE[[#This Row],[DIFERENCIA2]]&gt;0, "SOBRANTE", "FALTANTE")))</f>
        <v>PENDIENTE</v>
      </c>
      <c r="R482" s="103" t="s">
        <v>5081</v>
      </c>
      <c r="S482" s="127" t="s">
        <v>5569</v>
      </c>
    </row>
    <row r="483" spans="1:19">
      <c r="A483" s="92" t="s">
        <v>5536</v>
      </c>
      <c r="B483" s="39" t="s">
        <v>3919</v>
      </c>
      <c r="C483" s="39">
        <v>8404730</v>
      </c>
      <c r="D483" s="73">
        <v>37750243079878</v>
      </c>
      <c r="E483" s="39" t="s">
        <v>2226</v>
      </c>
      <c r="F483" s="39">
        <v>33</v>
      </c>
      <c r="G483" s="39" t="s">
        <v>288</v>
      </c>
      <c r="H483" s="39" t="str">
        <f>_xlfn.XLOOKUP(CRUCE[[#This Row],[Ubicacion]],Registros[Ubicacion],Registros[Codigo], "")</f>
        <v/>
      </c>
      <c r="I483" s="26" t="str">
        <f>_xlfn.XLOOKUP(CRUCE[[#This Row],[Ubicacion]],Registros[Ubicacion],Registros[Total], "")</f>
        <v/>
      </c>
      <c r="J483" s="26" t="str">
        <f>_xlfn.XLOOKUP(CRUCE[[#This Row],[Ubicacion]],Registros[Ubicacion],Registros[UMA], "")</f>
        <v/>
      </c>
      <c r="K483" s="26" t="str">
        <f>IF(CRUCE[[#This Row],[TOTAL]]="","",CRUCE[[#This Row],[TOTAL]]-CRUCE[[#This Row],[BULTOS]])</f>
        <v/>
      </c>
      <c r="L483" s="39" t="str">
        <f>IF(CRUCE[[#This Row],[TOTAL]]="", "PENDIENTE", IF(CRUCE[[#This Row],[Diferencia]]=0, "CUADRADO", IF(CRUCE[[#This Row],[Diferencia]]&gt;0, "SOBRANTE", "FALTANTE")))</f>
        <v>PENDIENTE</v>
      </c>
      <c r="M483" s="72" t="str">
        <f>IF(CRUCE[[#This Row],[Diferencia]]="","",IF(CRUCE[[#This Row],[Diferencia]]=0,"OK","RECONTEO"))</f>
        <v/>
      </c>
      <c r="N483" s="39" t="str">
        <f>_xlfn.XLOOKUP(CRUCE[[#This Row],[Ubicacion]],Registros[Ubicacion],Registros[Codigo], "")</f>
        <v/>
      </c>
      <c r="O483" s="26"/>
      <c r="P483" s="26"/>
      <c r="Q483" s="39" t="str">
        <f>IF(CRUCE[[#This Row],[TOTAL2]]="", "PENDIENTE", IF(CRUCE[[#This Row],[DIFERENCIA2]]=0, "CUADRADO", IF(CRUCE[[#This Row],[DIFERENCIA2]]&gt;0, "SOBRANTE", "FALTANTE")))</f>
        <v>PENDIENTE</v>
      </c>
      <c r="R483" s="102" t="s">
        <v>5081</v>
      </c>
      <c r="S483" s="127" t="s">
        <v>5570</v>
      </c>
    </row>
    <row r="484" spans="1:19">
      <c r="A484" s="93" t="s">
        <v>5536</v>
      </c>
      <c r="B484" s="38" t="s">
        <v>3765</v>
      </c>
      <c r="C484" s="38">
        <v>8400627</v>
      </c>
      <c r="D484" s="74">
        <v>17750243078884</v>
      </c>
      <c r="E484" s="38" t="s">
        <v>2010</v>
      </c>
      <c r="F484" s="38">
        <v>31</v>
      </c>
      <c r="G484" s="38" t="s">
        <v>288</v>
      </c>
      <c r="H484" s="39" t="str">
        <f>_xlfn.XLOOKUP(CRUCE[[#This Row],[Ubicacion]],Registros[Ubicacion],Registros[Codigo], "")</f>
        <v/>
      </c>
      <c r="I484" s="25" t="str">
        <f>_xlfn.XLOOKUP(CRUCE[[#This Row],[Ubicacion]],Registros[Ubicacion],Registros[Total], "")</f>
        <v/>
      </c>
      <c r="J484" s="25" t="str">
        <f>_xlfn.XLOOKUP(CRUCE[[#This Row],[Ubicacion]],Registros[Ubicacion],Registros[UMA], "")</f>
        <v/>
      </c>
      <c r="K484" s="25" t="str">
        <f>IF(CRUCE[[#This Row],[TOTAL]]="","",CRUCE[[#This Row],[TOTAL]]-CRUCE[[#This Row],[BULTOS]])</f>
        <v/>
      </c>
      <c r="L484" s="38" t="str">
        <f>IF(CRUCE[[#This Row],[TOTAL]]="", "PENDIENTE", IF(CRUCE[[#This Row],[Diferencia]]=0, "CUADRADO", IF(CRUCE[[#This Row],[Diferencia]]&gt;0, "SOBRANTE", "FALTANTE")))</f>
        <v>PENDIENTE</v>
      </c>
      <c r="M484" s="71" t="str">
        <f>IF(CRUCE[[#This Row],[Diferencia]]="","",IF(CRUCE[[#This Row],[Diferencia]]=0,"OK","RECONTEO"))</f>
        <v/>
      </c>
      <c r="N484" s="39" t="str">
        <f>_xlfn.XLOOKUP(CRUCE[[#This Row],[Ubicacion]],Registros[Ubicacion],Registros[Codigo], "")</f>
        <v/>
      </c>
      <c r="O484" s="25"/>
      <c r="P484" s="25"/>
      <c r="Q484" s="39" t="str">
        <f>IF(CRUCE[[#This Row],[TOTAL2]]="", "PENDIENTE", IF(CRUCE[[#This Row],[DIFERENCIA2]]=0, "CUADRADO", IF(CRUCE[[#This Row],[DIFERENCIA2]]&gt;0, "SOBRANTE", "FALTANTE")))</f>
        <v>PENDIENTE</v>
      </c>
      <c r="R484" s="103" t="s">
        <v>5081</v>
      </c>
      <c r="S484" s="127" t="s">
        <v>5571</v>
      </c>
    </row>
    <row r="485" spans="1:19">
      <c r="A485" s="92" t="s">
        <v>5536</v>
      </c>
      <c r="B485" s="39" t="s">
        <v>3923</v>
      </c>
      <c r="C485" s="39">
        <v>8406140</v>
      </c>
      <c r="D485" s="73">
        <v>17750243080580</v>
      </c>
      <c r="E485" s="39" t="s">
        <v>3924</v>
      </c>
      <c r="F485" s="39">
        <v>24</v>
      </c>
      <c r="G485" s="39" t="s">
        <v>288</v>
      </c>
      <c r="H485" s="39" t="str">
        <f>_xlfn.XLOOKUP(CRUCE[[#This Row],[Ubicacion]],Registros[Ubicacion],Registros[Codigo], "")</f>
        <v/>
      </c>
      <c r="I485" s="26" t="str">
        <f>_xlfn.XLOOKUP(CRUCE[[#This Row],[Ubicacion]],Registros[Ubicacion],Registros[Total], "")</f>
        <v/>
      </c>
      <c r="J485" s="26" t="str">
        <f>_xlfn.XLOOKUP(CRUCE[[#This Row],[Ubicacion]],Registros[Ubicacion],Registros[UMA], "")</f>
        <v/>
      </c>
      <c r="K485" s="26" t="str">
        <f>IF(CRUCE[[#This Row],[TOTAL]]="","",CRUCE[[#This Row],[TOTAL]]-CRUCE[[#This Row],[BULTOS]])</f>
        <v/>
      </c>
      <c r="L485" s="39" t="str">
        <f>IF(CRUCE[[#This Row],[TOTAL]]="", "PENDIENTE", IF(CRUCE[[#This Row],[Diferencia]]=0, "CUADRADO", IF(CRUCE[[#This Row],[Diferencia]]&gt;0, "SOBRANTE", "FALTANTE")))</f>
        <v>PENDIENTE</v>
      </c>
      <c r="M485" s="72" t="str">
        <f>IF(CRUCE[[#This Row],[Diferencia]]="","",IF(CRUCE[[#This Row],[Diferencia]]=0,"OK","RECONTEO"))</f>
        <v/>
      </c>
      <c r="N485" s="39" t="str">
        <f>_xlfn.XLOOKUP(CRUCE[[#This Row],[Ubicacion]],Registros[Ubicacion],Registros[Codigo], "")</f>
        <v/>
      </c>
      <c r="O485" s="26"/>
      <c r="P485" s="26"/>
      <c r="Q485" s="39" t="str">
        <f>IF(CRUCE[[#This Row],[TOTAL2]]="", "PENDIENTE", IF(CRUCE[[#This Row],[DIFERENCIA2]]=0, "CUADRADO", IF(CRUCE[[#This Row],[DIFERENCIA2]]&gt;0, "SOBRANTE", "FALTANTE")))</f>
        <v>PENDIENTE</v>
      </c>
      <c r="R485" s="102" t="s">
        <v>5081</v>
      </c>
      <c r="S485" s="127" t="s">
        <v>5572</v>
      </c>
    </row>
    <row r="486" spans="1:19">
      <c r="A486" s="93" t="s">
        <v>5536</v>
      </c>
      <c r="B486" s="38" t="s">
        <v>3867</v>
      </c>
      <c r="C486" s="38">
        <v>8404095</v>
      </c>
      <c r="D486" s="74">
        <v>17750243083611</v>
      </c>
      <c r="E486" s="38" t="s">
        <v>2170</v>
      </c>
      <c r="F486" s="38">
        <v>9</v>
      </c>
      <c r="G486" s="38" t="s">
        <v>288</v>
      </c>
      <c r="H486" s="39" t="str">
        <f>_xlfn.XLOOKUP(CRUCE[[#This Row],[Ubicacion]],Registros[Ubicacion],Registros[Codigo], "")</f>
        <v/>
      </c>
      <c r="I486" s="25" t="str">
        <f>_xlfn.XLOOKUP(CRUCE[[#This Row],[Ubicacion]],Registros[Ubicacion],Registros[Total], "")</f>
        <v/>
      </c>
      <c r="J486" s="25" t="str">
        <f>_xlfn.XLOOKUP(CRUCE[[#This Row],[Ubicacion]],Registros[Ubicacion],Registros[UMA], "")</f>
        <v/>
      </c>
      <c r="K486" s="25" t="str">
        <f>IF(CRUCE[[#This Row],[TOTAL]]="","",CRUCE[[#This Row],[TOTAL]]-CRUCE[[#This Row],[BULTOS]])</f>
        <v/>
      </c>
      <c r="L486" s="38" t="str">
        <f>IF(CRUCE[[#This Row],[TOTAL]]="", "PENDIENTE", IF(CRUCE[[#This Row],[Diferencia]]=0, "CUADRADO", IF(CRUCE[[#This Row],[Diferencia]]&gt;0, "SOBRANTE", "FALTANTE")))</f>
        <v>PENDIENTE</v>
      </c>
      <c r="M486" s="71" t="str">
        <f>IF(CRUCE[[#This Row],[Diferencia]]="","",IF(CRUCE[[#This Row],[Diferencia]]=0,"OK","RECONTEO"))</f>
        <v/>
      </c>
      <c r="N486" s="39" t="str">
        <f>_xlfn.XLOOKUP(CRUCE[[#This Row],[Ubicacion]],Registros[Ubicacion],Registros[Codigo], "")</f>
        <v/>
      </c>
      <c r="O486" s="25"/>
      <c r="P486" s="25"/>
      <c r="Q486" s="39" t="str">
        <f>IF(CRUCE[[#This Row],[TOTAL2]]="", "PENDIENTE", IF(CRUCE[[#This Row],[DIFERENCIA2]]=0, "CUADRADO", IF(CRUCE[[#This Row],[DIFERENCIA2]]&gt;0, "SOBRANTE", "FALTANTE")))</f>
        <v>PENDIENTE</v>
      </c>
      <c r="R486" s="103" t="s">
        <v>5081</v>
      </c>
      <c r="S486" s="129" t="s">
        <v>5573</v>
      </c>
    </row>
    <row r="487" spans="1:19">
      <c r="A487" s="92" t="s">
        <v>5536</v>
      </c>
      <c r="B487" s="39" t="s">
        <v>3778</v>
      </c>
      <c r="C487" s="39">
        <v>8400631</v>
      </c>
      <c r="D487" s="73">
        <v>17750243079041</v>
      </c>
      <c r="E487" s="39" t="s">
        <v>2018</v>
      </c>
      <c r="F487" s="39">
        <v>38</v>
      </c>
      <c r="G487" s="39" t="s">
        <v>288</v>
      </c>
      <c r="H487" s="39" t="str">
        <f>_xlfn.XLOOKUP(CRUCE[[#This Row],[Ubicacion]],Registros[Ubicacion],Registros[Codigo], "")</f>
        <v/>
      </c>
      <c r="I487" s="26" t="str">
        <f>_xlfn.XLOOKUP(CRUCE[[#This Row],[Ubicacion]],Registros[Ubicacion],Registros[Total], "")</f>
        <v/>
      </c>
      <c r="J487" s="26" t="str">
        <f>_xlfn.XLOOKUP(CRUCE[[#This Row],[Ubicacion]],Registros[Ubicacion],Registros[UMA], "")</f>
        <v/>
      </c>
      <c r="K487" s="26" t="str">
        <f>IF(CRUCE[[#This Row],[TOTAL]]="","",CRUCE[[#This Row],[TOTAL]]-CRUCE[[#This Row],[BULTOS]])</f>
        <v/>
      </c>
      <c r="L487" s="39" t="str">
        <f>IF(CRUCE[[#This Row],[TOTAL]]="", "PENDIENTE", IF(CRUCE[[#This Row],[Diferencia]]=0, "CUADRADO", IF(CRUCE[[#This Row],[Diferencia]]&gt;0, "SOBRANTE", "FALTANTE")))</f>
        <v>PENDIENTE</v>
      </c>
      <c r="M487" s="72" t="str">
        <f>IF(CRUCE[[#This Row],[Diferencia]]="","",IF(CRUCE[[#This Row],[Diferencia]]=0,"OK","RECONTEO"))</f>
        <v/>
      </c>
      <c r="N487" s="39" t="str">
        <f>_xlfn.XLOOKUP(CRUCE[[#This Row],[Ubicacion]],Registros[Ubicacion],Registros[Codigo], "")</f>
        <v/>
      </c>
      <c r="O487" s="26"/>
      <c r="P487" s="26"/>
      <c r="Q487" s="39" t="str">
        <f>IF(CRUCE[[#This Row],[TOTAL2]]="", "PENDIENTE", IF(CRUCE[[#This Row],[DIFERENCIA2]]=0, "CUADRADO", IF(CRUCE[[#This Row],[DIFERENCIA2]]&gt;0, "SOBRANTE", "FALTANTE")))</f>
        <v>PENDIENTE</v>
      </c>
      <c r="R487" s="102" t="s">
        <v>5081</v>
      </c>
      <c r="S487" s="127" t="s">
        <v>5574</v>
      </c>
    </row>
    <row r="488" spans="1:19">
      <c r="A488" s="93" t="s">
        <v>5536</v>
      </c>
      <c r="B488" s="38" t="s">
        <v>3869</v>
      </c>
      <c r="C488" s="38">
        <v>8404704</v>
      </c>
      <c r="D488" s="74">
        <v>17750243078891</v>
      </c>
      <c r="E488" s="38" t="s">
        <v>2176</v>
      </c>
      <c r="F488" s="38">
        <v>43</v>
      </c>
      <c r="G488" s="38" t="s">
        <v>288</v>
      </c>
      <c r="H488" s="39" t="str">
        <f>_xlfn.XLOOKUP(CRUCE[[#This Row],[Ubicacion]],Registros[Ubicacion],Registros[Codigo], "")</f>
        <v/>
      </c>
      <c r="I488" s="25" t="str">
        <f>_xlfn.XLOOKUP(CRUCE[[#This Row],[Ubicacion]],Registros[Ubicacion],Registros[Total], "")</f>
        <v/>
      </c>
      <c r="J488" s="25" t="str">
        <f>_xlfn.XLOOKUP(CRUCE[[#This Row],[Ubicacion]],Registros[Ubicacion],Registros[UMA], "")</f>
        <v/>
      </c>
      <c r="K488" s="25" t="str">
        <f>IF(CRUCE[[#This Row],[TOTAL]]="","",CRUCE[[#This Row],[TOTAL]]-CRUCE[[#This Row],[BULTOS]])</f>
        <v/>
      </c>
      <c r="L488" s="38" t="str">
        <f>IF(CRUCE[[#This Row],[TOTAL]]="", "PENDIENTE", IF(CRUCE[[#This Row],[Diferencia]]=0, "CUADRADO", IF(CRUCE[[#This Row],[Diferencia]]&gt;0, "SOBRANTE", "FALTANTE")))</f>
        <v>PENDIENTE</v>
      </c>
      <c r="M488" s="71" t="str">
        <f>IF(CRUCE[[#This Row],[Diferencia]]="","",IF(CRUCE[[#This Row],[Diferencia]]=0,"OK","RECONTEO"))</f>
        <v/>
      </c>
      <c r="N488" s="39" t="str">
        <f>_xlfn.XLOOKUP(CRUCE[[#This Row],[Ubicacion]],Registros[Ubicacion],Registros[Codigo], "")</f>
        <v/>
      </c>
      <c r="O488" s="25"/>
      <c r="P488" s="25"/>
      <c r="Q488" s="39" t="str">
        <f>IF(CRUCE[[#This Row],[TOTAL2]]="", "PENDIENTE", IF(CRUCE[[#This Row],[DIFERENCIA2]]=0, "CUADRADO", IF(CRUCE[[#This Row],[DIFERENCIA2]]&gt;0, "SOBRANTE", "FALTANTE")))</f>
        <v>PENDIENTE</v>
      </c>
      <c r="R488" s="103" t="s">
        <v>5081</v>
      </c>
      <c r="S488" s="127" t="s">
        <v>5575</v>
      </c>
    </row>
    <row r="489" spans="1:19">
      <c r="A489" s="92" t="s">
        <v>5536</v>
      </c>
      <c r="B489" s="39" t="s">
        <v>3831</v>
      </c>
      <c r="C489" s="39">
        <v>8400672</v>
      </c>
      <c r="D489" s="73">
        <v>17750243083994</v>
      </c>
      <c r="E489" s="39" t="s">
        <v>2068</v>
      </c>
      <c r="F489" s="39">
        <v>32</v>
      </c>
      <c r="G489" s="39" t="s">
        <v>288</v>
      </c>
      <c r="H489" s="39" t="str">
        <f>_xlfn.XLOOKUP(CRUCE[[#This Row],[Ubicacion]],Registros[Ubicacion],Registros[Codigo], "")</f>
        <v/>
      </c>
      <c r="I489" s="26" t="str">
        <f>_xlfn.XLOOKUP(CRUCE[[#This Row],[Ubicacion]],Registros[Ubicacion],Registros[Total], "")</f>
        <v/>
      </c>
      <c r="J489" s="26" t="str">
        <f>_xlfn.XLOOKUP(CRUCE[[#This Row],[Ubicacion]],Registros[Ubicacion],Registros[UMA], "")</f>
        <v/>
      </c>
      <c r="K489" s="26" t="str">
        <f>IF(CRUCE[[#This Row],[TOTAL]]="","",CRUCE[[#This Row],[TOTAL]]-CRUCE[[#This Row],[BULTOS]])</f>
        <v/>
      </c>
      <c r="L489" s="39" t="str">
        <f>IF(CRUCE[[#This Row],[TOTAL]]="", "PENDIENTE", IF(CRUCE[[#This Row],[Diferencia]]=0, "CUADRADO", IF(CRUCE[[#This Row],[Diferencia]]&gt;0, "SOBRANTE", "FALTANTE")))</f>
        <v>PENDIENTE</v>
      </c>
      <c r="M489" s="72" t="str">
        <f>IF(CRUCE[[#This Row],[Diferencia]]="","",IF(CRUCE[[#This Row],[Diferencia]]=0,"OK","RECONTEO"))</f>
        <v/>
      </c>
      <c r="N489" s="39" t="str">
        <f>_xlfn.XLOOKUP(CRUCE[[#This Row],[Ubicacion]],Registros[Ubicacion],Registros[Codigo], "")</f>
        <v/>
      </c>
      <c r="O489" s="26"/>
      <c r="P489" s="26"/>
      <c r="Q489" s="39" t="str">
        <f>IF(CRUCE[[#This Row],[TOTAL2]]="", "PENDIENTE", IF(CRUCE[[#This Row],[DIFERENCIA2]]=0, "CUADRADO", IF(CRUCE[[#This Row],[DIFERENCIA2]]&gt;0, "SOBRANTE", "FALTANTE")))</f>
        <v>PENDIENTE</v>
      </c>
      <c r="R489" s="102" t="s">
        <v>5081</v>
      </c>
      <c r="S489" s="127" t="s">
        <v>5576</v>
      </c>
    </row>
    <row r="490" spans="1:19">
      <c r="A490" s="93" t="s">
        <v>5536</v>
      </c>
      <c r="B490" s="38" t="s">
        <v>3833</v>
      </c>
      <c r="C490" s="38">
        <v>8400673</v>
      </c>
      <c r="D490" s="74">
        <v>17750243084069</v>
      </c>
      <c r="E490" s="38" t="s">
        <v>2070</v>
      </c>
      <c r="F490" s="38">
        <v>43</v>
      </c>
      <c r="G490" s="38" t="s">
        <v>288</v>
      </c>
      <c r="H490" s="39" t="str">
        <f>_xlfn.XLOOKUP(CRUCE[[#This Row],[Ubicacion]],Registros[Ubicacion],Registros[Codigo], "")</f>
        <v/>
      </c>
      <c r="I490" s="25" t="str">
        <f>_xlfn.XLOOKUP(CRUCE[[#This Row],[Ubicacion]],Registros[Ubicacion],Registros[Total], "")</f>
        <v/>
      </c>
      <c r="J490" s="25" t="str">
        <f>_xlfn.XLOOKUP(CRUCE[[#This Row],[Ubicacion]],Registros[Ubicacion],Registros[UMA], "")</f>
        <v/>
      </c>
      <c r="K490" s="25" t="str">
        <f>IF(CRUCE[[#This Row],[TOTAL]]="","",CRUCE[[#This Row],[TOTAL]]-CRUCE[[#This Row],[BULTOS]])</f>
        <v/>
      </c>
      <c r="L490" s="38" t="str">
        <f>IF(CRUCE[[#This Row],[TOTAL]]="", "PENDIENTE", IF(CRUCE[[#This Row],[Diferencia]]=0, "CUADRADO", IF(CRUCE[[#This Row],[Diferencia]]&gt;0, "SOBRANTE", "FALTANTE")))</f>
        <v>PENDIENTE</v>
      </c>
      <c r="M490" s="71" t="str">
        <f>IF(CRUCE[[#This Row],[Diferencia]]="","",IF(CRUCE[[#This Row],[Diferencia]]=0,"OK","RECONTEO"))</f>
        <v/>
      </c>
      <c r="N490" s="39" t="str">
        <f>_xlfn.XLOOKUP(CRUCE[[#This Row],[Ubicacion]],Registros[Ubicacion],Registros[Codigo], "")</f>
        <v/>
      </c>
      <c r="O490" s="25"/>
      <c r="P490" s="25"/>
      <c r="Q490" s="39" t="str">
        <f>IF(CRUCE[[#This Row],[TOTAL2]]="", "PENDIENTE", IF(CRUCE[[#This Row],[DIFERENCIA2]]=0, "CUADRADO", IF(CRUCE[[#This Row],[DIFERENCIA2]]&gt;0, "SOBRANTE", "FALTANTE")))</f>
        <v>PENDIENTE</v>
      </c>
      <c r="R490" s="103" t="s">
        <v>5081</v>
      </c>
      <c r="S490" s="127" t="s">
        <v>5577</v>
      </c>
    </row>
    <row r="491" spans="1:19">
      <c r="A491" s="92" t="s">
        <v>5536</v>
      </c>
      <c r="B491" s="39" t="s">
        <v>3894</v>
      </c>
      <c r="C491" s="39">
        <v>8404719</v>
      </c>
      <c r="D491" s="73">
        <v>17750243079874</v>
      </c>
      <c r="E491" s="39" t="s">
        <v>2206</v>
      </c>
      <c r="F491" s="39">
        <v>34</v>
      </c>
      <c r="G491" s="39" t="s">
        <v>288</v>
      </c>
      <c r="H491" s="39" t="str">
        <f>_xlfn.XLOOKUP(CRUCE[[#This Row],[Ubicacion]],Registros[Ubicacion],Registros[Codigo], "")</f>
        <v/>
      </c>
      <c r="I491" s="26" t="str">
        <f>_xlfn.XLOOKUP(CRUCE[[#This Row],[Ubicacion]],Registros[Ubicacion],Registros[Total], "")</f>
        <v/>
      </c>
      <c r="J491" s="26" t="str">
        <f>_xlfn.XLOOKUP(CRUCE[[#This Row],[Ubicacion]],Registros[Ubicacion],Registros[UMA], "")</f>
        <v/>
      </c>
      <c r="K491" s="26" t="str">
        <f>IF(CRUCE[[#This Row],[TOTAL]]="","",CRUCE[[#This Row],[TOTAL]]-CRUCE[[#This Row],[BULTOS]])</f>
        <v/>
      </c>
      <c r="L491" s="39" t="str">
        <f>IF(CRUCE[[#This Row],[TOTAL]]="", "PENDIENTE", IF(CRUCE[[#This Row],[Diferencia]]=0, "CUADRADO", IF(CRUCE[[#This Row],[Diferencia]]&gt;0, "SOBRANTE", "FALTANTE")))</f>
        <v>PENDIENTE</v>
      </c>
      <c r="M491" s="72" t="str">
        <f>IF(CRUCE[[#This Row],[Diferencia]]="","",IF(CRUCE[[#This Row],[Diferencia]]=0,"OK","RECONTEO"))</f>
        <v/>
      </c>
      <c r="N491" s="39" t="str">
        <f>_xlfn.XLOOKUP(CRUCE[[#This Row],[Ubicacion]],Registros[Ubicacion],Registros[Codigo], "")</f>
        <v/>
      </c>
      <c r="O491" s="26"/>
      <c r="P491" s="26"/>
      <c r="Q491" s="39" t="str">
        <f>IF(CRUCE[[#This Row],[TOTAL2]]="", "PENDIENTE", IF(CRUCE[[#This Row],[DIFERENCIA2]]=0, "CUADRADO", IF(CRUCE[[#This Row],[DIFERENCIA2]]&gt;0, "SOBRANTE", "FALTANTE")))</f>
        <v>PENDIENTE</v>
      </c>
      <c r="R491" s="102" t="s">
        <v>5081</v>
      </c>
      <c r="S491" s="127" t="s">
        <v>5578</v>
      </c>
    </row>
    <row r="492" spans="1:19">
      <c r="A492" s="93" t="s">
        <v>5536</v>
      </c>
      <c r="B492" s="38" t="s">
        <v>3892</v>
      </c>
      <c r="C492" s="38">
        <v>8404718</v>
      </c>
      <c r="D492" s="74">
        <v>7750243079860</v>
      </c>
      <c r="E492" s="38" t="s">
        <v>2204</v>
      </c>
      <c r="F492" s="38">
        <v>13</v>
      </c>
      <c r="G492" s="38" t="s">
        <v>100</v>
      </c>
      <c r="H492" s="39" t="str">
        <f>_xlfn.XLOOKUP(CRUCE[[#This Row],[Ubicacion]],Registros[Ubicacion],Registros[Codigo], "")</f>
        <v/>
      </c>
      <c r="I492" s="25" t="str">
        <f>_xlfn.XLOOKUP(CRUCE[[#This Row],[Ubicacion]],Registros[Ubicacion],Registros[Total], "")</f>
        <v/>
      </c>
      <c r="J492" s="25" t="str">
        <f>_xlfn.XLOOKUP(CRUCE[[#This Row],[Ubicacion]],Registros[Ubicacion],Registros[UMA], "")</f>
        <v/>
      </c>
      <c r="K492" s="25" t="str">
        <f>IF(CRUCE[[#This Row],[TOTAL]]="","",CRUCE[[#This Row],[TOTAL]]-CRUCE[[#This Row],[BULTOS]])</f>
        <v/>
      </c>
      <c r="L492" s="38" t="str">
        <f>IF(CRUCE[[#This Row],[TOTAL]]="", "PENDIENTE", IF(CRUCE[[#This Row],[Diferencia]]=0, "CUADRADO", IF(CRUCE[[#This Row],[Diferencia]]&gt;0, "SOBRANTE", "FALTANTE")))</f>
        <v>PENDIENTE</v>
      </c>
      <c r="M492" s="71" t="str">
        <f>IF(CRUCE[[#This Row],[Diferencia]]="","",IF(CRUCE[[#This Row],[Diferencia]]=0,"OK","RECONTEO"))</f>
        <v/>
      </c>
      <c r="N492" s="39" t="str">
        <f>_xlfn.XLOOKUP(CRUCE[[#This Row],[Ubicacion]],Registros[Ubicacion],Registros[Codigo], "")</f>
        <v/>
      </c>
      <c r="O492" s="25"/>
      <c r="P492" s="25"/>
      <c r="Q492" s="39" t="str">
        <f>IF(CRUCE[[#This Row],[TOTAL2]]="", "PENDIENTE", IF(CRUCE[[#This Row],[DIFERENCIA2]]=0, "CUADRADO", IF(CRUCE[[#This Row],[DIFERENCIA2]]&gt;0, "SOBRANTE", "FALTANTE")))</f>
        <v>PENDIENTE</v>
      </c>
      <c r="R492" s="103" t="s">
        <v>5081</v>
      </c>
      <c r="S492" s="127" t="s">
        <v>5579</v>
      </c>
    </row>
    <row r="493" spans="1:19">
      <c r="A493" s="92" t="s">
        <v>5536</v>
      </c>
      <c r="B493" s="39" t="s">
        <v>4008</v>
      </c>
      <c r="C493" s="39">
        <v>8410218</v>
      </c>
      <c r="D493" s="73">
        <v>7750243083904</v>
      </c>
      <c r="E493" s="39" t="s">
        <v>4009</v>
      </c>
      <c r="F493" s="39">
        <v>159</v>
      </c>
      <c r="G493" s="39" t="s">
        <v>1590</v>
      </c>
      <c r="H493" s="39" t="str">
        <f>_xlfn.XLOOKUP(CRUCE[[#This Row],[Ubicacion]],Registros[Ubicacion],Registros[Codigo], "")</f>
        <v/>
      </c>
      <c r="I493" s="26" t="str">
        <f>_xlfn.XLOOKUP(CRUCE[[#This Row],[Ubicacion]],Registros[Ubicacion],Registros[Total], "")</f>
        <v/>
      </c>
      <c r="J493" s="26" t="str">
        <f>_xlfn.XLOOKUP(CRUCE[[#This Row],[Ubicacion]],Registros[Ubicacion],Registros[UMA], "")</f>
        <v/>
      </c>
      <c r="K493" s="26" t="str">
        <f>IF(CRUCE[[#This Row],[TOTAL]]="","",CRUCE[[#This Row],[TOTAL]]-CRUCE[[#This Row],[BULTOS]])</f>
        <v/>
      </c>
      <c r="L493" s="39" t="str">
        <f>IF(CRUCE[[#This Row],[TOTAL]]="", "PENDIENTE", IF(CRUCE[[#This Row],[Diferencia]]=0, "CUADRADO", IF(CRUCE[[#This Row],[Diferencia]]&gt;0, "SOBRANTE", "FALTANTE")))</f>
        <v>PENDIENTE</v>
      </c>
      <c r="M493" s="72" t="str">
        <f>IF(CRUCE[[#This Row],[Diferencia]]="","",IF(CRUCE[[#This Row],[Diferencia]]=0,"OK","RECONTEO"))</f>
        <v/>
      </c>
      <c r="N493" s="39" t="str">
        <f>_xlfn.XLOOKUP(CRUCE[[#This Row],[Ubicacion]],Registros[Ubicacion],Registros[Codigo], "")</f>
        <v/>
      </c>
      <c r="O493" s="26"/>
      <c r="P493" s="26"/>
      <c r="Q493" s="39" t="str">
        <f>IF(CRUCE[[#This Row],[TOTAL2]]="", "PENDIENTE", IF(CRUCE[[#This Row],[DIFERENCIA2]]=0, "CUADRADO", IF(CRUCE[[#This Row],[DIFERENCIA2]]&gt;0, "SOBRANTE", "FALTANTE")))</f>
        <v>PENDIENTE</v>
      </c>
      <c r="R493" s="102" t="s">
        <v>5081</v>
      </c>
      <c r="S493" s="127" t="s">
        <v>5580</v>
      </c>
    </row>
    <row r="494" spans="1:19">
      <c r="A494" s="93" t="s">
        <v>5536</v>
      </c>
      <c r="B494" s="38" t="s">
        <v>3992</v>
      </c>
      <c r="C494" s="38">
        <v>8410192</v>
      </c>
      <c r="D494" s="74">
        <v>7750243076449</v>
      </c>
      <c r="E494" s="38" t="s">
        <v>2522</v>
      </c>
      <c r="F494" s="38">
        <v>139</v>
      </c>
      <c r="G494" s="38" t="s">
        <v>1590</v>
      </c>
      <c r="H494" s="39" t="str">
        <f>_xlfn.XLOOKUP(CRUCE[[#This Row],[Ubicacion]],Registros[Ubicacion],Registros[Codigo], "")</f>
        <v/>
      </c>
      <c r="I494" s="25" t="str">
        <f>_xlfn.XLOOKUP(CRUCE[[#This Row],[Ubicacion]],Registros[Ubicacion],Registros[Total], "")</f>
        <v/>
      </c>
      <c r="J494" s="25" t="str">
        <f>_xlfn.XLOOKUP(CRUCE[[#This Row],[Ubicacion]],Registros[Ubicacion],Registros[UMA], "")</f>
        <v/>
      </c>
      <c r="K494" s="25" t="str">
        <f>IF(CRUCE[[#This Row],[TOTAL]]="","",CRUCE[[#This Row],[TOTAL]]-CRUCE[[#This Row],[BULTOS]])</f>
        <v/>
      </c>
      <c r="L494" s="38" t="str">
        <f>IF(CRUCE[[#This Row],[TOTAL]]="", "PENDIENTE", IF(CRUCE[[#This Row],[Diferencia]]=0, "CUADRADO", IF(CRUCE[[#This Row],[Diferencia]]&gt;0, "SOBRANTE", "FALTANTE")))</f>
        <v>PENDIENTE</v>
      </c>
      <c r="M494" s="71" t="str">
        <f>IF(CRUCE[[#This Row],[Diferencia]]="","",IF(CRUCE[[#This Row],[Diferencia]]=0,"OK","RECONTEO"))</f>
        <v/>
      </c>
      <c r="N494" s="39" t="str">
        <f>_xlfn.XLOOKUP(CRUCE[[#This Row],[Ubicacion]],Registros[Ubicacion],Registros[Codigo], "")</f>
        <v/>
      </c>
      <c r="O494" s="25"/>
      <c r="P494" s="25"/>
      <c r="Q494" s="39" t="str">
        <f>IF(CRUCE[[#This Row],[TOTAL2]]="", "PENDIENTE", IF(CRUCE[[#This Row],[DIFERENCIA2]]=0, "CUADRADO", IF(CRUCE[[#This Row],[DIFERENCIA2]]&gt;0, "SOBRANTE", "FALTANTE")))</f>
        <v>PENDIENTE</v>
      </c>
      <c r="R494" s="103" t="s">
        <v>5081</v>
      </c>
      <c r="S494" s="127" t="s">
        <v>5581</v>
      </c>
    </row>
    <row r="495" spans="1:19">
      <c r="A495" s="92" t="s">
        <v>5536</v>
      </c>
      <c r="B495" s="39" t="s">
        <v>4848</v>
      </c>
      <c r="C495" s="26"/>
      <c r="D495" s="35"/>
      <c r="E495" s="26"/>
      <c r="F495" s="26"/>
      <c r="G495" s="26"/>
      <c r="H495" s="39" t="str">
        <f>_xlfn.XLOOKUP(CRUCE[[#This Row],[Ubicacion]],Registros[Ubicacion],Registros[Codigo], "")</f>
        <v/>
      </c>
      <c r="I495" s="26" t="str">
        <f>_xlfn.XLOOKUP(CRUCE[[#This Row],[Ubicacion]],Registros[Ubicacion],Registros[Total], "")</f>
        <v/>
      </c>
      <c r="J495" s="26" t="str">
        <f>_xlfn.XLOOKUP(CRUCE[[#This Row],[Ubicacion]],Registros[Ubicacion],Registros[UMA], "")</f>
        <v/>
      </c>
      <c r="K495" s="26" t="str">
        <f>IF(CRUCE[[#This Row],[TOTAL]]="","",CRUCE[[#This Row],[TOTAL]]-CRUCE[[#This Row],[BULTOS]])</f>
        <v/>
      </c>
      <c r="L495" s="39" t="str">
        <f>IF(CRUCE[[#This Row],[TOTAL]]="", "PENDIENTE", IF(CRUCE[[#This Row],[Diferencia]]=0, "CUADRADO", IF(CRUCE[[#This Row],[Diferencia]]&gt;0, "SOBRANTE", "FALTANTE")))</f>
        <v>PENDIENTE</v>
      </c>
      <c r="M495" s="72" t="str">
        <f>IF(CRUCE[[#This Row],[Diferencia]]="","",IF(CRUCE[[#This Row],[Diferencia]]=0,"OK","RECONTEO"))</f>
        <v/>
      </c>
      <c r="N495" s="39" t="str">
        <f>_xlfn.XLOOKUP(CRUCE[[#This Row],[Ubicacion]],Registros[Ubicacion],Registros[Codigo], "")</f>
        <v/>
      </c>
      <c r="O495" s="26"/>
      <c r="P495" s="26"/>
      <c r="Q495" s="39" t="str">
        <f>IF(CRUCE[[#This Row],[TOTAL2]]="", "PENDIENTE", IF(CRUCE[[#This Row],[DIFERENCIA2]]=0, "CUADRADO", IF(CRUCE[[#This Row],[DIFERENCIA2]]&gt;0, "SOBRANTE", "FALTANTE")))</f>
        <v>PENDIENTE</v>
      </c>
      <c r="R495" s="102" t="s">
        <v>5081</v>
      </c>
      <c r="S495" s="127" t="s">
        <v>5582</v>
      </c>
    </row>
    <row r="496" spans="1:19">
      <c r="A496" s="93" t="s">
        <v>5536</v>
      </c>
      <c r="B496" s="38" t="s">
        <v>4850</v>
      </c>
      <c r="C496" s="25"/>
      <c r="D496" s="34"/>
      <c r="E496" s="25"/>
      <c r="F496" s="25"/>
      <c r="G496" s="25"/>
      <c r="H496" s="39" t="str">
        <f>_xlfn.XLOOKUP(CRUCE[[#This Row],[Ubicacion]],Registros[Ubicacion],Registros[Codigo], "")</f>
        <v/>
      </c>
      <c r="I496" s="25" t="str">
        <f>_xlfn.XLOOKUP(CRUCE[[#This Row],[Ubicacion]],Registros[Ubicacion],Registros[Total], "")</f>
        <v/>
      </c>
      <c r="J496" s="25" t="str">
        <f>_xlfn.XLOOKUP(CRUCE[[#This Row],[Ubicacion]],Registros[Ubicacion],Registros[UMA], "")</f>
        <v/>
      </c>
      <c r="K496" s="25" t="str">
        <f>IF(CRUCE[[#This Row],[TOTAL]]="","",CRUCE[[#This Row],[TOTAL]]-CRUCE[[#This Row],[BULTOS]])</f>
        <v/>
      </c>
      <c r="L496" s="38" t="str">
        <f>IF(CRUCE[[#This Row],[TOTAL]]="", "PENDIENTE", IF(CRUCE[[#This Row],[Diferencia]]=0, "CUADRADO", IF(CRUCE[[#This Row],[Diferencia]]&gt;0, "SOBRANTE", "FALTANTE")))</f>
        <v>PENDIENTE</v>
      </c>
      <c r="M496" s="71" t="str">
        <f>IF(CRUCE[[#This Row],[Diferencia]]="","",IF(CRUCE[[#This Row],[Diferencia]]=0,"OK","RECONTEO"))</f>
        <v/>
      </c>
      <c r="N496" s="39" t="str">
        <f>_xlfn.XLOOKUP(CRUCE[[#This Row],[Ubicacion]],Registros[Ubicacion],Registros[Codigo], "")</f>
        <v/>
      </c>
      <c r="O496" s="25"/>
      <c r="P496" s="25"/>
      <c r="Q496" s="39" t="str">
        <f>IF(CRUCE[[#This Row],[TOTAL2]]="", "PENDIENTE", IF(CRUCE[[#This Row],[DIFERENCIA2]]=0, "CUADRADO", IF(CRUCE[[#This Row],[DIFERENCIA2]]&gt;0, "SOBRANTE", "FALTANTE")))</f>
        <v>PENDIENTE</v>
      </c>
      <c r="R496" s="103" t="s">
        <v>5081</v>
      </c>
      <c r="S496" s="127" t="s">
        <v>5583</v>
      </c>
    </row>
    <row r="497" spans="1:19">
      <c r="A497" s="92" t="s">
        <v>5536</v>
      </c>
      <c r="B497" s="39" t="s">
        <v>4852</v>
      </c>
      <c r="C497" s="26"/>
      <c r="D497" s="35"/>
      <c r="E497" s="26"/>
      <c r="F497" s="26"/>
      <c r="G497" s="26"/>
      <c r="H497" s="39" t="str">
        <f>_xlfn.XLOOKUP(CRUCE[[#This Row],[Ubicacion]],Registros[Ubicacion],Registros[Codigo], "")</f>
        <v/>
      </c>
      <c r="I497" s="26" t="str">
        <f>_xlfn.XLOOKUP(CRUCE[[#This Row],[Ubicacion]],Registros[Ubicacion],Registros[Total], "")</f>
        <v/>
      </c>
      <c r="J497" s="26" t="str">
        <f>_xlfn.XLOOKUP(CRUCE[[#This Row],[Ubicacion]],Registros[Ubicacion],Registros[UMA], "")</f>
        <v/>
      </c>
      <c r="K497" s="26" t="str">
        <f>IF(CRUCE[[#This Row],[TOTAL]]="","",CRUCE[[#This Row],[TOTAL]]-CRUCE[[#This Row],[BULTOS]])</f>
        <v/>
      </c>
      <c r="L497" s="39" t="str">
        <f>IF(CRUCE[[#This Row],[TOTAL]]="", "PENDIENTE", IF(CRUCE[[#This Row],[Diferencia]]=0, "CUADRADO", IF(CRUCE[[#This Row],[Diferencia]]&gt;0, "SOBRANTE", "FALTANTE")))</f>
        <v>PENDIENTE</v>
      </c>
      <c r="M497" s="72" t="str">
        <f>IF(CRUCE[[#This Row],[Diferencia]]="","",IF(CRUCE[[#This Row],[Diferencia]]=0,"OK","RECONTEO"))</f>
        <v/>
      </c>
      <c r="N497" s="39" t="str">
        <f>_xlfn.XLOOKUP(CRUCE[[#This Row],[Ubicacion]],Registros[Ubicacion],Registros[Codigo], "")</f>
        <v/>
      </c>
      <c r="O497" s="26"/>
      <c r="P497" s="26"/>
      <c r="Q497" s="39" t="str">
        <f>IF(CRUCE[[#This Row],[TOTAL2]]="", "PENDIENTE", IF(CRUCE[[#This Row],[DIFERENCIA2]]=0, "CUADRADO", IF(CRUCE[[#This Row],[DIFERENCIA2]]&gt;0, "SOBRANTE", "FALTANTE")))</f>
        <v>PENDIENTE</v>
      </c>
      <c r="R497" s="102" t="s">
        <v>5081</v>
      </c>
      <c r="S497" s="127" t="s">
        <v>5584</v>
      </c>
    </row>
    <row r="498" spans="1:19">
      <c r="A498" s="93" t="s">
        <v>5536</v>
      </c>
      <c r="B498" s="38" t="s">
        <v>4854</v>
      </c>
      <c r="C498" s="25"/>
      <c r="D498" s="34"/>
      <c r="E498" s="25"/>
      <c r="F498" s="25"/>
      <c r="G498" s="25"/>
      <c r="H498" s="39" t="str">
        <f>_xlfn.XLOOKUP(CRUCE[[#This Row],[Ubicacion]],Registros[Ubicacion],Registros[Codigo], "")</f>
        <v/>
      </c>
      <c r="I498" s="25" t="str">
        <f>_xlfn.XLOOKUP(CRUCE[[#This Row],[Ubicacion]],Registros[Ubicacion],Registros[Total], "")</f>
        <v/>
      </c>
      <c r="J498" s="25" t="str">
        <f>_xlfn.XLOOKUP(CRUCE[[#This Row],[Ubicacion]],Registros[Ubicacion],Registros[UMA], "")</f>
        <v/>
      </c>
      <c r="K498" s="25" t="str">
        <f>IF(CRUCE[[#This Row],[TOTAL]]="","",CRUCE[[#This Row],[TOTAL]]-CRUCE[[#This Row],[BULTOS]])</f>
        <v/>
      </c>
      <c r="L498" s="38" t="str">
        <f>IF(CRUCE[[#This Row],[TOTAL]]="", "PENDIENTE", IF(CRUCE[[#This Row],[Diferencia]]=0, "CUADRADO", IF(CRUCE[[#This Row],[Diferencia]]&gt;0, "SOBRANTE", "FALTANTE")))</f>
        <v>PENDIENTE</v>
      </c>
      <c r="M498" s="71" t="str">
        <f>IF(CRUCE[[#This Row],[Diferencia]]="","",IF(CRUCE[[#This Row],[Diferencia]]=0,"OK","RECONTEO"))</f>
        <v/>
      </c>
      <c r="N498" s="39" t="str">
        <f>_xlfn.XLOOKUP(CRUCE[[#This Row],[Ubicacion]],Registros[Ubicacion],Registros[Codigo], "")</f>
        <v/>
      </c>
      <c r="O498" s="25"/>
      <c r="P498" s="25"/>
      <c r="Q498" s="39" t="str">
        <f>IF(CRUCE[[#This Row],[TOTAL2]]="", "PENDIENTE", IF(CRUCE[[#This Row],[DIFERENCIA2]]=0, "CUADRADO", IF(CRUCE[[#This Row],[DIFERENCIA2]]&gt;0, "SOBRANTE", "FALTANTE")))</f>
        <v>PENDIENTE</v>
      </c>
      <c r="R498" s="103" t="s">
        <v>5081</v>
      </c>
      <c r="S498" s="127" t="s">
        <v>5585</v>
      </c>
    </row>
    <row r="499" spans="1:19">
      <c r="A499" s="92" t="s">
        <v>5536</v>
      </c>
      <c r="B499" s="39" t="s">
        <v>4856</v>
      </c>
      <c r="C499" s="26"/>
      <c r="D499" s="35"/>
      <c r="E499" s="26"/>
      <c r="F499" s="26"/>
      <c r="G499" s="26"/>
      <c r="H499" s="39" t="str">
        <f>_xlfn.XLOOKUP(CRUCE[[#This Row],[Ubicacion]],Registros[Ubicacion],Registros[Codigo], "")</f>
        <v/>
      </c>
      <c r="I499" s="26" t="str">
        <f>_xlfn.XLOOKUP(CRUCE[[#This Row],[Ubicacion]],Registros[Ubicacion],Registros[Total], "")</f>
        <v/>
      </c>
      <c r="J499" s="26" t="str">
        <f>_xlfn.XLOOKUP(CRUCE[[#This Row],[Ubicacion]],Registros[Ubicacion],Registros[UMA], "")</f>
        <v/>
      </c>
      <c r="K499" s="26" t="str">
        <f>IF(CRUCE[[#This Row],[TOTAL]]="","",CRUCE[[#This Row],[TOTAL]]-CRUCE[[#This Row],[BULTOS]])</f>
        <v/>
      </c>
      <c r="L499" s="39" t="str">
        <f>IF(CRUCE[[#This Row],[TOTAL]]="", "PENDIENTE", IF(CRUCE[[#This Row],[Diferencia]]=0, "CUADRADO", IF(CRUCE[[#This Row],[Diferencia]]&gt;0, "SOBRANTE", "FALTANTE")))</f>
        <v>PENDIENTE</v>
      </c>
      <c r="M499" s="72" t="str">
        <f>IF(CRUCE[[#This Row],[Diferencia]]="","",IF(CRUCE[[#This Row],[Diferencia]]=0,"OK","RECONTEO"))</f>
        <v/>
      </c>
      <c r="N499" s="39" t="str">
        <f>_xlfn.XLOOKUP(CRUCE[[#This Row],[Ubicacion]],Registros[Ubicacion],Registros[Codigo], "")</f>
        <v/>
      </c>
      <c r="O499" s="26"/>
      <c r="P499" s="26"/>
      <c r="Q499" s="39" t="str">
        <f>IF(CRUCE[[#This Row],[TOTAL2]]="", "PENDIENTE", IF(CRUCE[[#This Row],[DIFERENCIA2]]=0, "CUADRADO", IF(CRUCE[[#This Row],[DIFERENCIA2]]&gt;0, "SOBRANTE", "FALTANTE")))</f>
        <v>PENDIENTE</v>
      </c>
      <c r="R499" s="102" t="s">
        <v>5081</v>
      </c>
      <c r="S499" s="127" t="s">
        <v>5586</v>
      </c>
    </row>
    <row r="500" spans="1:19">
      <c r="A500" s="93" t="s">
        <v>5536</v>
      </c>
      <c r="B500" s="38" t="s">
        <v>4858</v>
      </c>
      <c r="C500" s="25"/>
      <c r="D500" s="34"/>
      <c r="E500" s="25"/>
      <c r="F500" s="25"/>
      <c r="G500" s="25"/>
      <c r="H500" s="39" t="str">
        <f>_xlfn.XLOOKUP(CRUCE[[#This Row],[Ubicacion]],Registros[Ubicacion],Registros[Codigo], "")</f>
        <v/>
      </c>
      <c r="I500" s="25" t="str">
        <f>_xlfn.XLOOKUP(CRUCE[[#This Row],[Ubicacion]],Registros[Ubicacion],Registros[Total], "")</f>
        <v/>
      </c>
      <c r="J500" s="25" t="str">
        <f>_xlfn.XLOOKUP(CRUCE[[#This Row],[Ubicacion]],Registros[Ubicacion],Registros[UMA], "")</f>
        <v/>
      </c>
      <c r="K500" s="25" t="str">
        <f>IF(CRUCE[[#This Row],[TOTAL]]="","",CRUCE[[#This Row],[TOTAL]]-CRUCE[[#This Row],[BULTOS]])</f>
        <v/>
      </c>
      <c r="L500" s="38" t="str">
        <f>IF(CRUCE[[#This Row],[TOTAL]]="", "PENDIENTE", IF(CRUCE[[#This Row],[Diferencia]]=0, "CUADRADO", IF(CRUCE[[#This Row],[Diferencia]]&gt;0, "SOBRANTE", "FALTANTE")))</f>
        <v>PENDIENTE</v>
      </c>
      <c r="M500" s="71" t="str">
        <f>IF(CRUCE[[#This Row],[Diferencia]]="","",IF(CRUCE[[#This Row],[Diferencia]]=0,"OK","RECONTEO"))</f>
        <v/>
      </c>
      <c r="N500" s="39" t="str">
        <f>_xlfn.XLOOKUP(CRUCE[[#This Row],[Ubicacion]],Registros[Ubicacion],Registros[Codigo], "")</f>
        <v/>
      </c>
      <c r="O500" s="25"/>
      <c r="P500" s="25"/>
      <c r="Q500" s="39" t="str">
        <f>IF(CRUCE[[#This Row],[TOTAL2]]="", "PENDIENTE", IF(CRUCE[[#This Row],[DIFERENCIA2]]=0, "CUADRADO", IF(CRUCE[[#This Row],[DIFERENCIA2]]&gt;0, "SOBRANTE", "FALTANTE")))</f>
        <v>PENDIENTE</v>
      </c>
      <c r="R500" s="103" t="s">
        <v>5081</v>
      </c>
      <c r="S500" s="127" t="s">
        <v>5587</v>
      </c>
    </row>
    <row r="501" spans="1:19">
      <c r="A501" s="92" t="s">
        <v>5588</v>
      </c>
      <c r="B501" s="39" t="s">
        <v>3391</v>
      </c>
      <c r="C501" s="39">
        <v>8305356</v>
      </c>
      <c r="D501" s="73">
        <v>17861036791016</v>
      </c>
      <c r="E501" s="39" t="s">
        <v>553</v>
      </c>
      <c r="F501" s="39">
        <v>8</v>
      </c>
      <c r="G501" s="39" t="s">
        <v>9</v>
      </c>
      <c r="H501" s="39" t="str">
        <f>_xlfn.XLOOKUP(CRUCE[[#This Row],[Ubicacion]],Registros[Ubicacion],Registros[Codigo], "")</f>
        <v/>
      </c>
      <c r="I501" s="26" t="str">
        <f>_xlfn.XLOOKUP(CRUCE[[#This Row],[Ubicacion]],Registros[Ubicacion],Registros[Total], "")</f>
        <v/>
      </c>
      <c r="J501" s="26" t="str">
        <f>_xlfn.XLOOKUP(CRUCE[[#This Row],[Ubicacion]],Registros[Ubicacion],Registros[UMA], "")</f>
        <v/>
      </c>
      <c r="K501" s="26" t="str">
        <f>IF(CRUCE[[#This Row],[TOTAL]]="","",CRUCE[[#This Row],[TOTAL]]-CRUCE[[#This Row],[BULTOS]])</f>
        <v/>
      </c>
      <c r="L501" s="39" t="str">
        <f>IF(CRUCE[[#This Row],[TOTAL]]="", "PENDIENTE", IF(CRUCE[[#This Row],[Diferencia]]=0, "CUADRADO", IF(CRUCE[[#This Row],[Diferencia]]&gt;0, "SOBRANTE", "FALTANTE")))</f>
        <v>PENDIENTE</v>
      </c>
      <c r="M501" s="72" t="str">
        <f>IF(CRUCE[[#This Row],[Diferencia]]="","",IF(CRUCE[[#This Row],[Diferencia]]=0,"OK","RECONTEO"))</f>
        <v/>
      </c>
      <c r="N501" s="39" t="str">
        <f>_xlfn.XLOOKUP(CRUCE[[#This Row],[Ubicacion]],Registros[Ubicacion],Registros[Codigo], "")</f>
        <v/>
      </c>
      <c r="O501" s="26"/>
      <c r="P501" s="26"/>
      <c r="Q501" s="39" t="str">
        <f>IF(CRUCE[[#This Row],[TOTAL2]]="", "PENDIENTE", IF(CRUCE[[#This Row],[DIFERENCIA2]]=0, "CUADRADO", IF(CRUCE[[#This Row],[DIFERENCIA2]]&gt;0, "SOBRANTE", "FALTANTE")))</f>
        <v>PENDIENTE</v>
      </c>
      <c r="R501" s="102" t="s">
        <v>5081</v>
      </c>
      <c r="S501" s="127" t="s">
        <v>5589</v>
      </c>
    </row>
    <row r="502" spans="1:19">
      <c r="A502" s="93" t="s">
        <v>5588</v>
      </c>
      <c r="B502" s="38" t="s">
        <v>3389</v>
      </c>
      <c r="C502" s="38">
        <v>8305355</v>
      </c>
      <c r="D502" s="74">
        <v>17861036791009</v>
      </c>
      <c r="E502" s="38" t="s">
        <v>551</v>
      </c>
      <c r="F502" s="38">
        <v>16</v>
      </c>
      <c r="G502" s="38" t="s">
        <v>9</v>
      </c>
      <c r="H502" s="39" t="str">
        <f>_xlfn.XLOOKUP(CRUCE[[#This Row],[Ubicacion]],Registros[Ubicacion],Registros[Codigo], "")</f>
        <v/>
      </c>
      <c r="I502" s="25" t="str">
        <f>_xlfn.XLOOKUP(CRUCE[[#This Row],[Ubicacion]],Registros[Ubicacion],Registros[Total], "")</f>
        <v/>
      </c>
      <c r="J502" s="25" t="str">
        <f>_xlfn.XLOOKUP(CRUCE[[#This Row],[Ubicacion]],Registros[Ubicacion],Registros[UMA], "")</f>
        <v/>
      </c>
      <c r="K502" s="25" t="str">
        <f>IF(CRUCE[[#This Row],[TOTAL]]="","",CRUCE[[#This Row],[TOTAL]]-CRUCE[[#This Row],[BULTOS]])</f>
        <v/>
      </c>
      <c r="L502" s="38" t="str">
        <f>IF(CRUCE[[#This Row],[TOTAL]]="", "PENDIENTE", IF(CRUCE[[#This Row],[Diferencia]]=0, "CUADRADO", IF(CRUCE[[#This Row],[Diferencia]]&gt;0, "SOBRANTE", "FALTANTE")))</f>
        <v>PENDIENTE</v>
      </c>
      <c r="M502" s="71" t="str">
        <f>IF(CRUCE[[#This Row],[Diferencia]]="","",IF(CRUCE[[#This Row],[Diferencia]]=0,"OK","RECONTEO"))</f>
        <v/>
      </c>
      <c r="N502" s="39" t="str">
        <f>_xlfn.XLOOKUP(CRUCE[[#This Row],[Ubicacion]],Registros[Ubicacion],Registros[Codigo], "")</f>
        <v/>
      </c>
      <c r="O502" s="25"/>
      <c r="P502" s="25"/>
      <c r="Q502" s="39" t="str">
        <f>IF(CRUCE[[#This Row],[TOTAL2]]="", "PENDIENTE", IF(CRUCE[[#This Row],[DIFERENCIA2]]=0, "CUADRADO", IF(CRUCE[[#This Row],[DIFERENCIA2]]&gt;0, "SOBRANTE", "FALTANTE")))</f>
        <v>PENDIENTE</v>
      </c>
      <c r="R502" s="103" t="s">
        <v>5081</v>
      </c>
      <c r="S502" s="127" t="s">
        <v>5590</v>
      </c>
    </row>
    <row r="503" spans="1:19">
      <c r="A503" s="92" t="s">
        <v>5588</v>
      </c>
      <c r="B503" s="39" t="s">
        <v>3543</v>
      </c>
      <c r="C503" s="39">
        <v>8315045</v>
      </c>
      <c r="D503" s="73">
        <v>17751851559307</v>
      </c>
      <c r="E503" s="39" t="s">
        <v>827</v>
      </c>
      <c r="F503" s="39">
        <v>11</v>
      </c>
      <c r="G503" s="39" t="s">
        <v>9</v>
      </c>
      <c r="H503" s="39" t="str">
        <f>_xlfn.XLOOKUP(CRUCE[[#This Row],[Ubicacion]],Registros[Ubicacion],Registros[Codigo], "")</f>
        <v/>
      </c>
      <c r="I503" s="26" t="str">
        <f>_xlfn.XLOOKUP(CRUCE[[#This Row],[Ubicacion]],Registros[Ubicacion],Registros[Total], "")</f>
        <v/>
      </c>
      <c r="J503" s="26" t="str">
        <f>_xlfn.XLOOKUP(CRUCE[[#This Row],[Ubicacion]],Registros[Ubicacion],Registros[UMA], "")</f>
        <v/>
      </c>
      <c r="K503" s="26" t="str">
        <f>IF(CRUCE[[#This Row],[TOTAL]]="","",CRUCE[[#This Row],[TOTAL]]-CRUCE[[#This Row],[BULTOS]])</f>
        <v/>
      </c>
      <c r="L503" s="39" t="str">
        <f>IF(CRUCE[[#This Row],[TOTAL]]="", "PENDIENTE", IF(CRUCE[[#This Row],[Diferencia]]=0, "CUADRADO", IF(CRUCE[[#This Row],[Diferencia]]&gt;0, "SOBRANTE", "FALTANTE")))</f>
        <v>PENDIENTE</v>
      </c>
      <c r="M503" s="72" t="str">
        <f>IF(CRUCE[[#This Row],[Diferencia]]="","",IF(CRUCE[[#This Row],[Diferencia]]=0,"OK","RECONTEO"))</f>
        <v/>
      </c>
      <c r="N503" s="39" t="str">
        <f>_xlfn.XLOOKUP(CRUCE[[#This Row],[Ubicacion]],Registros[Ubicacion],Registros[Codigo], "")</f>
        <v/>
      </c>
      <c r="O503" s="26"/>
      <c r="P503" s="26"/>
      <c r="Q503" s="39" t="str">
        <f>IF(CRUCE[[#This Row],[TOTAL2]]="", "PENDIENTE", IF(CRUCE[[#This Row],[DIFERENCIA2]]=0, "CUADRADO", IF(CRUCE[[#This Row],[DIFERENCIA2]]&gt;0, "SOBRANTE", "FALTANTE")))</f>
        <v>PENDIENTE</v>
      </c>
      <c r="R503" s="102" t="s">
        <v>5081</v>
      </c>
      <c r="S503" s="127" t="s">
        <v>5591</v>
      </c>
    </row>
    <row r="504" spans="1:19">
      <c r="A504" s="93" t="s">
        <v>5588</v>
      </c>
      <c r="B504" s="38" t="s">
        <v>3545</v>
      </c>
      <c r="C504" s="38">
        <v>8315045</v>
      </c>
      <c r="D504" s="74">
        <v>17751851559307</v>
      </c>
      <c r="E504" s="38" t="s">
        <v>827</v>
      </c>
      <c r="F504" s="38">
        <v>11</v>
      </c>
      <c r="G504" s="38" t="s">
        <v>9</v>
      </c>
      <c r="H504" s="39" t="str">
        <f>_xlfn.XLOOKUP(CRUCE[[#This Row],[Ubicacion]],Registros[Ubicacion],Registros[Codigo], "")</f>
        <v/>
      </c>
      <c r="I504" s="25" t="str">
        <f>_xlfn.XLOOKUP(CRUCE[[#This Row],[Ubicacion]],Registros[Ubicacion],Registros[Total], "")</f>
        <v/>
      </c>
      <c r="J504" s="25" t="str">
        <f>_xlfn.XLOOKUP(CRUCE[[#This Row],[Ubicacion]],Registros[Ubicacion],Registros[UMA], "")</f>
        <v/>
      </c>
      <c r="K504" s="25" t="str">
        <f>IF(CRUCE[[#This Row],[TOTAL]]="","",CRUCE[[#This Row],[TOTAL]]-CRUCE[[#This Row],[BULTOS]])</f>
        <v/>
      </c>
      <c r="L504" s="38" t="str">
        <f>IF(CRUCE[[#This Row],[TOTAL]]="", "PENDIENTE", IF(CRUCE[[#This Row],[Diferencia]]=0, "CUADRADO", IF(CRUCE[[#This Row],[Diferencia]]&gt;0, "SOBRANTE", "FALTANTE")))</f>
        <v>PENDIENTE</v>
      </c>
      <c r="M504" s="71" t="str">
        <f>IF(CRUCE[[#This Row],[Diferencia]]="","",IF(CRUCE[[#This Row],[Diferencia]]=0,"OK","RECONTEO"))</f>
        <v/>
      </c>
      <c r="N504" s="39" t="str">
        <f>_xlfn.XLOOKUP(CRUCE[[#This Row],[Ubicacion]],Registros[Ubicacion],Registros[Codigo], "")</f>
        <v/>
      </c>
      <c r="O504" s="25"/>
      <c r="P504" s="25"/>
      <c r="Q504" s="39" t="str">
        <f>IF(CRUCE[[#This Row],[TOTAL2]]="", "PENDIENTE", IF(CRUCE[[#This Row],[DIFERENCIA2]]=0, "CUADRADO", IF(CRUCE[[#This Row],[DIFERENCIA2]]&gt;0, "SOBRANTE", "FALTANTE")))</f>
        <v>PENDIENTE</v>
      </c>
      <c r="R504" s="103" t="s">
        <v>5081</v>
      </c>
      <c r="S504" s="127" t="s">
        <v>5592</v>
      </c>
    </row>
    <row r="505" spans="1:19">
      <c r="A505" s="92" t="s">
        <v>5588</v>
      </c>
      <c r="B505" s="39" t="s">
        <v>3549</v>
      </c>
      <c r="C505" s="39">
        <v>8315047</v>
      </c>
      <c r="D505" s="73">
        <v>17751851559321</v>
      </c>
      <c r="E505" s="39" t="s">
        <v>831</v>
      </c>
      <c r="F505" s="39">
        <v>1</v>
      </c>
      <c r="G505" s="39" t="s">
        <v>9</v>
      </c>
      <c r="H505" s="39" t="str">
        <f>_xlfn.XLOOKUP(CRUCE[[#This Row],[Ubicacion]],Registros[Ubicacion],Registros[Codigo], "")</f>
        <v/>
      </c>
      <c r="I505" s="26" t="str">
        <f>_xlfn.XLOOKUP(CRUCE[[#This Row],[Ubicacion]],Registros[Ubicacion],Registros[Total], "")</f>
        <v/>
      </c>
      <c r="J505" s="26" t="str">
        <f>_xlfn.XLOOKUP(CRUCE[[#This Row],[Ubicacion]],Registros[Ubicacion],Registros[UMA], "")</f>
        <v/>
      </c>
      <c r="K505" s="26" t="str">
        <f>IF(CRUCE[[#This Row],[TOTAL]]="","",CRUCE[[#This Row],[TOTAL]]-CRUCE[[#This Row],[BULTOS]])</f>
        <v/>
      </c>
      <c r="L505" s="39" t="str">
        <f>IF(CRUCE[[#This Row],[TOTAL]]="", "PENDIENTE", IF(CRUCE[[#This Row],[Diferencia]]=0, "CUADRADO", IF(CRUCE[[#This Row],[Diferencia]]&gt;0, "SOBRANTE", "FALTANTE")))</f>
        <v>PENDIENTE</v>
      </c>
      <c r="M505" s="72" t="str">
        <f>IF(CRUCE[[#This Row],[Diferencia]]="","",IF(CRUCE[[#This Row],[Diferencia]]=0,"OK","RECONTEO"))</f>
        <v/>
      </c>
      <c r="N505" s="39" t="str">
        <f>_xlfn.XLOOKUP(CRUCE[[#This Row],[Ubicacion]],Registros[Ubicacion],Registros[Codigo], "")</f>
        <v/>
      </c>
      <c r="O505" s="26"/>
      <c r="P505" s="26"/>
      <c r="Q505" s="39" t="str">
        <f>IF(CRUCE[[#This Row],[TOTAL2]]="", "PENDIENTE", IF(CRUCE[[#This Row],[DIFERENCIA2]]=0, "CUADRADO", IF(CRUCE[[#This Row],[DIFERENCIA2]]&gt;0, "SOBRANTE", "FALTANTE")))</f>
        <v>PENDIENTE</v>
      </c>
      <c r="R505" s="102" t="s">
        <v>5081</v>
      </c>
      <c r="S505" s="127" t="s">
        <v>5593</v>
      </c>
    </row>
    <row r="506" spans="1:19">
      <c r="A506" s="93" t="s">
        <v>5588</v>
      </c>
      <c r="B506" s="38" t="s">
        <v>3366</v>
      </c>
      <c r="C506" s="38">
        <v>8305344</v>
      </c>
      <c r="D506" s="74">
        <v>17861036793072</v>
      </c>
      <c r="E506" s="38" t="s">
        <v>529</v>
      </c>
      <c r="F506" s="38">
        <v>23</v>
      </c>
      <c r="G506" s="38" t="s">
        <v>9</v>
      </c>
      <c r="H506" s="39" t="str">
        <f>_xlfn.XLOOKUP(CRUCE[[#This Row],[Ubicacion]],Registros[Ubicacion],Registros[Codigo], "")</f>
        <v/>
      </c>
      <c r="I506" s="25" t="str">
        <f>_xlfn.XLOOKUP(CRUCE[[#This Row],[Ubicacion]],Registros[Ubicacion],Registros[Total], "")</f>
        <v/>
      </c>
      <c r="J506" s="25" t="str">
        <f>_xlfn.XLOOKUP(CRUCE[[#This Row],[Ubicacion]],Registros[Ubicacion],Registros[UMA], "")</f>
        <v/>
      </c>
      <c r="K506" s="25" t="str">
        <f>IF(CRUCE[[#This Row],[TOTAL]]="","",CRUCE[[#This Row],[TOTAL]]-CRUCE[[#This Row],[BULTOS]])</f>
        <v/>
      </c>
      <c r="L506" s="38" t="str">
        <f>IF(CRUCE[[#This Row],[TOTAL]]="", "PENDIENTE", IF(CRUCE[[#This Row],[Diferencia]]=0, "CUADRADO", IF(CRUCE[[#This Row],[Diferencia]]&gt;0, "SOBRANTE", "FALTANTE")))</f>
        <v>PENDIENTE</v>
      </c>
      <c r="M506" s="71" t="str">
        <f>IF(CRUCE[[#This Row],[Diferencia]]="","",IF(CRUCE[[#This Row],[Diferencia]]=0,"OK","RECONTEO"))</f>
        <v/>
      </c>
      <c r="N506" s="39" t="str">
        <f>_xlfn.XLOOKUP(CRUCE[[#This Row],[Ubicacion]],Registros[Ubicacion],Registros[Codigo], "")</f>
        <v/>
      </c>
      <c r="O506" s="25"/>
      <c r="P506" s="25"/>
      <c r="Q506" s="39" t="str">
        <f>IF(CRUCE[[#This Row],[TOTAL2]]="", "PENDIENTE", IF(CRUCE[[#This Row],[DIFERENCIA2]]=0, "CUADRADO", IF(CRUCE[[#This Row],[DIFERENCIA2]]&gt;0, "SOBRANTE", "FALTANTE")))</f>
        <v>PENDIENTE</v>
      </c>
      <c r="R506" s="103" t="s">
        <v>5081</v>
      </c>
      <c r="S506" s="127" t="s">
        <v>5594</v>
      </c>
    </row>
    <row r="507" spans="1:19">
      <c r="A507" s="92" t="s">
        <v>5588</v>
      </c>
      <c r="B507" s="39" t="s">
        <v>3360</v>
      </c>
      <c r="C507" s="39">
        <v>8305339</v>
      </c>
      <c r="D507" s="73">
        <v>17861036793027</v>
      </c>
      <c r="E507" s="39" t="s">
        <v>525</v>
      </c>
      <c r="F507" s="39">
        <v>48</v>
      </c>
      <c r="G507" s="39" t="s">
        <v>9</v>
      </c>
      <c r="H507" s="39" t="str">
        <f>_xlfn.XLOOKUP(CRUCE[[#This Row],[Ubicacion]],Registros[Ubicacion],Registros[Codigo], "")</f>
        <v/>
      </c>
      <c r="I507" s="26" t="str">
        <f>_xlfn.XLOOKUP(CRUCE[[#This Row],[Ubicacion]],Registros[Ubicacion],Registros[Total], "")</f>
        <v/>
      </c>
      <c r="J507" s="26" t="str">
        <f>_xlfn.XLOOKUP(CRUCE[[#This Row],[Ubicacion]],Registros[Ubicacion],Registros[UMA], "")</f>
        <v/>
      </c>
      <c r="K507" s="26" t="str">
        <f>IF(CRUCE[[#This Row],[TOTAL]]="","",CRUCE[[#This Row],[TOTAL]]-CRUCE[[#This Row],[BULTOS]])</f>
        <v/>
      </c>
      <c r="L507" s="39" t="str">
        <f>IF(CRUCE[[#This Row],[TOTAL]]="", "PENDIENTE", IF(CRUCE[[#This Row],[Diferencia]]=0, "CUADRADO", IF(CRUCE[[#This Row],[Diferencia]]&gt;0, "SOBRANTE", "FALTANTE")))</f>
        <v>PENDIENTE</v>
      </c>
      <c r="M507" s="72" t="str">
        <f>IF(CRUCE[[#This Row],[Diferencia]]="","",IF(CRUCE[[#This Row],[Diferencia]]=0,"OK","RECONTEO"))</f>
        <v/>
      </c>
      <c r="N507" s="39" t="str">
        <f>_xlfn.XLOOKUP(CRUCE[[#This Row],[Ubicacion]],Registros[Ubicacion],Registros[Codigo], "")</f>
        <v/>
      </c>
      <c r="O507" s="26"/>
      <c r="P507" s="26"/>
      <c r="Q507" s="39" t="str">
        <f>IF(CRUCE[[#This Row],[TOTAL2]]="", "PENDIENTE", IF(CRUCE[[#This Row],[DIFERENCIA2]]=0, "CUADRADO", IF(CRUCE[[#This Row],[DIFERENCIA2]]&gt;0, "SOBRANTE", "FALTANTE")))</f>
        <v>PENDIENTE</v>
      </c>
      <c r="R507" s="102" t="s">
        <v>5081</v>
      </c>
      <c r="S507" s="127" t="s">
        <v>5595</v>
      </c>
    </row>
    <row r="508" spans="1:19">
      <c r="A508" s="93" t="s">
        <v>5588</v>
      </c>
      <c r="B508" s="38" t="s">
        <v>3363</v>
      </c>
      <c r="C508" s="38">
        <v>8305343</v>
      </c>
      <c r="D508" s="74">
        <v>17861036793065</v>
      </c>
      <c r="E508" s="38" t="s">
        <v>527</v>
      </c>
      <c r="F508" s="38">
        <v>36</v>
      </c>
      <c r="G508" s="38" t="s">
        <v>9</v>
      </c>
      <c r="H508" s="39" t="str">
        <f>_xlfn.XLOOKUP(CRUCE[[#This Row],[Ubicacion]],Registros[Ubicacion],Registros[Codigo], "")</f>
        <v/>
      </c>
      <c r="I508" s="25" t="str">
        <f>_xlfn.XLOOKUP(CRUCE[[#This Row],[Ubicacion]],Registros[Ubicacion],Registros[Total], "")</f>
        <v/>
      </c>
      <c r="J508" s="25" t="str">
        <f>_xlfn.XLOOKUP(CRUCE[[#This Row],[Ubicacion]],Registros[Ubicacion],Registros[UMA], "")</f>
        <v/>
      </c>
      <c r="K508" s="25" t="str">
        <f>IF(CRUCE[[#This Row],[TOTAL]]="","",CRUCE[[#This Row],[TOTAL]]-CRUCE[[#This Row],[BULTOS]])</f>
        <v/>
      </c>
      <c r="L508" s="38" t="str">
        <f>IF(CRUCE[[#This Row],[TOTAL]]="", "PENDIENTE", IF(CRUCE[[#This Row],[Diferencia]]=0, "CUADRADO", IF(CRUCE[[#This Row],[Diferencia]]&gt;0, "SOBRANTE", "FALTANTE")))</f>
        <v>PENDIENTE</v>
      </c>
      <c r="M508" s="71" t="str">
        <f>IF(CRUCE[[#This Row],[Diferencia]]="","",IF(CRUCE[[#This Row],[Diferencia]]=0,"OK","RECONTEO"))</f>
        <v/>
      </c>
      <c r="N508" s="39" t="str">
        <f>_xlfn.XLOOKUP(CRUCE[[#This Row],[Ubicacion]],Registros[Ubicacion],Registros[Codigo], "")</f>
        <v/>
      </c>
      <c r="O508" s="25"/>
      <c r="P508" s="25"/>
      <c r="Q508" s="39" t="str">
        <f>IF(CRUCE[[#This Row],[TOTAL2]]="", "PENDIENTE", IF(CRUCE[[#This Row],[DIFERENCIA2]]=0, "CUADRADO", IF(CRUCE[[#This Row],[DIFERENCIA2]]&gt;0, "SOBRANTE", "FALTANTE")))</f>
        <v>PENDIENTE</v>
      </c>
      <c r="R508" s="103" t="s">
        <v>5081</v>
      </c>
      <c r="S508" s="127" t="s">
        <v>5596</v>
      </c>
    </row>
    <row r="509" spans="1:19">
      <c r="A509" s="92" t="s">
        <v>5588</v>
      </c>
      <c r="B509" s="39" t="s">
        <v>3285</v>
      </c>
      <c r="C509" s="39">
        <v>8305190</v>
      </c>
      <c r="D509" s="73">
        <v>17750243080528</v>
      </c>
      <c r="E509" s="39" t="s">
        <v>416</v>
      </c>
      <c r="F509" s="39">
        <v>3</v>
      </c>
      <c r="G509" s="39" t="s">
        <v>9</v>
      </c>
      <c r="H509" s="39" t="str">
        <f>_xlfn.XLOOKUP(CRUCE[[#This Row],[Ubicacion]],Registros[Ubicacion],Registros[Codigo], "")</f>
        <v/>
      </c>
      <c r="I509" s="26" t="str">
        <f>_xlfn.XLOOKUP(CRUCE[[#This Row],[Ubicacion]],Registros[Ubicacion],Registros[Total], "")</f>
        <v/>
      </c>
      <c r="J509" s="26" t="str">
        <f>_xlfn.XLOOKUP(CRUCE[[#This Row],[Ubicacion]],Registros[Ubicacion],Registros[UMA], "")</f>
        <v/>
      </c>
      <c r="K509" s="26" t="str">
        <f>IF(CRUCE[[#This Row],[TOTAL]]="","",CRUCE[[#This Row],[TOTAL]]-CRUCE[[#This Row],[BULTOS]])</f>
        <v/>
      </c>
      <c r="L509" s="39" t="str">
        <f>IF(CRUCE[[#This Row],[TOTAL]]="", "PENDIENTE", IF(CRUCE[[#This Row],[Diferencia]]=0, "CUADRADO", IF(CRUCE[[#This Row],[Diferencia]]&gt;0, "SOBRANTE", "FALTANTE")))</f>
        <v>PENDIENTE</v>
      </c>
      <c r="M509" s="72" t="str">
        <f>IF(CRUCE[[#This Row],[Diferencia]]="","",IF(CRUCE[[#This Row],[Diferencia]]=0,"OK","RECONTEO"))</f>
        <v/>
      </c>
      <c r="N509" s="39" t="str">
        <f>_xlfn.XLOOKUP(CRUCE[[#This Row],[Ubicacion]],Registros[Ubicacion],Registros[Codigo], "")</f>
        <v/>
      </c>
      <c r="O509" s="26"/>
      <c r="P509" s="26"/>
      <c r="Q509" s="39" t="str">
        <f>IF(CRUCE[[#This Row],[TOTAL2]]="", "PENDIENTE", IF(CRUCE[[#This Row],[DIFERENCIA2]]=0, "CUADRADO", IF(CRUCE[[#This Row],[DIFERENCIA2]]&gt;0, "SOBRANTE", "FALTANTE")))</f>
        <v>PENDIENTE</v>
      </c>
      <c r="R509" s="102" t="s">
        <v>5081</v>
      </c>
      <c r="S509" s="127" t="s">
        <v>5597</v>
      </c>
    </row>
    <row r="510" spans="1:19">
      <c r="A510" s="93" t="s">
        <v>5588</v>
      </c>
      <c r="B510" s="38" t="s">
        <v>3146</v>
      </c>
      <c r="C510" s="38">
        <v>8300111</v>
      </c>
      <c r="D510" s="74">
        <v>17750243082225</v>
      </c>
      <c r="E510" s="38" t="s">
        <v>155</v>
      </c>
      <c r="F510" s="38">
        <v>61</v>
      </c>
      <c r="G510" s="38" t="s">
        <v>9</v>
      </c>
      <c r="H510" s="39" t="str">
        <f>_xlfn.XLOOKUP(CRUCE[[#This Row],[Ubicacion]],Registros[Ubicacion],Registros[Codigo], "")</f>
        <v/>
      </c>
      <c r="I510" s="25" t="str">
        <f>_xlfn.XLOOKUP(CRUCE[[#This Row],[Ubicacion]],Registros[Ubicacion],Registros[Total], "")</f>
        <v/>
      </c>
      <c r="J510" s="25" t="str">
        <f>_xlfn.XLOOKUP(CRUCE[[#This Row],[Ubicacion]],Registros[Ubicacion],Registros[UMA], "")</f>
        <v/>
      </c>
      <c r="K510" s="25" t="str">
        <f>IF(CRUCE[[#This Row],[TOTAL]]="","",CRUCE[[#This Row],[TOTAL]]-CRUCE[[#This Row],[BULTOS]])</f>
        <v/>
      </c>
      <c r="L510" s="38" t="str">
        <f>IF(CRUCE[[#This Row],[TOTAL]]="", "PENDIENTE", IF(CRUCE[[#This Row],[Diferencia]]=0, "CUADRADO", IF(CRUCE[[#This Row],[Diferencia]]&gt;0, "SOBRANTE", "FALTANTE")))</f>
        <v>PENDIENTE</v>
      </c>
      <c r="M510" s="71" t="str">
        <f>IF(CRUCE[[#This Row],[Diferencia]]="","",IF(CRUCE[[#This Row],[Diferencia]]=0,"OK","RECONTEO"))</f>
        <v/>
      </c>
      <c r="N510" s="39" t="str">
        <f>_xlfn.XLOOKUP(CRUCE[[#This Row],[Ubicacion]],Registros[Ubicacion],Registros[Codigo], "")</f>
        <v/>
      </c>
      <c r="O510" s="25"/>
      <c r="P510" s="25"/>
      <c r="Q510" s="39" t="str">
        <f>IF(CRUCE[[#This Row],[TOTAL2]]="", "PENDIENTE", IF(CRUCE[[#This Row],[DIFERENCIA2]]=0, "CUADRADO", IF(CRUCE[[#This Row],[DIFERENCIA2]]&gt;0, "SOBRANTE", "FALTANTE")))</f>
        <v>PENDIENTE</v>
      </c>
      <c r="R510" s="103" t="s">
        <v>5081</v>
      </c>
      <c r="S510" s="127" t="s">
        <v>5598</v>
      </c>
    </row>
    <row r="511" spans="1:19">
      <c r="A511" s="92" t="s">
        <v>5588</v>
      </c>
      <c r="B511" s="39" t="s">
        <v>3308</v>
      </c>
      <c r="C511" s="39">
        <v>8305275</v>
      </c>
      <c r="D511" s="73">
        <v>37751851025080</v>
      </c>
      <c r="E511" s="39" t="s">
        <v>444</v>
      </c>
      <c r="F511" s="39">
        <v>46</v>
      </c>
      <c r="G511" s="39" t="s">
        <v>9</v>
      </c>
      <c r="H511" s="39" t="str">
        <f>_xlfn.XLOOKUP(CRUCE[[#This Row],[Ubicacion]],Registros[Ubicacion],Registros[Codigo], "")</f>
        <v/>
      </c>
      <c r="I511" s="26" t="str">
        <f>_xlfn.XLOOKUP(CRUCE[[#This Row],[Ubicacion]],Registros[Ubicacion],Registros[Total], "")</f>
        <v/>
      </c>
      <c r="J511" s="26" t="str">
        <f>_xlfn.XLOOKUP(CRUCE[[#This Row],[Ubicacion]],Registros[Ubicacion],Registros[UMA], "")</f>
        <v/>
      </c>
      <c r="K511" s="26" t="str">
        <f>IF(CRUCE[[#This Row],[TOTAL]]="","",CRUCE[[#This Row],[TOTAL]]-CRUCE[[#This Row],[BULTOS]])</f>
        <v/>
      </c>
      <c r="L511" s="39" t="str">
        <f>IF(CRUCE[[#This Row],[TOTAL]]="", "PENDIENTE", IF(CRUCE[[#This Row],[Diferencia]]=0, "CUADRADO", IF(CRUCE[[#This Row],[Diferencia]]&gt;0, "SOBRANTE", "FALTANTE")))</f>
        <v>PENDIENTE</v>
      </c>
      <c r="M511" s="72" t="str">
        <f>IF(CRUCE[[#This Row],[Diferencia]]="","",IF(CRUCE[[#This Row],[Diferencia]]=0,"OK","RECONTEO"))</f>
        <v/>
      </c>
      <c r="N511" s="39" t="str">
        <f>_xlfn.XLOOKUP(CRUCE[[#This Row],[Ubicacion]],Registros[Ubicacion],Registros[Codigo], "")</f>
        <v/>
      </c>
      <c r="O511" s="26"/>
      <c r="P511" s="26"/>
      <c r="Q511" s="39" t="str">
        <f>IF(CRUCE[[#This Row],[TOTAL2]]="", "PENDIENTE", IF(CRUCE[[#This Row],[DIFERENCIA2]]=0, "CUADRADO", IF(CRUCE[[#This Row],[DIFERENCIA2]]&gt;0, "SOBRANTE", "FALTANTE")))</f>
        <v>PENDIENTE</v>
      </c>
      <c r="R511" s="102" t="s">
        <v>5081</v>
      </c>
      <c r="S511" s="127" t="s">
        <v>5599</v>
      </c>
    </row>
    <row r="512" spans="1:19">
      <c r="A512" s="93" t="s">
        <v>5588</v>
      </c>
      <c r="B512" s="38" t="s">
        <v>3311</v>
      </c>
      <c r="C512" s="38">
        <v>8305276</v>
      </c>
      <c r="D512" s="74">
        <v>37751851025097</v>
      </c>
      <c r="E512" s="38" t="s">
        <v>446</v>
      </c>
      <c r="F512" s="38">
        <v>26</v>
      </c>
      <c r="G512" s="38" t="s">
        <v>9</v>
      </c>
      <c r="H512" s="39" t="str">
        <f>_xlfn.XLOOKUP(CRUCE[[#This Row],[Ubicacion]],Registros[Ubicacion],Registros[Codigo], "")</f>
        <v/>
      </c>
      <c r="I512" s="25" t="str">
        <f>_xlfn.XLOOKUP(CRUCE[[#This Row],[Ubicacion]],Registros[Ubicacion],Registros[Total], "")</f>
        <v/>
      </c>
      <c r="J512" s="25" t="str">
        <f>_xlfn.XLOOKUP(CRUCE[[#This Row],[Ubicacion]],Registros[Ubicacion],Registros[UMA], "")</f>
        <v/>
      </c>
      <c r="K512" s="25" t="str">
        <f>IF(CRUCE[[#This Row],[TOTAL]]="","",CRUCE[[#This Row],[TOTAL]]-CRUCE[[#This Row],[BULTOS]])</f>
        <v/>
      </c>
      <c r="L512" s="38" t="str">
        <f>IF(CRUCE[[#This Row],[TOTAL]]="", "PENDIENTE", IF(CRUCE[[#This Row],[Diferencia]]=0, "CUADRADO", IF(CRUCE[[#This Row],[Diferencia]]&gt;0, "SOBRANTE", "FALTANTE")))</f>
        <v>PENDIENTE</v>
      </c>
      <c r="M512" s="71" t="str">
        <f>IF(CRUCE[[#This Row],[Diferencia]]="","",IF(CRUCE[[#This Row],[Diferencia]]=0,"OK","RECONTEO"))</f>
        <v/>
      </c>
      <c r="N512" s="39" t="str">
        <f>_xlfn.XLOOKUP(CRUCE[[#This Row],[Ubicacion]],Registros[Ubicacion],Registros[Codigo], "")</f>
        <v/>
      </c>
      <c r="O512" s="25"/>
      <c r="P512" s="25"/>
      <c r="Q512" s="39" t="str">
        <f>IF(CRUCE[[#This Row],[TOTAL2]]="", "PENDIENTE", IF(CRUCE[[#This Row],[DIFERENCIA2]]=0, "CUADRADO", IF(CRUCE[[#This Row],[DIFERENCIA2]]&gt;0, "SOBRANTE", "FALTANTE")))</f>
        <v>PENDIENTE</v>
      </c>
      <c r="R512" s="103" t="s">
        <v>5081</v>
      </c>
      <c r="S512" s="127" t="s">
        <v>5600</v>
      </c>
    </row>
    <row r="513" spans="1:19">
      <c r="A513" s="92" t="s">
        <v>5588</v>
      </c>
      <c r="B513" s="39" t="s">
        <v>3315</v>
      </c>
      <c r="C513" s="39">
        <v>8305277</v>
      </c>
      <c r="D513" s="73">
        <v>27751851026516</v>
      </c>
      <c r="E513" s="39" t="s">
        <v>448</v>
      </c>
      <c r="F513" s="39">
        <v>29</v>
      </c>
      <c r="G513" s="39" t="s">
        <v>9</v>
      </c>
      <c r="H513" s="39" t="str">
        <f>_xlfn.XLOOKUP(CRUCE[[#This Row],[Ubicacion]],Registros[Ubicacion],Registros[Codigo], "")</f>
        <v/>
      </c>
      <c r="I513" s="26" t="str">
        <f>_xlfn.XLOOKUP(CRUCE[[#This Row],[Ubicacion]],Registros[Ubicacion],Registros[Total], "")</f>
        <v/>
      </c>
      <c r="J513" s="26" t="str">
        <f>_xlfn.XLOOKUP(CRUCE[[#This Row],[Ubicacion]],Registros[Ubicacion],Registros[UMA], "")</f>
        <v/>
      </c>
      <c r="K513" s="26" t="str">
        <f>IF(CRUCE[[#This Row],[TOTAL]]="","",CRUCE[[#This Row],[TOTAL]]-CRUCE[[#This Row],[BULTOS]])</f>
        <v/>
      </c>
      <c r="L513" s="39" t="str">
        <f>IF(CRUCE[[#This Row],[TOTAL]]="", "PENDIENTE", IF(CRUCE[[#This Row],[Diferencia]]=0, "CUADRADO", IF(CRUCE[[#This Row],[Diferencia]]&gt;0, "SOBRANTE", "FALTANTE")))</f>
        <v>PENDIENTE</v>
      </c>
      <c r="M513" s="72" t="str">
        <f>IF(CRUCE[[#This Row],[Diferencia]]="","",IF(CRUCE[[#This Row],[Diferencia]]=0,"OK","RECONTEO"))</f>
        <v/>
      </c>
      <c r="N513" s="39" t="str">
        <f>_xlfn.XLOOKUP(CRUCE[[#This Row],[Ubicacion]],Registros[Ubicacion],Registros[Codigo], "")</f>
        <v/>
      </c>
      <c r="O513" s="26"/>
      <c r="P513" s="26"/>
      <c r="Q513" s="39" t="str">
        <f>IF(CRUCE[[#This Row],[TOTAL2]]="", "PENDIENTE", IF(CRUCE[[#This Row],[DIFERENCIA2]]=0, "CUADRADO", IF(CRUCE[[#This Row],[DIFERENCIA2]]&gt;0, "SOBRANTE", "FALTANTE")))</f>
        <v>PENDIENTE</v>
      </c>
      <c r="R513" s="102" t="s">
        <v>5081</v>
      </c>
      <c r="S513" s="127" t="s">
        <v>5601</v>
      </c>
    </row>
    <row r="514" spans="1:19">
      <c r="A514" s="93" t="s">
        <v>5588</v>
      </c>
      <c r="B514" s="38" t="s">
        <v>4135</v>
      </c>
      <c r="C514" s="38">
        <v>8606050</v>
      </c>
      <c r="D514" s="74">
        <v>17750672003181</v>
      </c>
      <c r="E514" s="38" t="s">
        <v>2838</v>
      </c>
      <c r="F514" s="38">
        <v>75</v>
      </c>
      <c r="G514" s="38" t="s">
        <v>288</v>
      </c>
      <c r="H514" s="39" t="str">
        <f>_xlfn.XLOOKUP(CRUCE[[#This Row],[Ubicacion]],Registros[Ubicacion],Registros[Codigo], "")</f>
        <v/>
      </c>
      <c r="I514" s="25" t="str">
        <f>_xlfn.XLOOKUP(CRUCE[[#This Row],[Ubicacion]],Registros[Ubicacion],Registros[Total], "")</f>
        <v/>
      </c>
      <c r="J514" s="25" t="str">
        <f>_xlfn.XLOOKUP(CRUCE[[#This Row],[Ubicacion]],Registros[Ubicacion],Registros[UMA], "")</f>
        <v/>
      </c>
      <c r="K514" s="25" t="str">
        <f>IF(CRUCE[[#This Row],[TOTAL]]="","",CRUCE[[#This Row],[TOTAL]]-CRUCE[[#This Row],[BULTOS]])</f>
        <v/>
      </c>
      <c r="L514" s="38" t="str">
        <f>IF(CRUCE[[#This Row],[TOTAL]]="", "PENDIENTE", IF(CRUCE[[#This Row],[Diferencia]]=0, "CUADRADO", IF(CRUCE[[#This Row],[Diferencia]]&gt;0, "SOBRANTE", "FALTANTE")))</f>
        <v>PENDIENTE</v>
      </c>
      <c r="M514" s="71" t="str">
        <f>IF(CRUCE[[#This Row],[Diferencia]]="","",IF(CRUCE[[#This Row],[Diferencia]]=0,"OK","RECONTEO"))</f>
        <v/>
      </c>
      <c r="N514" s="39" t="str">
        <f>_xlfn.XLOOKUP(CRUCE[[#This Row],[Ubicacion]],Registros[Ubicacion],Registros[Codigo], "")</f>
        <v/>
      </c>
      <c r="O514" s="25"/>
      <c r="P514" s="25"/>
      <c r="Q514" s="39" t="str">
        <f>IF(CRUCE[[#This Row],[TOTAL2]]="", "PENDIENTE", IF(CRUCE[[#This Row],[DIFERENCIA2]]=0, "CUADRADO", IF(CRUCE[[#This Row],[DIFERENCIA2]]&gt;0, "SOBRANTE", "FALTANTE")))</f>
        <v>PENDIENTE</v>
      </c>
      <c r="R514" s="103" t="s">
        <v>5081</v>
      </c>
      <c r="S514" s="127" t="s">
        <v>5602</v>
      </c>
    </row>
    <row r="515" spans="1:19">
      <c r="A515" s="92" t="s">
        <v>5588</v>
      </c>
      <c r="B515" s="39" t="s">
        <v>3393</v>
      </c>
      <c r="C515" s="39">
        <v>8305357</v>
      </c>
      <c r="D515" s="73">
        <v>17861036793638</v>
      </c>
      <c r="E515" s="39" t="s">
        <v>555</v>
      </c>
      <c r="F515" s="39">
        <v>9</v>
      </c>
      <c r="G515" s="39" t="s">
        <v>9</v>
      </c>
      <c r="H515" s="39" t="str">
        <f>_xlfn.XLOOKUP(CRUCE[[#This Row],[Ubicacion]],Registros[Ubicacion],Registros[Codigo], "")</f>
        <v/>
      </c>
      <c r="I515" s="26" t="str">
        <f>_xlfn.XLOOKUP(CRUCE[[#This Row],[Ubicacion]],Registros[Ubicacion],Registros[Total], "")</f>
        <v/>
      </c>
      <c r="J515" s="26" t="str">
        <f>_xlfn.XLOOKUP(CRUCE[[#This Row],[Ubicacion]],Registros[Ubicacion],Registros[UMA], "")</f>
        <v/>
      </c>
      <c r="K515" s="26" t="str">
        <f>IF(CRUCE[[#This Row],[TOTAL]]="","",CRUCE[[#This Row],[TOTAL]]-CRUCE[[#This Row],[BULTOS]])</f>
        <v/>
      </c>
      <c r="L515" s="39" t="str">
        <f>IF(CRUCE[[#This Row],[TOTAL]]="", "PENDIENTE", IF(CRUCE[[#This Row],[Diferencia]]=0, "CUADRADO", IF(CRUCE[[#This Row],[Diferencia]]&gt;0, "SOBRANTE", "FALTANTE")))</f>
        <v>PENDIENTE</v>
      </c>
      <c r="M515" s="72" t="str">
        <f>IF(CRUCE[[#This Row],[Diferencia]]="","",IF(CRUCE[[#This Row],[Diferencia]]=0,"OK","RECONTEO"))</f>
        <v/>
      </c>
      <c r="N515" s="39" t="str">
        <f>_xlfn.XLOOKUP(CRUCE[[#This Row],[Ubicacion]],Registros[Ubicacion],Registros[Codigo], "")</f>
        <v/>
      </c>
      <c r="O515" s="26"/>
      <c r="P515" s="26"/>
      <c r="Q515" s="39" t="str">
        <f>IF(CRUCE[[#This Row],[TOTAL2]]="", "PENDIENTE", IF(CRUCE[[#This Row],[DIFERENCIA2]]=0, "CUADRADO", IF(CRUCE[[#This Row],[DIFERENCIA2]]&gt;0, "SOBRANTE", "FALTANTE")))</f>
        <v>PENDIENTE</v>
      </c>
      <c r="R515" s="102" t="s">
        <v>5081</v>
      </c>
      <c r="S515" s="127" t="s">
        <v>5603</v>
      </c>
    </row>
    <row r="516" spans="1:19">
      <c r="A516" s="93" t="s">
        <v>5588</v>
      </c>
      <c r="B516" s="38" t="s">
        <v>4108</v>
      </c>
      <c r="C516" s="38">
        <v>8600139</v>
      </c>
      <c r="D516" s="74">
        <v>17750243080443</v>
      </c>
      <c r="E516" s="38" t="s">
        <v>2775</v>
      </c>
      <c r="F516" s="38">
        <v>75</v>
      </c>
      <c r="G516" s="38" t="s">
        <v>9</v>
      </c>
      <c r="H516" s="39" t="str">
        <f>_xlfn.XLOOKUP(CRUCE[[#This Row],[Ubicacion]],Registros[Ubicacion],Registros[Codigo], "")</f>
        <v/>
      </c>
      <c r="I516" s="25" t="str">
        <f>_xlfn.XLOOKUP(CRUCE[[#This Row],[Ubicacion]],Registros[Ubicacion],Registros[Total], "")</f>
        <v/>
      </c>
      <c r="J516" s="25" t="str">
        <f>_xlfn.XLOOKUP(CRUCE[[#This Row],[Ubicacion]],Registros[Ubicacion],Registros[UMA], "")</f>
        <v/>
      </c>
      <c r="K516" s="25" t="str">
        <f>IF(CRUCE[[#This Row],[TOTAL]]="","",CRUCE[[#This Row],[TOTAL]]-CRUCE[[#This Row],[BULTOS]])</f>
        <v/>
      </c>
      <c r="L516" s="38" t="str">
        <f>IF(CRUCE[[#This Row],[TOTAL]]="", "PENDIENTE", IF(CRUCE[[#This Row],[Diferencia]]=0, "CUADRADO", IF(CRUCE[[#This Row],[Diferencia]]&gt;0, "SOBRANTE", "FALTANTE")))</f>
        <v>PENDIENTE</v>
      </c>
      <c r="M516" s="71" t="str">
        <f>IF(CRUCE[[#This Row],[Diferencia]]="","",IF(CRUCE[[#This Row],[Diferencia]]=0,"OK","RECONTEO"))</f>
        <v/>
      </c>
      <c r="N516" s="39" t="str">
        <f>_xlfn.XLOOKUP(CRUCE[[#This Row],[Ubicacion]],Registros[Ubicacion],Registros[Codigo], "")</f>
        <v/>
      </c>
      <c r="O516" s="25"/>
      <c r="P516" s="25"/>
      <c r="Q516" s="39" t="str">
        <f>IF(CRUCE[[#This Row],[TOTAL2]]="", "PENDIENTE", IF(CRUCE[[#This Row],[DIFERENCIA2]]=0, "CUADRADO", IF(CRUCE[[#This Row],[DIFERENCIA2]]&gt;0, "SOBRANTE", "FALTANTE")))</f>
        <v>PENDIENTE</v>
      </c>
      <c r="R516" s="103" t="s">
        <v>5081</v>
      </c>
      <c r="S516" s="127" t="s">
        <v>5604</v>
      </c>
    </row>
    <row r="517" spans="1:19">
      <c r="A517" s="92" t="s">
        <v>5588</v>
      </c>
      <c r="B517" s="39" t="s">
        <v>4110</v>
      </c>
      <c r="C517" s="39">
        <v>8600140</v>
      </c>
      <c r="D517" s="73">
        <v>17750243080450</v>
      </c>
      <c r="E517" s="39" t="s">
        <v>2777</v>
      </c>
      <c r="F517" s="39">
        <v>50</v>
      </c>
      <c r="G517" s="39" t="s">
        <v>9</v>
      </c>
      <c r="H517" s="39" t="str">
        <f>_xlfn.XLOOKUP(CRUCE[[#This Row],[Ubicacion]],Registros[Ubicacion],Registros[Codigo], "")</f>
        <v/>
      </c>
      <c r="I517" s="26" t="str">
        <f>_xlfn.XLOOKUP(CRUCE[[#This Row],[Ubicacion]],Registros[Ubicacion],Registros[Total], "")</f>
        <v/>
      </c>
      <c r="J517" s="26" t="str">
        <f>_xlfn.XLOOKUP(CRUCE[[#This Row],[Ubicacion]],Registros[Ubicacion],Registros[UMA], "")</f>
        <v/>
      </c>
      <c r="K517" s="26" t="str">
        <f>IF(CRUCE[[#This Row],[TOTAL]]="","",CRUCE[[#This Row],[TOTAL]]-CRUCE[[#This Row],[BULTOS]])</f>
        <v/>
      </c>
      <c r="L517" s="39" t="str">
        <f>IF(CRUCE[[#This Row],[TOTAL]]="", "PENDIENTE", IF(CRUCE[[#This Row],[Diferencia]]=0, "CUADRADO", IF(CRUCE[[#This Row],[Diferencia]]&gt;0, "SOBRANTE", "FALTANTE")))</f>
        <v>PENDIENTE</v>
      </c>
      <c r="M517" s="72" t="str">
        <f>IF(CRUCE[[#This Row],[Diferencia]]="","",IF(CRUCE[[#This Row],[Diferencia]]=0,"OK","RECONTEO"))</f>
        <v/>
      </c>
      <c r="N517" s="39" t="str">
        <f>_xlfn.XLOOKUP(CRUCE[[#This Row],[Ubicacion]],Registros[Ubicacion],Registros[Codigo], "")</f>
        <v/>
      </c>
      <c r="O517" s="26"/>
      <c r="P517" s="26"/>
      <c r="Q517" s="39" t="str">
        <f>IF(CRUCE[[#This Row],[TOTAL2]]="", "PENDIENTE", IF(CRUCE[[#This Row],[DIFERENCIA2]]=0, "CUADRADO", IF(CRUCE[[#This Row],[DIFERENCIA2]]&gt;0, "SOBRANTE", "FALTANTE")))</f>
        <v>PENDIENTE</v>
      </c>
      <c r="R517" s="102" t="s">
        <v>5081</v>
      </c>
      <c r="S517" s="127" t="s">
        <v>5605</v>
      </c>
    </row>
    <row r="518" spans="1:19">
      <c r="A518" s="93" t="s">
        <v>5588</v>
      </c>
      <c r="B518" s="38" t="s">
        <v>4130</v>
      </c>
      <c r="C518" s="38">
        <v>8606037</v>
      </c>
      <c r="D518" s="74">
        <v>17750243070031</v>
      </c>
      <c r="E518" s="38" t="s">
        <v>2815</v>
      </c>
      <c r="F518" s="38">
        <v>29</v>
      </c>
      <c r="G518" s="38" t="s">
        <v>9</v>
      </c>
      <c r="H518" s="39" t="str">
        <f>_xlfn.XLOOKUP(CRUCE[[#This Row],[Ubicacion]],Registros[Ubicacion],Registros[Codigo], "")</f>
        <v/>
      </c>
      <c r="I518" s="25" t="str">
        <f>_xlfn.XLOOKUP(CRUCE[[#This Row],[Ubicacion]],Registros[Ubicacion],Registros[Total], "")</f>
        <v/>
      </c>
      <c r="J518" s="25" t="str">
        <f>_xlfn.XLOOKUP(CRUCE[[#This Row],[Ubicacion]],Registros[Ubicacion],Registros[UMA], "")</f>
        <v/>
      </c>
      <c r="K518" s="25" t="str">
        <f>IF(CRUCE[[#This Row],[TOTAL]]="","",CRUCE[[#This Row],[TOTAL]]-CRUCE[[#This Row],[BULTOS]])</f>
        <v/>
      </c>
      <c r="L518" s="38" t="str">
        <f>IF(CRUCE[[#This Row],[TOTAL]]="", "PENDIENTE", IF(CRUCE[[#This Row],[Diferencia]]=0, "CUADRADO", IF(CRUCE[[#This Row],[Diferencia]]&gt;0, "SOBRANTE", "FALTANTE")))</f>
        <v>PENDIENTE</v>
      </c>
      <c r="M518" s="71" t="str">
        <f>IF(CRUCE[[#This Row],[Diferencia]]="","",IF(CRUCE[[#This Row],[Diferencia]]=0,"OK","RECONTEO"))</f>
        <v/>
      </c>
      <c r="N518" s="39" t="str">
        <f>_xlfn.XLOOKUP(CRUCE[[#This Row],[Ubicacion]],Registros[Ubicacion],Registros[Codigo], "")</f>
        <v/>
      </c>
      <c r="O518" s="25"/>
      <c r="P518" s="25"/>
      <c r="Q518" s="39" t="str">
        <f>IF(CRUCE[[#This Row],[TOTAL2]]="", "PENDIENTE", IF(CRUCE[[#This Row],[DIFERENCIA2]]=0, "CUADRADO", IF(CRUCE[[#This Row],[DIFERENCIA2]]&gt;0, "SOBRANTE", "FALTANTE")))</f>
        <v>PENDIENTE</v>
      </c>
      <c r="R518" s="103" t="s">
        <v>5081</v>
      </c>
      <c r="S518" s="127" t="s">
        <v>5606</v>
      </c>
    </row>
    <row r="519" spans="1:19">
      <c r="A519" s="92" t="s">
        <v>5588</v>
      </c>
      <c r="B519" s="39" t="s">
        <v>4132</v>
      </c>
      <c r="C519" s="39">
        <v>8606041</v>
      </c>
      <c r="D519" s="73">
        <v>17750243084052</v>
      </c>
      <c r="E519" s="39" t="s">
        <v>2821</v>
      </c>
      <c r="F519" s="39">
        <v>80</v>
      </c>
      <c r="G519" s="39" t="s">
        <v>9</v>
      </c>
      <c r="H519" s="39" t="str">
        <f>_xlfn.XLOOKUP(CRUCE[[#This Row],[Ubicacion]],Registros[Ubicacion],Registros[Codigo], "")</f>
        <v/>
      </c>
      <c r="I519" s="26" t="str">
        <f>_xlfn.XLOOKUP(CRUCE[[#This Row],[Ubicacion]],Registros[Ubicacion],Registros[Total], "")</f>
        <v/>
      </c>
      <c r="J519" s="26" t="str">
        <f>_xlfn.XLOOKUP(CRUCE[[#This Row],[Ubicacion]],Registros[Ubicacion],Registros[UMA], "")</f>
        <v/>
      </c>
      <c r="K519" s="26" t="str">
        <f>IF(CRUCE[[#This Row],[TOTAL]]="","",CRUCE[[#This Row],[TOTAL]]-CRUCE[[#This Row],[BULTOS]])</f>
        <v/>
      </c>
      <c r="L519" s="39" t="str">
        <f>IF(CRUCE[[#This Row],[TOTAL]]="", "PENDIENTE", IF(CRUCE[[#This Row],[Diferencia]]=0, "CUADRADO", IF(CRUCE[[#This Row],[Diferencia]]&gt;0, "SOBRANTE", "FALTANTE")))</f>
        <v>PENDIENTE</v>
      </c>
      <c r="M519" s="72" t="str">
        <f>IF(CRUCE[[#This Row],[Diferencia]]="","",IF(CRUCE[[#This Row],[Diferencia]]=0,"OK","RECONTEO"))</f>
        <v/>
      </c>
      <c r="N519" s="39" t="str">
        <f>_xlfn.XLOOKUP(CRUCE[[#This Row],[Ubicacion]],Registros[Ubicacion],Registros[Codigo], "")</f>
        <v/>
      </c>
      <c r="O519" s="26"/>
      <c r="P519" s="26"/>
      <c r="Q519" s="39" t="str">
        <f>IF(CRUCE[[#This Row],[TOTAL2]]="", "PENDIENTE", IF(CRUCE[[#This Row],[DIFERENCIA2]]=0, "CUADRADO", IF(CRUCE[[#This Row],[DIFERENCIA2]]&gt;0, "SOBRANTE", "FALTANTE")))</f>
        <v>PENDIENTE</v>
      </c>
      <c r="R519" s="102" t="s">
        <v>5081</v>
      </c>
      <c r="S519" s="127" t="s">
        <v>5607</v>
      </c>
    </row>
    <row r="520" spans="1:19">
      <c r="A520" s="93" t="s">
        <v>5588</v>
      </c>
      <c r="B520" s="38" t="s">
        <v>3395</v>
      </c>
      <c r="C520" s="38">
        <v>8305358</v>
      </c>
      <c r="D520" s="74">
        <v>17861036793645</v>
      </c>
      <c r="E520" s="38" t="s">
        <v>557</v>
      </c>
      <c r="F520" s="38">
        <v>22</v>
      </c>
      <c r="G520" s="38" t="s">
        <v>9</v>
      </c>
      <c r="H520" s="39" t="str">
        <f>_xlfn.XLOOKUP(CRUCE[[#This Row],[Ubicacion]],Registros[Ubicacion],Registros[Codigo], "")</f>
        <v/>
      </c>
      <c r="I520" s="25" t="str">
        <f>_xlfn.XLOOKUP(CRUCE[[#This Row],[Ubicacion]],Registros[Ubicacion],Registros[Total], "")</f>
        <v/>
      </c>
      <c r="J520" s="25" t="str">
        <f>_xlfn.XLOOKUP(CRUCE[[#This Row],[Ubicacion]],Registros[Ubicacion],Registros[UMA], "")</f>
        <v/>
      </c>
      <c r="K520" s="25" t="str">
        <f>IF(CRUCE[[#This Row],[TOTAL]]="","",CRUCE[[#This Row],[TOTAL]]-CRUCE[[#This Row],[BULTOS]])</f>
        <v/>
      </c>
      <c r="L520" s="38" t="str">
        <f>IF(CRUCE[[#This Row],[TOTAL]]="", "PENDIENTE", IF(CRUCE[[#This Row],[Diferencia]]=0, "CUADRADO", IF(CRUCE[[#This Row],[Diferencia]]&gt;0, "SOBRANTE", "FALTANTE")))</f>
        <v>PENDIENTE</v>
      </c>
      <c r="M520" s="71" t="str">
        <f>IF(CRUCE[[#This Row],[Diferencia]]="","",IF(CRUCE[[#This Row],[Diferencia]]=0,"OK","RECONTEO"))</f>
        <v/>
      </c>
      <c r="N520" s="39" t="str">
        <f>_xlfn.XLOOKUP(CRUCE[[#This Row],[Ubicacion]],Registros[Ubicacion],Registros[Codigo], "")</f>
        <v/>
      </c>
      <c r="O520" s="25"/>
      <c r="P520" s="25"/>
      <c r="Q520" s="39" t="str">
        <f>IF(CRUCE[[#This Row],[TOTAL2]]="", "PENDIENTE", IF(CRUCE[[#This Row],[DIFERENCIA2]]=0, "CUADRADO", IF(CRUCE[[#This Row],[DIFERENCIA2]]&gt;0, "SOBRANTE", "FALTANTE")))</f>
        <v>PENDIENTE</v>
      </c>
      <c r="R520" s="103" t="s">
        <v>5081</v>
      </c>
      <c r="S520" s="127" t="s">
        <v>5608</v>
      </c>
    </row>
    <row r="521" spans="1:19">
      <c r="A521" s="92" t="s">
        <v>5588</v>
      </c>
      <c r="B521" s="39" t="s">
        <v>4122</v>
      </c>
      <c r="C521" s="39">
        <v>8603029</v>
      </c>
      <c r="D521" s="73">
        <v>17750243081570</v>
      </c>
      <c r="E521" s="39" t="s">
        <v>2799</v>
      </c>
      <c r="F521" s="39">
        <v>6</v>
      </c>
      <c r="G521" s="39" t="s">
        <v>9</v>
      </c>
      <c r="H521" s="39" t="str">
        <f>_xlfn.XLOOKUP(CRUCE[[#This Row],[Ubicacion]],Registros[Ubicacion],Registros[Codigo], "")</f>
        <v/>
      </c>
      <c r="I521" s="26" t="str">
        <f>_xlfn.XLOOKUP(CRUCE[[#This Row],[Ubicacion]],Registros[Ubicacion],Registros[Total], "")</f>
        <v/>
      </c>
      <c r="J521" s="26" t="str">
        <f>_xlfn.XLOOKUP(CRUCE[[#This Row],[Ubicacion]],Registros[Ubicacion],Registros[UMA], "")</f>
        <v/>
      </c>
      <c r="K521" s="26" t="str">
        <f>IF(CRUCE[[#This Row],[TOTAL]]="","",CRUCE[[#This Row],[TOTAL]]-CRUCE[[#This Row],[BULTOS]])</f>
        <v/>
      </c>
      <c r="L521" s="39" t="str">
        <f>IF(CRUCE[[#This Row],[TOTAL]]="", "PENDIENTE", IF(CRUCE[[#This Row],[Diferencia]]=0, "CUADRADO", IF(CRUCE[[#This Row],[Diferencia]]&gt;0, "SOBRANTE", "FALTANTE")))</f>
        <v>PENDIENTE</v>
      </c>
      <c r="M521" s="72" t="str">
        <f>IF(CRUCE[[#This Row],[Diferencia]]="","",IF(CRUCE[[#This Row],[Diferencia]]=0,"OK","RECONTEO"))</f>
        <v/>
      </c>
      <c r="N521" s="39" t="str">
        <f>_xlfn.XLOOKUP(CRUCE[[#This Row],[Ubicacion]],Registros[Ubicacion],Registros[Codigo], "")</f>
        <v/>
      </c>
      <c r="O521" s="26"/>
      <c r="P521" s="26"/>
      <c r="Q521" s="39" t="str">
        <f>IF(CRUCE[[#This Row],[TOTAL2]]="", "PENDIENTE", IF(CRUCE[[#This Row],[DIFERENCIA2]]=0, "CUADRADO", IF(CRUCE[[#This Row],[DIFERENCIA2]]&gt;0, "SOBRANTE", "FALTANTE")))</f>
        <v>PENDIENTE</v>
      </c>
      <c r="R521" s="102" t="s">
        <v>5081</v>
      </c>
      <c r="S521" s="127" t="s">
        <v>5609</v>
      </c>
    </row>
    <row r="522" spans="1:19">
      <c r="A522" s="93" t="s">
        <v>5588</v>
      </c>
      <c r="B522" s="38" t="s">
        <v>4124</v>
      </c>
      <c r="C522" s="38">
        <v>8603030</v>
      </c>
      <c r="D522" s="74">
        <v>17750243083017</v>
      </c>
      <c r="E522" s="38" t="s">
        <v>2801</v>
      </c>
      <c r="F522" s="38">
        <v>17</v>
      </c>
      <c r="G522" s="38" t="s">
        <v>9</v>
      </c>
      <c r="H522" s="39" t="str">
        <f>_xlfn.XLOOKUP(CRUCE[[#This Row],[Ubicacion]],Registros[Ubicacion],Registros[Codigo], "")</f>
        <v/>
      </c>
      <c r="I522" s="25" t="str">
        <f>_xlfn.XLOOKUP(CRUCE[[#This Row],[Ubicacion]],Registros[Ubicacion],Registros[Total], "")</f>
        <v/>
      </c>
      <c r="J522" s="25" t="str">
        <f>_xlfn.XLOOKUP(CRUCE[[#This Row],[Ubicacion]],Registros[Ubicacion],Registros[UMA], "")</f>
        <v/>
      </c>
      <c r="K522" s="25" t="str">
        <f>IF(CRUCE[[#This Row],[TOTAL]]="","",CRUCE[[#This Row],[TOTAL]]-CRUCE[[#This Row],[BULTOS]])</f>
        <v/>
      </c>
      <c r="L522" s="38" t="str">
        <f>IF(CRUCE[[#This Row],[TOTAL]]="", "PENDIENTE", IF(CRUCE[[#This Row],[Diferencia]]=0, "CUADRADO", IF(CRUCE[[#This Row],[Diferencia]]&gt;0, "SOBRANTE", "FALTANTE")))</f>
        <v>PENDIENTE</v>
      </c>
      <c r="M522" s="71" t="str">
        <f>IF(CRUCE[[#This Row],[Diferencia]]="","",IF(CRUCE[[#This Row],[Diferencia]]=0,"OK","RECONTEO"))</f>
        <v/>
      </c>
      <c r="N522" s="39" t="str">
        <f>_xlfn.XLOOKUP(CRUCE[[#This Row],[Ubicacion]],Registros[Ubicacion],Registros[Codigo], "")</f>
        <v/>
      </c>
      <c r="O522" s="25"/>
      <c r="P522" s="25"/>
      <c r="Q522" s="39" t="str">
        <f>IF(CRUCE[[#This Row],[TOTAL2]]="", "PENDIENTE", IF(CRUCE[[#This Row],[DIFERENCIA2]]=0, "CUADRADO", IF(CRUCE[[#This Row],[DIFERENCIA2]]&gt;0, "SOBRANTE", "FALTANTE")))</f>
        <v>PENDIENTE</v>
      </c>
      <c r="R522" s="103" t="s">
        <v>5081</v>
      </c>
      <c r="S522" s="127" t="s">
        <v>5610</v>
      </c>
    </row>
    <row r="523" spans="1:19">
      <c r="A523" s="92" t="s">
        <v>5588</v>
      </c>
      <c r="B523" s="39" t="s">
        <v>4127</v>
      </c>
      <c r="C523" s="39">
        <v>8603031</v>
      </c>
      <c r="D523" s="73">
        <v>17750243083024</v>
      </c>
      <c r="E523" s="39" t="s">
        <v>2803</v>
      </c>
      <c r="F523" s="39">
        <v>75</v>
      </c>
      <c r="G523" s="39" t="s">
        <v>9</v>
      </c>
      <c r="H523" s="39" t="str">
        <f>_xlfn.XLOOKUP(CRUCE[[#This Row],[Ubicacion]],Registros[Ubicacion],Registros[Codigo], "")</f>
        <v/>
      </c>
      <c r="I523" s="26" t="str">
        <f>_xlfn.XLOOKUP(CRUCE[[#This Row],[Ubicacion]],Registros[Ubicacion],Registros[Total], "")</f>
        <v/>
      </c>
      <c r="J523" s="26" t="str">
        <f>_xlfn.XLOOKUP(CRUCE[[#This Row],[Ubicacion]],Registros[Ubicacion],Registros[UMA], "")</f>
        <v/>
      </c>
      <c r="K523" s="26" t="str">
        <f>IF(CRUCE[[#This Row],[TOTAL]]="","",CRUCE[[#This Row],[TOTAL]]-CRUCE[[#This Row],[BULTOS]])</f>
        <v/>
      </c>
      <c r="L523" s="39" t="str">
        <f>IF(CRUCE[[#This Row],[TOTAL]]="", "PENDIENTE", IF(CRUCE[[#This Row],[Diferencia]]=0, "CUADRADO", IF(CRUCE[[#This Row],[Diferencia]]&gt;0, "SOBRANTE", "FALTANTE")))</f>
        <v>PENDIENTE</v>
      </c>
      <c r="M523" s="72" t="str">
        <f>IF(CRUCE[[#This Row],[Diferencia]]="","",IF(CRUCE[[#This Row],[Diferencia]]=0,"OK","RECONTEO"))</f>
        <v/>
      </c>
      <c r="N523" s="39" t="str">
        <f>_xlfn.XLOOKUP(CRUCE[[#This Row],[Ubicacion]],Registros[Ubicacion],Registros[Codigo], "")</f>
        <v/>
      </c>
      <c r="O523" s="26"/>
      <c r="P523" s="26"/>
      <c r="Q523" s="39" t="str">
        <f>IF(CRUCE[[#This Row],[TOTAL2]]="", "PENDIENTE", IF(CRUCE[[#This Row],[DIFERENCIA2]]=0, "CUADRADO", IF(CRUCE[[#This Row],[DIFERENCIA2]]&gt;0, "SOBRANTE", "FALTANTE")))</f>
        <v>PENDIENTE</v>
      </c>
      <c r="R523" s="102" t="s">
        <v>5081</v>
      </c>
      <c r="S523" s="127" t="s">
        <v>5611</v>
      </c>
    </row>
    <row r="524" spans="1:19">
      <c r="A524" s="93" t="s">
        <v>5588</v>
      </c>
      <c r="B524" s="38" t="s">
        <v>3422</v>
      </c>
      <c r="C524" s="38">
        <v>8306032</v>
      </c>
      <c r="D524" s="74">
        <v>17750243068205</v>
      </c>
      <c r="E524" s="38" t="s">
        <v>595</v>
      </c>
      <c r="F524" s="38">
        <v>16</v>
      </c>
      <c r="G524" s="38" t="s">
        <v>9</v>
      </c>
      <c r="H524" s="39" t="str">
        <f>_xlfn.XLOOKUP(CRUCE[[#This Row],[Ubicacion]],Registros[Ubicacion],Registros[Codigo], "")</f>
        <v/>
      </c>
      <c r="I524" s="25" t="str">
        <f>_xlfn.XLOOKUP(CRUCE[[#This Row],[Ubicacion]],Registros[Ubicacion],Registros[Total], "")</f>
        <v/>
      </c>
      <c r="J524" s="25" t="str">
        <f>_xlfn.XLOOKUP(CRUCE[[#This Row],[Ubicacion]],Registros[Ubicacion],Registros[UMA], "")</f>
        <v/>
      </c>
      <c r="K524" s="25" t="str">
        <f>IF(CRUCE[[#This Row],[TOTAL]]="","",CRUCE[[#This Row],[TOTAL]]-CRUCE[[#This Row],[BULTOS]])</f>
        <v/>
      </c>
      <c r="L524" s="38" t="str">
        <f>IF(CRUCE[[#This Row],[TOTAL]]="", "PENDIENTE", IF(CRUCE[[#This Row],[Diferencia]]=0, "CUADRADO", IF(CRUCE[[#This Row],[Diferencia]]&gt;0, "SOBRANTE", "FALTANTE")))</f>
        <v>PENDIENTE</v>
      </c>
      <c r="M524" s="71" t="str">
        <f>IF(CRUCE[[#This Row],[Diferencia]]="","",IF(CRUCE[[#This Row],[Diferencia]]=0,"OK","RECONTEO"))</f>
        <v/>
      </c>
      <c r="N524" s="39" t="str">
        <f>_xlfn.XLOOKUP(CRUCE[[#This Row],[Ubicacion]],Registros[Ubicacion],Registros[Codigo], "")</f>
        <v/>
      </c>
      <c r="O524" s="25"/>
      <c r="P524" s="25"/>
      <c r="Q524" s="39" t="str">
        <f>IF(CRUCE[[#This Row],[TOTAL2]]="", "PENDIENTE", IF(CRUCE[[#This Row],[DIFERENCIA2]]=0, "CUADRADO", IF(CRUCE[[#This Row],[DIFERENCIA2]]&gt;0, "SOBRANTE", "FALTANTE")))</f>
        <v>PENDIENTE</v>
      </c>
      <c r="R524" s="103" t="s">
        <v>5081</v>
      </c>
      <c r="S524" s="127" t="s">
        <v>5612</v>
      </c>
    </row>
    <row r="525" spans="1:19">
      <c r="A525" s="92" t="s">
        <v>5588</v>
      </c>
      <c r="B525" s="39" t="s">
        <v>3511</v>
      </c>
      <c r="C525" s="39">
        <v>8315013</v>
      </c>
      <c r="D525" s="73">
        <v>17751851024003</v>
      </c>
      <c r="E525" s="39" t="s">
        <v>789</v>
      </c>
      <c r="F525" s="39">
        <v>37</v>
      </c>
      <c r="G525" s="39" t="s">
        <v>9</v>
      </c>
      <c r="H525" s="39" t="str">
        <f>_xlfn.XLOOKUP(CRUCE[[#This Row],[Ubicacion]],Registros[Ubicacion],Registros[Codigo], "")</f>
        <v/>
      </c>
      <c r="I525" s="26" t="str">
        <f>_xlfn.XLOOKUP(CRUCE[[#This Row],[Ubicacion]],Registros[Ubicacion],Registros[Total], "")</f>
        <v/>
      </c>
      <c r="J525" s="26" t="str">
        <f>_xlfn.XLOOKUP(CRUCE[[#This Row],[Ubicacion]],Registros[Ubicacion],Registros[UMA], "")</f>
        <v/>
      </c>
      <c r="K525" s="26" t="str">
        <f>IF(CRUCE[[#This Row],[TOTAL]]="","",CRUCE[[#This Row],[TOTAL]]-CRUCE[[#This Row],[BULTOS]])</f>
        <v/>
      </c>
      <c r="L525" s="39" t="str">
        <f>IF(CRUCE[[#This Row],[TOTAL]]="", "PENDIENTE", IF(CRUCE[[#This Row],[Diferencia]]=0, "CUADRADO", IF(CRUCE[[#This Row],[Diferencia]]&gt;0, "SOBRANTE", "FALTANTE")))</f>
        <v>PENDIENTE</v>
      </c>
      <c r="M525" s="72" t="str">
        <f>IF(CRUCE[[#This Row],[Diferencia]]="","",IF(CRUCE[[#This Row],[Diferencia]]=0,"OK","RECONTEO"))</f>
        <v/>
      </c>
      <c r="N525" s="39" t="str">
        <f>_xlfn.XLOOKUP(CRUCE[[#This Row],[Ubicacion]],Registros[Ubicacion],Registros[Codigo], "")</f>
        <v/>
      </c>
      <c r="O525" s="26"/>
      <c r="P525" s="26"/>
      <c r="Q525" s="39" t="str">
        <f>IF(CRUCE[[#This Row],[TOTAL2]]="", "PENDIENTE", IF(CRUCE[[#This Row],[DIFERENCIA2]]=0, "CUADRADO", IF(CRUCE[[#This Row],[DIFERENCIA2]]&gt;0, "SOBRANTE", "FALTANTE")))</f>
        <v>PENDIENTE</v>
      </c>
      <c r="R525" s="102" t="s">
        <v>5081</v>
      </c>
      <c r="S525" s="127" t="s">
        <v>5613</v>
      </c>
    </row>
    <row r="526" spans="1:19">
      <c r="A526" s="93" t="s">
        <v>5588</v>
      </c>
      <c r="B526" s="38" t="s">
        <v>3420</v>
      </c>
      <c r="C526" s="38">
        <v>8306031</v>
      </c>
      <c r="D526" s="74">
        <v>17750243068199</v>
      </c>
      <c r="E526" s="38" t="s">
        <v>593</v>
      </c>
      <c r="F526" s="38">
        <v>30</v>
      </c>
      <c r="G526" s="38" t="s">
        <v>288</v>
      </c>
      <c r="H526" s="39" t="str">
        <f>_xlfn.XLOOKUP(CRUCE[[#This Row],[Ubicacion]],Registros[Ubicacion],Registros[Codigo], "")</f>
        <v/>
      </c>
      <c r="I526" s="25" t="str">
        <f>_xlfn.XLOOKUP(CRUCE[[#This Row],[Ubicacion]],Registros[Ubicacion],Registros[Total], "")</f>
        <v/>
      </c>
      <c r="J526" s="25" t="str">
        <f>_xlfn.XLOOKUP(CRUCE[[#This Row],[Ubicacion]],Registros[Ubicacion],Registros[UMA], "")</f>
        <v/>
      </c>
      <c r="K526" s="25" t="str">
        <f>IF(CRUCE[[#This Row],[TOTAL]]="","",CRUCE[[#This Row],[TOTAL]]-CRUCE[[#This Row],[BULTOS]])</f>
        <v/>
      </c>
      <c r="L526" s="38" t="str">
        <f>IF(CRUCE[[#This Row],[TOTAL]]="", "PENDIENTE", IF(CRUCE[[#This Row],[Diferencia]]=0, "CUADRADO", IF(CRUCE[[#This Row],[Diferencia]]&gt;0, "SOBRANTE", "FALTANTE")))</f>
        <v>PENDIENTE</v>
      </c>
      <c r="M526" s="71" t="str">
        <f>IF(CRUCE[[#This Row],[Diferencia]]="","",IF(CRUCE[[#This Row],[Diferencia]]=0,"OK","RECONTEO"))</f>
        <v/>
      </c>
      <c r="N526" s="39" t="str">
        <f>_xlfn.XLOOKUP(CRUCE[[#This Row],[Ubicacion]],Registros[Ubicacion],Registros[Codigo], "")</f>
        <v/>
      </c>
      <c r="O526" s="25"/>
      <c r="P526" s="25"/>
      <c r="Q526" s="39" t="str">
        <f>IF(CRUCE[[#This Row],[TOTAL2]]="", "PENDIENTE", IF(CRUCE[[#This Row],[DIFERENCIA2]]=0, "CUADRADO", IF(CRUCE[[#This Row],[DIFERENCIA2]]&gt;0, "SOBRANTE", "FALTANTE")))</f>
        <v>PENDIENTE</v>
      </c>
      <c r="R526" s="103" t="s">
        <v>5081</v>
      </c>
      <c r="S526" s="127" t="s">
        <v>5614</v>
      </c>
    </row>
    <row r="527" spans="1:19">
      <c r="A527" s="92" t="s">
        <v>5588</v>
      </c>
      <c r="B527" s="39" t="s">
        <v>3587</v>
      </c>
      <c r="C527" s="39">
        <v>8316030</v>
      </c>
      <c r="D527" s="73">
        <v>17751851086131</v>
      </c>
      <c r="E527" s="39" t="s">
        <v>913</v>
      </c>
      <c r="F527" s="39">
        <v>48</v>
      </c>
      <c r="G527" s="39" t="s">
        <v>9</v>
      </c>
      <c r="H527" s="39" t="str">
        <f>_xlfn.XLOOKUP(CRUCE[[#This Row],[Ubicacion]],Registros[Ubicacion],Registros[Codigo], "")</f>
        <v/>
      </c>
      <c r="I527" s="26" t="str">
        <f>_xlfn.XLOOKUP(CRUCE[[#This Row],[Ubicacion]],Registros[Ubicacion],Registros[Total], "")</f>
        <v/>
      </c>
      <c r="J527" s="26" t="str">
        <f>_xlfn.XLOOKUP(CRUCE[[#This Row],[Ubicacion]],Registros[Ubicacion],Registros[UMA], "")</f>
        <v/>
      </c>
      <c r="K527" s="26" t="str">
        <f>IF(CRUCE[[#This Row],[TOTAL]]="","",CRUCE[[#This Row],[TOTAL]]-CRUCE[[#This Row],[BULTOS]])</f>
        <v/>
      </c>
      <c r="L527" s="39" t="str">
        <f>IF(CRUCE[[#This Row],[TOTAL]]="", "PENDIENTE", IF(CRUCE[[#This Row],[Diferencia]]=0, "CUADRADO", IF(CRUCE[[#This Row],[Diferencia]]&gt;0, "SOBRANTE", "FALTANTE")))</f>
        <v>PENDIENTE</v>
      </c>
      <c r="M527" s="72" t="str">
        <f>IF(CRUCE[[#This Row],[Diferencia]]="","",IF(CRUCE[[#This Row],[Diferencia]]=0,"OK","RECONTEO"))</f>
        <v/>
      </c>
      <c r="N527" s="39" t="str">
        <f>_xlfn.XLOOKUP(CRUCE[[#This Row],[Ubicacion]],Registros[Ubicacion],Registros[Codigo], "")</f>
        <v/>
      </c>
      <c r="O527" s="26"/>
      <c r="P527" s="26"/>
      <c r="Q527" s="39" t="str">
        <f>IF(CRUCE[[#This Row],[TOTAL2]]="", "PENDIENTE", IF(CRUCE[[#This Row],[DIFERENCIA2]]=0, "CUADRADO", IF(CRUCE[[#This Row],[DIFERENCIA2]]&gt;0, "SOBRANTE", "FALTANTE")))</f>
        <v>PENDIENTE</v>
      </c>
      <c r="R527" s="102" t="s">
        <v>5081</v>
      </c>
      <c r="S527" s="127" t="s">
        <v>5615</v>
      </c>
    </row>
    <row r="528" spans="1:19">
      <c r="A528" s="93" t="s">
        <v>5588</v>
      </c>
      <c r="B528" s="38" t="s">
        <v>3519</v>
      </c>
      <c r="C528" s="38">
        <v>8315018</v>
      </c>
      <c r="D528" s="74">
        <v>17751851559109</v>
      </c>
      <c r="E528" s="38" t="s">
        <v>799</v>
      </c>
      <c r="F528" s="38">
        <v>14</v>
      </c>
      <c r="G528" s="38" t="s">
        <v>9</v>
      </c>
      <c r="H528" s="39" t="str">
        <f>_xlfn.XLOOKUP(CRUCE[[#This Row],[Ubicacion]],Registros[Ubicacion],Registros[Codigo], "")</f>
        <v/>
      </c>
      <c r="I528" s="25" t="str">
        <f>_xlfn.XLOOKUP(CRUCE[[#This Row],[Ubicacion]],Registros[Ubicacion],Registros[Total], "")</f>
        <v/>
      </c>
      <c r="J528" s="25" t="str">
        <f>_xlfn.XLOOKUP(CRUCE[[#This Row],[Ubicacion]],Registros[Ubicacion],Registros[UMA], "")</f>
        <v/>
      </c>
      <c r="K528" s="25" t="str">
        <f>IF(CRUCE[[#This Row],[TOTAL]]="","",CRUCE[[#This Row],[TOTAL]]-CRUCE[[#This Row],[BULTOS]])</f>
        <v/>
      </c>
      <c r="L528" s="38" t="str">
        <f>IF(CRUCE[[#This Row],[TOTAL]]="", "PENDIENTE", IF(CRUCE[[#This Row],[Diferencia]]=0, "CUADRADO", IF(CRUCE[[#This Row],[Diferencia]]&gt;0, "SOBRANTE", "FALTANTE")))</f>
        <v>PENDIENTE</v>
      </c>
      <c r="M528" s="71" t="str">
        <f>IF(CRUCE[[#This Row],[Diferencia]]="","",IF(CRUCE[[#This Row],[Diferencia]]=0,"OK","RECONTEO"))</f>
        <v/>
      </c>
      <c r="N528" s="39" t="str">
        <f>_xlfn.XLOOKUP(CRUCE[[#This Row],[Ubicacion]],Registros[Ubicacion],Registros[Codigo], "")</f>
        <v/>
      </c>
      <c r="O528" s="25"/>
      <c r="P528" s="25"/>
      <c r="Q528" s="39" t="str">
        <f>IF(CRUCE[[#This Row],[TOTAL2]]="", "PENDIENTE", IF(CRUCE[[#This Row],[DIFERENCIA2]]=0, "CUADRADO", IF(CRUCE[[#This Row],[DIFERENCIA2]]&gt;0, "SOBRANTE", "FALTANTE")))</f>
        <v>PENDIENTE</v>
      </c>
      <c r="R528" s="103" t="s">
        <v>5081</v>
      </c>
      <c r="S528" s="127" t="s">
        <v>5616</v>
      </c>
    </row>
    <row r="529" spans="1:19">
      <c r="A529" s="92" t="s">
        <v>5588</v>
      </c>
      <c r="B529" s="39" t="s">
        <v>3296</v>
      </c>
      <c r="C529" s="39">
        <v>8305271</v>
      </c>
      <c r="D529" s="73">
        <v>47750243067346</v>
      </c>
      <c r="E529" s="39" t="s">
        <v>436</v>
      </c>
      <c r="F529" s="39">
        <v>21</v>
      </c>
      <c r="G529" s="39" t="s">
        <v>9</v>
      </c>
      <c r="H529" s="39" t="str">
        <f>_xlfn.XLOOKUP(CRUCE[[#This Row],[Ubicacion]],Registros[Ubicacion],Registros[Codigo], "")</f>
        <v/>
      </c>
      <c r="I529" s="26" t="str">
        <f>_xlfn.XLOOKUP(CRUCE[[#This Row],[Ubicacion]],Registros[Ubicacion],Registros[Total], "")</f>
        <v/>
      </c>
      <c r="J529" s="26" t="str">
        <f>_xlfn.XLOOKUP(CRUCE[[#This Row],[Ubicacion]],Registros[Ubicacion],Registros[UMA], "")</f>
        <v/>
      </c>
      <c r="K529" s="26" t="str">
        <f>IF(CRUCE[[#This Row],[TOTAL]]="","",CRUCE[[#This Row],[TOTAL]]-CRUCE[[#This Row],[BULTOS]])</f>
        <v/>
      </c>
      <c r="L529" s="39" t="str">
        <f>IF(CRUCE[[#This Row],[TOTAL]]="", "PENDIENTE", IF(CRUCE[[#This Row],[Diferencia]]=0, "CUADRADO", IF(CRUCE[[#This Row],[Diferencia]]&gt;0, "SOBRANTE", "FALTANTE")))</f>
        <v>PENDIENTE</v>
      </c>
      <c r="M529" s="72" t="str">
        <f>IF(CRUCE[[#This Row],[Diferencia]]="","",IF(CRUCE[[#This Row],[Diferencia]]=0,"OK","RECONTEO"))</f>
        <v/>
      </c>
      <c r="N529" s="39" t="str">
        <f>_xlfn.XLOOKUP(CRUCE[[#This Row],[Ubicacion]],Registros[Ubicacion],Registros[Codigo], "")</f>
        <v/>
      </c>
      <c r="O529" s="26"/>
      <c r="P529" s="26"/>
      <c r="Q529" s="39" t="str">
        <f>IF(CRUCE[[#This Row],[TOTAL2]]="", "PENDIENTE", IF(CRUCE[[#This Row],[DIFERENCIA2]]=0, "CUADRADO", IF(CRUCE[[#This Row],[DIFERENCIA2]]&gt;0, "SOBRANTE", "FALTANTE")))</f>
        <v>PENDIENTE</v>
      </c>
      <c r="R529" s="102" t="s">
        <v>5081</v>
      </c>
      <c r="S529" s="127" t="s">
        <v>5617</v>
      </c>
    </row>
    <row r="530" spans="1:19">
      <c r="A530" s="93" t="s">
        <v>5588</v>
      </c>
      <c r="B530" s="38" t="s">
        <v>3298</v>
      </c>
      <c r="C530" s="38">
        <v>8305272</v>
      </c>
      <c r="D530" s="74">
        <v>47750243067353</v>
      </c>
      <c r="E530" s="38" t="s">
        <v>438</v>
      </c>
      <c r="F530" s="38">
        <v>3</v>
      </c>
      <c r="G530" s="38" t="s">
        <v>9</v>
      </c>
      <c r="H530" s="39" t="str">
        <f>_xlfn.XLOOKUP(CRUCE[[#This Row],[Ubicacion]],Registros[Ubicacion],Registros[Codigo], "")</f>
        <v/>
      </c>
      <c r="I530" s="25" t="str">
        <f>_xlfn.XLOOKUP(CRUCE[[#This Row],[Ubicacion]],Registros[Ubicacion],Registros[Total], "")</f>
        <v/>
      </c>
      <c r="J530" s="25" t="str">
        <f>_xlfn.XLOOKUP(CRUCE[[#This Row],[Ubicacion]],Registros[Ubicacion],Registros[UMA], "")</f>
        <v/>
      </c>
      <c r="K530" s="25" t="str">
        <f>IF(CRUCE[[#This Row],[TOTAL]]="","",CRUCE[[#This Row],[TOTAL]]-CRUCE[[#This Row],[BULTOS]])</f>
        <v/>
      </c>
      <c r="L530" s="38" t="str">
        <f>IF(CRUCE[[#This Row],[TOTAL]]="", "PENDIENTE", IF(CRUCE[[#This Row],[Diferencia]]=0, "CUADRADO", IF(CRUCE[[#This Row],[Diferencia]]&gt;0, "SOBRANTE", "FALTANTE")))</f>
        <v>PENDIENTE</v>
      </c>
      <c r="M530" s="71" t="str">
        <f>IF(CRUCE[[#This Row],[Diferencia]]="","",IF(CRUCE[[#This Row],[Diferencia]]=0,"OK","RECONTEO"))</f>
        <v/>
      </c>
      <c r="N530" s="39" t="str">
        <f>_xlfn.XLOOKUP(CRUCE[[#This Row],[Ubicacion]],Registros[Ubicacion],Registros[Codigo], "")</f>
        <v/>
      </c>
      <c r="O530" s="25"/>
      <c r="P530" s="25"/>
      <c r="Q530" s="39" t="str">
        <f>IF(CRUCE[[#This Row],[TOTAL2]]="", "PENDIENTE", IF(CRUCE[[#This Row],[DIFERENCIA2]]=0, "CUADRADO", IF(CRUCE[[#This Row],[DIFERENCIA2]]&gt;0, "SOBRANTE", "FALTANTE")))</f>
        <v>PENDIENTE</v>
      </c>
      <c r="R530" s="103" t="s">
        <v>5081</v>
      </c>
      <c r="S530" s="127" t="s">
        <v>5618</v>
      </c>
    </row>
    <row r="531" spans="1:19">
      <c r="A531" s="92" t="s">
        <v>5588</v>
      </c>
      <c r="B531" s="39" t="s">
        <v>3301</v>
      </c>
      <c r="C531" s="39">
        <v>8305273</v>
      </c>
      <c r="D531" s="73">
        <v>27751851026462</v>
      </c>
      <c r="E531" s="39" t="s">
        <v>440</v>
      </c>
      <c r="F531" s="39">
        <v>32</v>
      </c>
      <c r="G531" s="39" t="s">
        <v>9</v>
      </c>
      <c r="H531" s="39" t="str">
        <f>_xlfn.XLOOKUP(CRUCE[[#This Row],[Ubicacion]],Registros[Ubicacion],Registros[Codigo], "")</f>
        <v/>
      </c>
      <c r="I531" s="26" t="str">
        <f>_xlfn.XLOOKUP(CRUCE[[#This Row],[Ubicacion]],Registros[Ubicacion],Registros[Total], "")</f>
        <v/>
      </c>
      <c r="J531" s="26" t="str">
        <f>_xlfn.XLOOKUP(CRUCE[[#This Row],[Ubicacion]],Registros[Ubicacion],Registros[UMA], "")</f>
        <v/>
      </c>
      <c r="K531" s="26" t="str">
        <f>IF(CRUCE[[#This Row],[TOTAL]]="","",CRUCE[[#This Row],[TOTAL]]-CRUCE[[#This Row],[BULTOS]])</f>
        <v/>
      </c>
      <c r="L531" s="39" t="str">
        <f>IF(CRUCE[[#This Row],[TOTAL]]="", "PENDIENTE", IF(CRUCE[[#This Row],[Diferencia]]=0, "CUADRADO", IF(CRUCE[[#This Row],[Diferencia]]&gt;0, "SOBRANTE", "FALTANTE")))</f>
        <v>PENDIENTE</v>
      </c>
      <c r="M531" s="72" t="str">
        <f>IF(CRUCE[[#This Row],[Diferencia]]="","",IF(CRUCE[[#This Row],[Diferencia]]=0,"OK","RECONTEO"))</f>
        <v/>
      </c>
      <c r="N531" s="39" t="str">
        <f>_xlfn.XLOOKUP(CRUCE[[#This Row],[Ubicacion]],Registros[Ubicacion],Registros[Codigo], "")</f>
        <v/>
      </c>
      <c r="O531" s="26"/>
      <c r="P531" s="26"/>
      <c r="Q531" s="39" t="str">
        <f>IF(CRUCE[[#This Row],[TOTAL2]]="", "PENDIENTE", IF(CRUCE[[#This Row],[DIFERENCIA2]]=0, "CUADRADO", IF(CRUCE[[#This Row],[DIFERENCIA2]]&gt;0, "SOBRANTE", "FALTANTE")))</f>
        <v>PENDIENTE</v>
      </c>
      <c r="R531" s="102" t="s">
        <v>5081</v>
      </c>
      <c r="S531" s="127" t="s">
        <v>5619</v>
      </c>
    </row>
    <row r="532" spans="1:19">
      <c r="A532" s="93" t="s">
        <v>5588</v>
      </c>
      <c r="B532" s="38" t="s">
        <v>3152</v>
      </c>
      <c r="C532" s="38">
        <v>8300113</v>
      </c>
      <c r="D532" s="74">
        <v>17750243082249</v>
      </c>
      <c r="E532" s="38" t="s">
        <v>159</v>
      </c>
      <c r="F532" s="38">
        <v>16</v>
      </c>
      <c r="G532" s="38" t="s">
        <v>9</v>
      </c>
      <c r="H532" s="39" t="str">
        <f>_xlfn.XLOOKUP(CRUCE[[#This Row],[Ubicacion]],Registros[Ubicacion],Registros[Codigo], "")</f>
        <v/>
      </c>
      <c r="I532" s="25" t="str">
        <f>_xlfn.XLOOKUP(CRUCE[[#This Row],[Ubicacion]],Registros[Ubicacion],Registros[Total], "")</f>
        <v/>
      </c>
      <c r="J532" s="25" t="str">
        <f>_xlfn.XLOOKUP(CRUCE[[#This Row],[Ubicacion]],Registros[Ubicacion],Registros[UMA], "")</f>
        <v/>
      </c>
      <c r="K532" s="25" t="str">
        <f>IF(CRUCE[[#This Row],[TOTAL]]="","",CRUCE[[#This Row],[TOTAL]]-CRUCE[[#This Row],[BULTOS]])</f>
        <v/>
      </c>
      <c r="L532" s="38" t="str">
        <f>IF(CRUCE[[#This Row],[TOTAL]]="", "PENDIENTE", IF(CRUCE[[#This Row],[Diferencia]]=0, "CUADRADO", IF(CRUCE[[#This Row],[Diferencia]]&gt;0, "SOBRANTE", "FALTANTE")))</f>
        <v>PENDIENTE</v>
      </c>
      <c r="M532" s="71" t="str">
        <f>IF(CRUCE[[#This Row],[Diferencia]]="","",IF(CRUCE[[#This Row],[Diferencia]]=0,"OK","RECONTEO"))</f>
        <v/>
      </c>
      <c r="N532" s="39" t="str">
        <f>_xlfn.XLOOKUP(CRUCE[[#This Row],[Ubicacion]],Registros[Ubicacion],Registros[Codigo], "")</f>
        <v/>
      </c>
      <c r="O532" s="25"/>
      <c r="P532" s="25"/>
      <c r="Q532" s="39" t="str">
        <f>IF(CRUCE[[#This Row],[TOTAL2]]="", "PENDIENTE", IF(CRUCE[[#This Row],[DIFERENCIA2]]=0, "CUADRADO", IF(CRUCE[[#This Row],[DIFERENCIA2]]&gt;0, "SOBRANTE", "FALTANTE")))</f>
        <v>PENDIENTE</v>
      </c>
      <c r="R532" s="103" t="s">
        <v>5081</v>
      </c>
      <c r="S532" s="127" t="s">
        <v>5620</v>
      </c>
    </row>
    <row r="533" spans="1:19">
      <c r="A533" s="92" t="s">
        <v>5588</v>
      </c>
      <c r="B533" s="39" t="s">
        <v>3358</v>
      </c>
      <c r="C533" s="39">
        <v>8305338</v>
      </c>
      <c r="D533" s="73">
        <v>17861036791115</v>
      </c>
      <c r="E533" s="39" t="s">
        <v>523</v>
      </c>
      <c r="F533" s="39">
        <v>10</v>
      </c>
      <c r="G533" s="39" t="s">
        <v>9</v>
      </c>
      <c r="H533" s="39" t="str">
        <f>_xlfn.XLOOKUP(CRUCE[[#This Row],[Ubicacion]],Registros[Ubicacion],Registros[Codigo], "")</f>
        <v/>
      </c>
      <c r="I533" s="26" t="str">
        <f>_xlfn.XLOOKUP(CRUCE[[#This Row],[Ubicacion]],Registros[Ubicacion],Registros[Total], "")</f>
        <v/>
      </c>
      <c r="J533" s="26" t="str">
        <f>_xlfn.XLOOKUP(CRUCE[[#This Row],[Ubicacion]],Registros[Ubicacion],Registros[UMA], "")</f>
        <v/>
      </c>
      <c r="K533" s="26" t="str">
        <f>IF(CRUCE[[#This Row],[TOTAL]]="","",CRUCE[[#This Row],[TOTAL]]-CRUCE[[#This Row],[BULTOS]])</f>
        <v/>
      </c>
      <c r="L533" s="39" t="str">
        <f>IF(CRUCE[[#This Row],[TOTAL]]="", "PENDIENTE", IF(CRUCE[[#This Row],[Diferencia]]=0, "CUADRADO", IF(CRUCE[[#This Row],[Diferencia]]&gt;0, "SOBRANTE", "FALTANTE")))</f>
        <v>PENDIENTE</v>
      </c>
      <c r="M533" s="72" t="str">
        <f>IF(CRUCE[[#This Row],[Diferencia]]="","",IF(CRUCE[[#This Row],[Diferencia]]=0,"OK","RECONTEO"))</f>
        <v/>
      </c>
      <c r="N533" s="39" t="str">
        <f>_xlfn.XLOOKUP(CRUCE[[#This Row],[Ubicacion]],Registros[Ubicacion],Registros[Codigo], "")</f>
        <v/>
      </c>
      <c r="O533" s="26"/>
      <c r="P533" s="26"/>
      <c r="Q533" s="39" t="str">
        <f>IF(CRUCE[[#This Row],[TOTAL2]]="", "PENDIENTE", IF(CRUCE[[#This Row],[DIFERENCIA2]]=0, "CUADRADO", IF(CRUCE[[#This Row],[DIFERENCIA2]]&gt;0, "SOBRANTE", "FALTANTE")))</f>
        <v>PENDIENTE</v>
      </c>
      <c r="R533" s="102" t="s">
        <v>5081</v>
      </c>
      <c r="S533" s="127" t="s">
        <v>5621</v>
      </c>
    </row>
    <row r="534" spans="1:19">
      <c r="A534" s="93" t="s">
        <v>5588</v>
      </c>
      <c r="B534" s="38" t="s">
        <v>3348</v>
      </c>
      <c r="C534" s="38">
        <v>8305329</v>
      </c>
      <c r="D534" s="74">
        <v>27750243060695</v>
      </c>
      <c r="E534" s="38" t="s">
        <v>507</v>
      </c>
      <c r="F534" s="38">
        <v>22</v>
      </c>
      <c r="G534" s="38" t="s">
        <v>9</v>
      </c>
      <c r="H534" s="39" t="str">
        <f>_xlfn.XLOOKUP(CRUCE[[#This Row],[Ubicacion]],Registros[Ubicacion],Registros[Codigo], "")</f>
        <v/>
      </c>
      <c r="I534" s="25" t="str">
        <f>_xlfn.XLOOKUP(CRUCE[[#This Row],[Ubicacion]],Registros[Ubicacion],Registros[Total], "")</f>
        <v/>
      </c>
      <c r="J534" s="25" t="str">
        <f>_xlfn.XLOOKUP(CRUCE[[#This Row],[Ubicacion]],Registros[Ubicacion],Registros[UMA], "")</f>
        <v/>
      </c>
      <c r="K534" s="25" t="str">
        <f>IF(CRUCE[[#This Row],[TOTAL]]="","",CRUCE[[#This Row],[TOTAL]]-CRUCE[[#This Row],[BULTOS]])</f>
        <v/>
      </c>
      <c r="L534" s="38" t="str">
        <f>IF(CRUCE[[#This Row],[TOTAL]]="", "PENDIENTE", IF(CRUCE[[#This Row],[Diferencia]]=0, "CUADRADO", IF(CRUCE[[#This Row],[Diferencia]]&gt;0, "SOBRANTE", "FALTANTE")))</f>
        <v>PENDIENTE</v>
      </c>
      <c r="M534" s="71" t="str">
        <f>IF(CRUCE[[#This Row],[Diferencia]]="","",IF(CRUCE[[#This Row],[Diferencia]]=0,"OK","RECONTEO"))</f>
        <v/>
      </c>
      <c r="N534" s="39" t="str">
        <f>_xlfn.XLOOKUP(CRUCE[[#This Row],[Ubicacion]],Registros[Ubicacion],Registros[Codigo], "")</f>
        <v/>
      </c>
      <c r="O534" s="25"/>
      <c r="P534" s="25"/>
      <c r="Q534" s="39" t="str">
        <f>IF(CRUCE[[#This Row],[TOTAL2]]="", "PENDIENTE", IF(CRUCE[[#This Row],[DIFERENCIA2]]=0, "CUADRADO", IF(CRUCE[[#This Row],[DIFERENCIA2]]&gt;0, "SOBRANTE", "FALTANTE")))</f>
        <v>PENDIENTE</v>
      </c>
      <c r="R534" s="103" t="s">
        <v>5081</v>
      </c>
      <c r="S534" s="127" t="s">
        <v>5622</v>
      </c>
    </row>
    <row r="535" spans="1:19">
      <c r="A535" s="92" t="s">
        <v>5588</v>
      </c>
      <c r="B535" s="39" t="s">
        <v>3342</v>
      </c>
      <c r="C535" s="39">
        <v>8305328</v>
      </c>
      <c r="D535" s="73">
        <v>27751851023393</v>
      </c>
      <c r="E535" s="39" t="s">
        <v>505</v>
      </c>
      <c r="F535" s="39">
        <v>80</v>
      </c>
      <c r="G535" s="39" t="s">
        <v>9</v>
      </c>
      <c r="H535" s="39" t="str">
        <f>_xlfn.XLOOKUP(CRUCE[[#This Row],[Ubicacion]],Registros[Ubicacion],Registros[Codigo], "")</f>
        <v/>
      </c>
      <c r="I535" s="26" t="str">
        <f>_xlfn.XLOOKUP(CRUCE[[#This Row],[Ubicacion]],Registros[Ubicacion],Registros[Total], "")</f>
        <v/>
      </c>
      <c r="J535" s="26" t="str">
        <f>_xlfn.XLOOKUP(CRUCE[[#This Row],[Ubicacion]],Registros[Ubicacion],Registros[UMA], "")</f>
        <v/>
      </c>
      <c r="K535" s="26" t="str">
        <f>IF(CRUCE[[#This Row],[TOTAL]]="","",CRUCE[[#This Row],[TOTAL]]-CRUCE[[#This Row],[BULTOS]])</f>
        <v/>
      </c>
      <c r="L535" s="39" t="str">
        <f>IF(CRUCE[[#This Row],[TOTAL]]="", "PENDIENTE", IF(CRUCE[[#This Row],[Diferencia]]=0, "CUADRADO", IF(CRUCE[[#This Row],[Diferencia]]&gt;0, "SOBRANTE", "FALTANTE")))</f>
        <v>PENDIENTE</v>
      </c>
      <c r="M535" s="72" t="str">
        <f>IF(CRUCE[[#This Row],[Diferencia]]="","",IF(CRUCE[[#This Row],[Diferencia]]=0,"OK","RECONTEO"))</f>
        <v/>
      </c>
      <c r="N535" s="39" t="str">
        <f>_xlfn.XLOOKUP(CRUCE[[#This Row],[Ubicacion]],Registros[Ubicacion],Registros[Codigo], "")</f>
        <v/>
      </c>
      <c r="O535" s="26"/>
      <c r="P535" s="26"/>
      <c r="Q535" s="39" t="str">
        <f>IF(CRUCE[[#This Row],[TOTAL2]]="", "PENDIENTE", IF(CRUCE[[#This Row],[DIFERENCIA2]]=0, "CUADRADO", IF(CRUCE[[#This Row],[DIFERENCIA2]]&gt;0, "SOBRANTE", "FALTANTE")))</f>
        <v>PENDIENTE</v>
      </c>
      <c r="R535" s="102" t="s">
        <v>5081</v>
      </c>
      <c r="S535" s="127" t="s">
        <v>5623</v>
      </c>
    </row>
    <row r="536" spans="1:19">
      <c r="A536" s="93" t="s">
        <v>5588</v>
      </c>
      <c r="B536" s="38" t="s">
        <v>3346</v>
      </c>
      <c r="C536" s="38">
        <v>8305328</v>
      </c>
      <c r="D536" s="74">
        <v>27751851023393</v>
      </c>
      <c r="E536" s="38" t="s">
        <v>505</v>
      </c>
      <c r="F536" s="38">
        <v>80</v>
      </c>
      <c r="G536" s="38" t="s">
        <v>9</v>
      </c>
      <c r="H536" s="39" t="str">
        <f>_xlfn.XLOOKUP(CRUCE[[#This Row],[Ubicacion]],Registros[Ubicacion],Registros[Codigo], "")</f>
        <v/>
      </c>
      <c r="I536" s="25" t="str">
        <f>_xlfn.XLOOKUP(CRUCE[[#This Row],[Ubicacion]],Registros[Ubicacion],Registros[Total], "")</f>
        <v/>
      </c>
      <c r="J536" s="25" t="str">
        <f>_xlfn.XLOOKUP(CRUCE[[#This Row],[Ubicacion]],Registros[Ubicacion],Registros[UMA], "")</f>
        <v/>
      </c>
      <c r="K536" s="25" t="str">
        <f>IF(CRUCE[[#This Row],[TOTAL]]="","",CRUCE[[#This Row],[TOTAL]]-CRUCE[[#This Row],[BULTOS]])</f>
        <v/>
      </c>
      <c r="L536" s="38" t="str">
        <f>IF(CRUCE[[#This Row],[TOTAL]]="", "PENDIENTE", IF(CRUCE[[#This Row],[Diferencia]]=0, "CUADRADO", IF(CRUCE[[#This Row],[Diferencia]]&gt;0, "SOBRANTE", "FALTANTE")))</f>
        <v>PENDIENTE</v>
      </c>
      <c r="M536" s="71" t="str">
        <f>IF(CRUCE[[#This Row],[Diferencia]]="","",IF(CRUCE[[#This Row],[Diferencia]]=0,"OK","RECONTEO"))</f>
        <v/>
      </c>
      <c r="N536" s="39" t="str">
        <f>_xlfn.XLOOKUP(CRUCE[[#This Row],[Ubicacion]],Registros[Ubicacion],Registros[Codigo], "")</f>
        <v/>
      </c>
      <c r="O536" s="25"/>
      <c r="P536" s="25"/>
      <c r="Q536" s="39" t="str">
        <f>IF(CRUCE[[#This Row],[TOTAL2]]="", "PENDIENTE", IF(CRUCE[[#This Row],[DIFERENCIA2]]=0, "CUADRADO", IF(CRUCE[[#This Row],[DIFERENCIA2]]&gt;0, "SOBRANTE", "FALTANTE")))</f>
        <v>PENDIENTE</v>
      </c>
      <c r="R536" s="103" t="s">
        <v>5081</v>
      </c>
      <c r="S536" s="127" t="s">
        <v>5624</v>
      </c>
    </row>
    <row r="537" spans="1:19">
      <c r="A537" s="92" t="s">
        <v>5588</v>
      </c>
      <c r="B537" s="39" t="s">
        <v>3352</v>
      </c>
      <c r="C537" s="39">
        <v>8305334</v>
      </c>
      <c r="D537" s="73">
        <v>17750243084755</v>
      </c>
      <c r="E537" s="39" t="s">
        <v>515</v>
      </c>
      <c r="F537" s="39">
        <v>51</v>
      </c>
      <c r="G537" s="39" t="s">
        <v>9</v>
      </c>
      <c r="H537" s="39" t="str">
        <f>_xlfn.XLOOKUP(CRUCE[[#This Row],[Ubicacion]],Registros[Ubicacion],Registros[Codigo], "")</f>
        <v/>
      </c>
      <c r="I537" s="26" t="str">
        <f>_xlfn.XLOOKUP(CRUCE[[#This Row],[Ubicacion]],Registros[Ubicacion],Registros[Total], "")</f>
        <v/>
      </c>
      <c r="J537" s="26" t="str">
        <f>_xlfn.XLOOKUP(CRUCE[[#This Row],[Ubicacion]],Registros[Ubicacion],Registros[UMA], "")</f>
        <v/>
      </c>
      <c r="K537" s="26" t="str">
        <f>IF(CRUCE[[#This Row],[TOTAL]]="","",CRUCE[[#This Row],[TOTAL]]-CRUCE[[#This Row],[BULTOS]])</f>
        <v/>
      </c>
      <c r="L537" s="39" t="str">
        <f>IF(CRUCE[[#This Row],[TOTAL]]="", "PENDIENTE", IF(CRUCE[[#This Row],[Diferencia]]=0, "CUADRADO", IF(CRUCE[[#This Row],[Diferencia]]&gt;0, "SOBRANTE", "FALTANTE")))</f>
        <v>PENDIENTE</v>
      </c>
      <c r="M537" s="72" t="str">
        <f>IF(CRUCE[[#This Row],[Diferencia]]="","",IF(CRUCE[[#This Row],[Diferencia]]=0,"OK","RECONTEO"))</f>
        <v/>
      </c>
      <c r="N537" s="39" t="str">
        <f>_xlfn.XLOOKUP(CRUCE[[#This Row],[Ubicacion]],Registros[Ubicacion],Registros[Codigo], "")</f>
        <v/>
      </c>
      <c r="O537" s="26"/>
      <c r="P537" s="26"/>
      <c r="Q537" s="39" t="str">
        <f>IF(CRUCE[[#This Row],[TOTAL2]]="", "PENDIENTE", IF(CRUCE[[#This Row],[DIFERENCIA2]]=0, "CUADRADO", IF(CRUCE[[#This Row],[DIFERENCIA2]]&gt;0, "SOBRANTE", "FALTANTE")))</f>
        <v>PENDIENTE</v>
      </c>
      <c r="R537" s="102" t="s">
        <v>5081</v>
      </c>
      <c r="S537" s="129" t="s">
        <v>5625</v>
      </c>
    </row>
    <row r="538" spans="1:19">
      <c r="A538" s="93" t="s">
        <v>5588</v>
      </c>
      <c r="B538" s="38" t="s">
        <v>3336</v>
      </c>
      <c r="C538" s="38">
        <v>8305326</v>
      </c>
      <c r="D538" s="74">
        <v>27751851003593</v>
      </c>
      <c r="E538" s="38" t="s">
        <v>502</v>
      </c>
      <c r="F538" s="38">
        <v>35</v>
      </c>
      <c r="G538" s="38" t="s">
        <v>9</v>
      </c>
      <c r="H538" s="39" t="str">
        <f>_xlfn.XLOOKUP(CRUCE[[#This Row],[Ubicacion]],Registros[Ubicacion],Registros[Codigo], "")</f>
        <v/>
      </c>
      <c r="I538" s="25" t="str">
        <f>_xlfn.XLOOKUP(CRUCE[[#This Row],[Ubicacion]],Registros[Ubicacion],Registros[Total], "")</f>
        <v/>
      </c>
      <c r="J538" s="25" t="str">
        <f>_xlfn.XLOOKUP(CRUCE[[#This Row],[Ubicacion]],Registros[Ubicacion],Registros[UMA], "")</f>
        <v/>
      </c>
      <c r="K538" s="25" t="str">
        <f>IF(CRUCE[[#This Row],[TOTAL]]="","",CRUCE[[#This Row],[TOTAL]]-CRUCE[[#This Row],[BULTOS]])</f>
        <v/>
      </c>
      <c r="L538" s="38" t="str">
        <f>IF(CRUCE[[#This Row],[TOTAL]]="", "PENDIENTE", IF(CRUCE[[#This Row],[Diferencia]]=0, "CUADRADO", IF(CRUCE[[#This Row],[Diferencia]]&gt;0, "SOBRANTE", "FALTANTE")))</f>
        <v>PENDIENTE</v>
      </c>
      <c r="M538" s="71" t="str">
        <f>IF(CRUCE[[#This Row],[Diferencia]]="","",IF(CRUCE[[#This Row],[Diferencia]]=0,"OK","RECONTEO"))</f>
        <v/>
      </c>
      <c r="N538" s="39" t="str">
        <f>_xlfn.XLOOKUP(CRUCE[[#This Row],[Ubicacion]],Registros[Ubicacion],Registros[Codigo], "")</f>
        <v/>
      </c>
      <c r="O538" s="25"/>
      <c r="P538" s="25"/>
      <c r="Q538" s="39" t="str">
        <f>IF(CRUCE[[#This Row],[TOTAL2]]="", "PENDIENTE", IF(CRUCE[[#This Row],[DIFERENCIA2]]=0, "CUADRADO", IF(CRUCE[[#This Row],[DIFERENCIA2]]&gt;0, "SOBRANTE", "FALTANTE")))</f>
        <v>PENDIENTE</v>
      </c>
      <c r="R538" s="103" t="s">
        <v>5081</v>
      </c>
      <c r="S538" s="127" t="s">
        <v>5626</v>
      </c>
    </row>
    <row r="539" spans="1:19">
      <c r="A539" s="92" t="s">
        <v>5588</v>
      </c>
      <c r="B539" s="39" t="s">
        <v>3260</v>
      </c>
      <c r="C539" s="39">
        <v>8304013</v>
      </c>
      <c r="D539" s="73">
        <v>17751851024201</v>
      </c>
      <c r="E539" s="39" t="s">
        <v>344</v>
      </c>
      <c r="F539" s="39">
        <v>62</v>
      </c>
      <c r="G539" s="39" t="s">
        <v>9</v>
      </c>
      <c r="H539" s="39" t="str">
        <f>_xlfn.XLOOKUP(CRUCE[[#This Row],[Ubicacion]],Registros[Ubicacion],Registros[Codigo], "")</f>
        <v/>
      </c>
      <c r="I539" s="26" t="str">
        <f>_xlfn.XLOOKUP(CRUCE[[#This Row],[Ubicacion]],Registros[Ubicacion],Registros[Total], "")</f>
        <v/>
      </c>
      <c r="J539" s="26" t="str">
        <f>_xlfn.XLOOKUP(CRUCE[[#This Row],[Ubicacion]],Registros[Ubicacion],Registros[UMA], "")</f>
        <v/>
      </c>
      <c r="K539" s="26" t="str">
        <f>IF(CRUCE[[#This Row],[TOTAL]]="","",CRUCE[[#This Row],[TOTAL]]-CRUCE[[#This Row],[BULTOS]])</f>
        <v/>
      </c>
      <c r="L539" s="39" t="str">
        <f>IF(CRUCE[[#This Row],[TOTAL]]="", "PENDIENTE", IF(CRUCE[[#This Row],[Diferencia]]=0, "CUADRADO", IF(CRUCE[[#This Row],[Diferencia]]&gt;0, "SOBRANTE", "FALTANTE")))</f>
        <v>PENDIENTE</v>
      </c>
      <c r="M539" s="72" t="str">
        <f>IF(CRUCE[[#This Row],[Diferencia]]="","",IF(CRUCE[[#This Row],[Diferencia]]=0,"OK","RECONTEO"))</f>
        <v/>
      </c>
      <c r="N539" s="39" t="str">
        <f>_xlfn.XLOOKUP(CRUCE[[#This Row],[Ubicacion]],Registros[Ubicacion],Registros[Codigo], "")</f>
        <v/>
      </c>
      <c r="O539" s="26"/>
      <c r="P539" s="26"/>
      <c r="Q539" s="39" t="str">
        <f>IF(CRUCE[[#This Row],[TOTAL2]]="", "PENDIENTE", IF(CRUCE[[#This Row],[DIFERENCIA2]]=0, "CUADRADO", IF(CRUCE[[#This Row],[DIFERENCIA2]]&gt;0, "SOBRANTE", "FALTANTE")))</f>
        <v>PENDIENTE</v>
      </c>
      <c r="R539" s="102" t="s">
        <v>5081</v>
      </c>
      <c r="S539" s="127" t="s">
        <v>5627</v>
      </c>
    </row>
    <row r="540" spans="1:19">
      <c r="A540" s="93" t="s">
        <v>5588</v>
      </c>
      <c r="B540" s="38" t="s">
        <v>3499</v>
      </c>
      <c r="C540" s="38">
        <v>8315004</v>
      </c>
      <c r="D540" s="74">
        <v>17751851559093</v>
      </c>
      <c r="E540" s="38" t="s">
        <v>771</v>
      </c>
      <c r="F540" s="38">
        <v>34</v>
      </c>
      <c r="G540" s="38" t="s">
        <v>9</v>
      </c>
      <c r="H540" s="39" t="str">
        <f>_xlfn.XLOOKUP(CRUCE[[#This Row],[Ubicacion]],Registros[Ubicacion],Registros[Codigo], "")</f>
        <v/>
      </c>
      <c r="I540" s="25" t="str">
        <f>_xlfn.XLOOKUP(CRUCE[[#This Row],[Ubicacion]],Registros[Ubicacion],Registros[Total], "")</f>
        <v/>
      </c>
      <c r="J540" s="25" t="str">
        <f>_xlfn.XLOOKUP(CRUCE[[#This Row],[Ubicacion]],Registros[Ubicacion],Registros[UMA], "")</f>
        <v/>
      </c>
      <c r="K540" s="25" t="str">
        <f>IF(CRUCE[[#This Row],[TOTAL]]="","",CRUCE[[#This Row],[TOTAL]]-CRUCE[[#This Row],[BULTOS]])</f>
        <v/>
      </c>
      <c r="L540" s="38" t="str">
        <f>IF(CRUCE[[#This Row],[TOTAL]]="", "PENDIENTE", IF(CRUCE[[#This Row],[Diferencia]]=0, "CUADRADO", IF(CRUCE[[#This Row],[Diferencia]]&gt;0, "SOBRANTE", "FALTANTE")))</f>
        <v>PENDIENTE</v>
      </c>
      <c r="M540" s="71" t="str">
        <f>IF(CRUCE[[#This Row],[Diferencia]]="","",IF(CRUCE[[#This Row],[Diferencia]]=0,"OK","RECONTEO"))</f>
        <v/>
      </c>
      <c r="N540" s="39" t="str">
        <f>_xlfn.XLOOKUP(CRUCE[[#This Row],[Ubicacion]],Registros[Ubicacion],Registros[Codigo], "")</f>
        <v/>
      </c>
      <c r="O540" s="25"/>
      <c r="P540" s="25"/>
      <c r="Q540" s="39" t="str">
        <f>IF(CRUCE[[#This Row],[TOTAL2]]="", "PENDIENTE", IF(CRUCE[[#This Row],[DIFERENCIA2]]=0, "CUADRADO", IF(CRUCE[[#This Row],[DIFERENCIA2]]&gt;0, "SOBRANTE", "FALTANTE")))</f>
        <v>PENDIENTE</v>
      </c>
      <c r="R540" s="103" t="s">
        <v>5081</v>
      </c>
      <c r="S540" s="127" t="s">
        <v>5628</v>
      </c>
    </row>
    <row r="541" spans="1:19">
      <c r="A541" s="92" t="s">
        <v>5588</v>
      </c>
      <c r="B541" s="39" t="s">
        <v>3143</v>
      </c>
      <c r="C541" s="39">
        <v>8300110</v>
      </c>
      <c r="D541" s="73">
        <v>17750243082218</v>
      </c>
      <c r="E541" s="39" t="s">
        <v>153</v>
      </c>
      <c r="F541" s="39">
        <v>36</v>
      </c>
      <c r="G541" s="39" t="s">
        <v>9</v>
      </c>
      <c r="H541" s="39" t="str">
        <f>_xlfn.XLOOKUP(CRUCE[[#This Row],[Ubicacion]],Registros[Ubicacion],Registros[Codigo], "")</f>
        <v/>
      </c>
      <c r="I541" s="26" t="str">
        <f>_xlfn.XLOOKUP(CRUCE[[#This Row],[Ubicacion]],Registros[Ubicacion],Registros[Total], "")</f>
        <v/>
      </c>
      <c r="J541" s="26" t="str">
        <f>_xlfn.XLOOKUP(CRUCE[[#This Row],[Ubicacion]],Registros[Ubicacion],Registros[UMA], "")</f>
        <v/>
      </c>
      <c r="K541" s="26" t="str">
        <f>IF(CRUCE[[#This Row],[TOTAL]]="","",CRUCE[[#This Row],[TOTAL]]-CRUCE[[#This Row],[BULTOS]])</f>
        <v/>
      </c>
      <c r="L541" s="39" t="str">
        <f>IF(CRUCE[[#This Row],[TOTAL]]="", "PENDIENTE", IF(CRUCE[[#This Row],[Diferencia]]=0, "CUADRADO", IF(CRUCE[[#This Row],[Diferencia]]&gt;0, "SOBRANTE", "FALTANTE")))</f>
        <v>PENDIENTE</v>
      </c>
      <c r="M541" s="72" t="str">
        <f>IF(CRUCE[[#This Row],[Diferencia]]="","",IF(CRUCE[[#This Row],[Diferencia]]=0,"OK","RECONTEO"))</f>
        <v/>
      </c>
      <c r="N541" s="39" t="str">
        <f>_xlfn.XLOOKUP(CRUCE[[#This Row],[Ubicacion]],Registros[Ubicacion],Registros[Codigo], "")</f>
        <v/>
      </c>
      <c r="O541" s="26"/>
      <c r="P541" s="26"/>
      <c r="Q541" s="39" t="str">
        <f>IF(CRUCE[[#This Row],[TOTAL2]]="", "PENDIENTE", IF(CRUCE[[#This Row],[DIFERENCIA2]]=0, "CUADRADO", IF(CRUCE[[#This Row],[DIFERENCIA2]]&gt;0, "SOBRANTE", "FALTANTE")))</f>
        <v>PENDIENTE</v>
      </c>
      <c r="R541" s="102" t="s">
        <v>5081</v>
      </c>
      <c r="S541" s="127" t="s">
        <v>5629</v>
      </c>
    </row>
    <row r="542" spans="1:19">
      <c r="A542" s="93" t="s">
        <v>5588</v>
      </c>
      <c r="B542" s="38" t="s">
        <v>4901</v>
      </c>
      <c r="C542" s="25"/>
      <c r="D542" s="34"/>
      <c r="E542" s="25"/>
      <c r="F542" s="25"/>
      <c r="G542" s="25"/>
      <c r="H542" s="39" t="str">
        <f>_xlfn.XLOOKUP(CRUCE[[#This Row],[Ubicacion]],Registros[Ubicacion],Registros[Codigo], "")</f>
        <v/>
      </c>
      <c r="I542" s="25" t="str">
        <f>_xlfn.XLOOKUP(CRUCE[[#This Row],[Ubicacion]],Registros[Ubicacion],Registros[Total], "")</f>
        <v/>
      </c>
      <c r="J542" s="25" t="str">
        <f>_xlfn.XLOOKUP(CRUCE[[#This Row],[Ubicacion]],Registros[Ubicacion],Registros[UMA], "")</f>
        <v/>
      </c>
      <c r="K542" s="25" t="str">
        <f>IF(CRUCE[[#This Row],[TOTAL]]="","",CRUCE[[#This Row],[TOTAL]]-CRUCE[[#This Row],[BULTOS]])</f>
        <v/>
      </c>
      <c r="L542" s="38" t="str">
        <f>IF(CRUCE[[#This Row],[TOTAL]]="", "PENDIENTE", IF(CRUCE[[#This Row],[Diferencia]]=0, "CUADRADO", IF(CRUCE[[#This Row],[Diferencia]]&gt;0, "SOBRANTE", "FALTANTE")))</f>
        <v>PENDIENTE</v>
      </c>
      <c r="M542" s="71" t="str">
        <f>IF(CRUCE[[#This Row],[Diferencia]]="","",IF(CRUCE[[#This Row],[Diferencia]]=0,"OK","RECONTEO"))</f>
        <v/>
      </c>
      <c r="N542" s="39" t="str">
        <f>_xlfn.XLOOKUP(CRUCE[[#This Row],[Ubicacion]],Registros[Ubicacion],Registros[Codigo], "")</f>
        <v/>
      </c>
      <c r="O542" s="25"/>
      <c r="P542" s="25"/>
      <c r="Q542" s="39" t="str">
        <f>IF(CRUCE[[#This Row],[TOTAL2]]="", "PENDIENTE", IF(CRUCE[[#This Row],[DIFERENCIA2]]=0, "CUADRADO", IF(CRUCE[[#This Row],[DIFERENCIA2]]&gt;0, "SOBRANTE", "FALTANTE")))</f>
        <v>PENDIENTE</v>
      </c>
      <c r="R542" s="103" t="s">
        <v>5081</v>
      </c>
      <c r="S542" s="127" t="s">
        <v>5630</v>
      </c>
    </row>
    <row r="543" spans="1:19">
      <c r="A543" s="92" t="s">
        <v>5588</v>
      </c>
      <c r="B543" s="39" t="s">
        <v>4903</v>
      </c>
      <c r="C543" s="26"/>
      <c r="D543" s="35"/>
      <c r="E543" s="26"/>
      <c r="F543" s="26"/>
      <c r="G543" s="26"/>
      <c r="H543" s="39" t="str">
        <f>_xlfn.XLOOKUP(CRUCE[[#This Row],[Ubicacion]],Registros[Ubicacion],Registros[Codigo], "")</f>
        <v/>
      </c>
      <c r="I543" s="26" t="str">
        <f>_xlfn.XLOOKUP(CRUCE[[#This Row],[Ubicacion]],Registros[Ubicacion],Registros[Total], "")</f>
        <v/>
      </c>
      <c r="J543" s="26" t="str">
        <f>_xlfn.XLOOKUP(CRUCE[[#This Row],[Ubicacion]],Registros[Ubicacion],Registros[UMA], "")</f>
        <v/>
      </c>
      <c r="K543" s="26" t="str">
        <f>IF(CRUCE[[#This Row],[TOTAL]]="","",CRUCE[[#This Row],[TOTAL]]-CRUCE[[#This Row],[BULTOS]])</f>
        <v/>
      </c>
      <c r="L543" s="39" t="str">
        <f>IF(CRUCE[[#This Row],[TOTAL]]="", "PENDIENTE", IF(CRUCE[[#This Row],[Diferencia]]=0, "CUADRADO", IF(CRUCE[[#This Row],[Diferencia]]&gt;0, "SOBRANTE", "FALTANTE")))</f>
        <v>PENDIENTE</v>
      </c>
      <c r="M543" s="72" t="str">
        <f>IF(CRUCE[[#This Row],[Diferencia]]="","",IF(CRUCE[[#This Row],[Diferencia]]=0,"OK","RECONTEO"))</f>
        <v/>
      </c>
      <c r="N543" s="39" t="str">
        <f>_xlfn.XLOOKUP(CRUCE[[#This Row],[Ubicacion]],Registros[Ubicacion],Registros[Codigo], "")</f>
        <v/>
      </c>
      <c r="O543" s="26"/>
      <c r="P543" s="26"/>
      <c r="Q543" s="39" t="str">
        <f>IF(CRUCE[[#This Row],[TOTAL2]]="", "PENDIENTE", IF(CRUCE[[#This Row],[DIFERENCIA2]]=0, "CUADRADO", IF(CRUCE[[#This Row],[DIFERENCIA2]]&gt;0, "SOBRANTE", "FALTANTE")))</f>
        <v>PENDIENTE</v>
      </c>
      <c r="R543" s="102" t="s">
        <v>5081</v>
      </c>
      <c r="S543" s="127" t="s">
        <v>5631</v>
      </c>
    </row>
    <row r="544" spans="1:19">
      <c r="A544" s="93" t="s">
        <v>5588</v>
      </c>
      <c r="B544" s="38" t="s">
        <v>3598</v>
      </c>
      <c r="C544" s="38">
        <v>8316038</v>
      </c>
      <c r="D544" s="74">
        <v>17751851107553</v>
      </c>
      <c r="E544" s="38" t="s">
        <v>929</v>
      </c>
      <c r="F544" s="38">
        <v>104</v>
      </c>
      <c r="G544" s="38" t="s">
        <v>9</v>
      </c>
      <c r="H544" s="39" t="str">
        <f>_xlfn.XLOOKUP(CRUCE[[#This Row],[Ubicacion]],Registros[Ubicacion],Registros[Codigo], "")</f>
        <v/>
      </c>
      <c r="I544" s="25" t="str">
        <f>_xlfn.XLOOKUP(CRUCE[[#This Row],[Ubicacion]],Registros[Ubicacion],Registros[Total], "")</f>
        <v/>
      </c>
      <c r="J544" s="25" t="str">
        <f>_xlfn.XLOOKUP(CRUCE[[#This Row],[Ubicacion]],Registros[Ubicacion],Registros[UMA], "")</f>
        <v/>
      </c>
      <c r="K544" s="25" t="str">
        <f>IF(CRUCE[[#This Row],[TOTAL]]="","",CRUCE[[#This Row],[TOTAL]]-CRUCE[[#This Row],[BULTOS]])</f>
        <v/>
      </c>
      <c r="L544" s="38" t="str">
        <f>IF(CRUCE[[#This Row],[TOTAL]]="", "PENDIENTE", IF(CRUCE[[#This Row],[Diferencia]]=0, "CUADRADO", IF(CRUCE[[#This Row],[Diferencia]]&gt;0, "SOBRANTE", "FALTANTE")))</f>
        <v>PENDIENTE</v>
      </c>
      <c r="M544" s="71" t="str">
        <f>IF(CRUCE[[#This Row],[Diferencia]]="","",IF(CRUCE[[#This Row],[Diferencia]]=0,"OK","RECONTEO"))</f>
        <v/>
      </c>
      <c r="N544" s="39" t="str">
        <f>_xlfn.XLOOKUP(CRUCE[[#This Row],[Ubicacion]],Registros[Ubicacion],Registros[Codigo], "")</f>
        <v/>
      </c>
      <c r="O544" s="25"/>
      <c r="P544" s="25"/>
      <c r="Q544" s="39" t="str">
        <f>IF(CRUCE[[#This Row],[TOTAL2]]="", "PENDIENTE", IF(CRUCE[[#This Row],[DIFERENCIA2]]=0, "CUADRADO", IF(CRUCE[[#This Row],[DIFERENCIA2]]&gt;0, "SOBRANTE", "FALTANTE")))</f>
        <v>PENDIENTE</v>
      </c>
      <c r="R544" s="103" t="s">
        <v>5081</v>
      </c>
      <c r="S544" s="127" t="s">
        <v>5632</v>
      </c>
    </row>
    <row r="545" spans="1:19">
      <c r="A545" s="92" t="s">
        <v>5588</v>
      </c>
      <c r="B545" s="39" t="s">
        <v>3386</v>
      </c>
      <c r="C545" s="39">
        <v>8305354</v>
      </c>
      <c r="D545" s="73">
        <v>17861036791030</v>
      </c>
      <c r="E545" s="39" t="s">
        <v>549</v>
      </c>
      <c r="F545" s="39">
        <v>50</v>
      </c>
      <c r="G545" s="39" t="s">
        <v>9</v>
      </c>
      <c r="H545" s="39" t="str">
        <f>_xlfn.XLOOKUP(CRUCE[[#This Row],[Ubicacion]],Registros[Ubicacion],Registros[Codigo], "")</f>
        <v/>
      </c>
      <c r="I545" s="26" t="str">
        <f>_xlfn.XLOOKUP(CRUCE[[#This Row],[Ubicacion]],Registros[Ubicacion],Registros[Total], "")</f>
        <v/>
      </c>
      <c r="J545" s="26" t="str">
        <f>_xlfn.XLOOKUP(CRUCE[[#This Row],[Ubicacion]],Registros[Ubicacion],Registros[UMA], "")</f>
        <v/>
      </c>
      <c r="K545" s="26" t="str">
        <f>IF(CRUCE[[#This Row],[TOTAL]]="","",CRUCE[[#This Row],[TOTAL]]-CRUCE[[#This Row],[BULTOS]])</f>
        <v/>
      </c>
      <c r="L545" s="39" t="str">
        <f>IF(CRUCE[[#This Row],[TOTAL]]="", "PENDIENTE", IF(CRUCE[[#This Row],[Diferencia]]=0, "CUADRADO", IF(CRUCE[[#This Row],[Diferencia]]&gt;0, "SOBRANTE", "FALTANTE")))</f>
        <v>PENDIENTE</v>
      </c>
      <c r="M545" s="72" t="str">
        <f>IF(CRUCE[[#This Row],[Diferencia]]="","",IF(CRUCE[[#This Row],[Diferencia]]=0,"OK","RECONTEO"))</f>
        <v/>
      </c>
      <c r="N545" s="39" t="str">
        <f>_xlfn.XLOOKUP(CRUCE[[#This Row],[Ubicacion]],Registros[Ubicacion],Registros[Codigo], "")</f>
        <v/>
      </c>
      <c r="O545" s="26"/>
      <c r="P545" s="26"/>
      <c r="Q545" s="39" t="str">
        <f>IF(CRUCE[[#This Row],[TOTAL2]]="", "PENDIENTE", IF(CRUCE[[#This Row],[DIFERENCIA2]]=0, "CUADRADO", IF(CRUCE[[#This Row],[DIFERENCIA2]]&gt;0, "SOBRANTE", "FALTANTE")))</f>
        <v>PENDIENTE</v>
      </c>
      <c r="R545" s="102" t="s">
        <v>5081</v>
      </c>
      <c r="S545" s="127" t="s">
        <v>5633</v>
      </c>
    </row>
    <row r="546" spans="1:19">
      <c r="A546" s="93" t="s">
        <v>5588</v>
      </c>
      <c r="B546" s="38" t="s">
        <v>3384</v>
      </c>
      <c r="C546" s="38">
        <v>8305353</v>
      </c>
      <c r="D546" s="74">
        <v>17861036791023</v>
      </c>
      <c r="E546" s="38" t="s">
        <v>547</v>
      </c>
      <c r="F546" s="38">
        <v>7</v>
      </c>
      <c r="G546" s="38" t="s">
        <v>9</v>
      </c>
      <c r="H546" s="39" t="str">
        <f>_xlfn.XLOOKUP(CRUCE[[#This Row],[Ubicacion]],Registros[Ubicacion],Registros[Codigo], "")</f>
        <v/>
      </c>
      <c r="I546" s="25" t="str">
        <f>_xlfn.XLOOKUP(CRUCE[[#This Row],[Ubicacion]],Registros[Ubicacion],Registros[Total], "")</f>
        <v/>
      </c>
      <c r="J546" s="25" t="str">
        <f>_xlfn.XLOOKUP(CRUCE[[#This Row],[Ubicacion]],Registros[Ubicacion],Registros[UMA], "")</f>
        <v/>
      </c>
      <c r="K546" s="25" t="str">
        <f>IF(CRUCE[[#This Row],[TOTAL]]="","",CRUCE[[#This Row],[TOTAL]]-CRUCE[[#This Row],[BULTOS]])</f>
        <v/>
      </c>
      <c r="L546" s="38" t="str">
        <f>IF(CRUCE[[#This Row],[TOTAL]]="", "PENDIENTE", IF(CRUCE[[#This Row],[Diferencia]]=0, "CUADRADO", IF(CRUCE[[#This Row],[Diferencia]]&gt;0, "SOBRANTE", "FALTANTE")))</f>
        <v>PENDIENTE</v>
      </c>
      <c r="M546" s="71" t="str">
        <f>IF(CRUCE[[#This Row],[Diferencia]]="","",IF(CRUCE[[#This Row],[Diferencia]]=0,"OK","RECONTEO"))</f>
        <v/>
      </c>
      <c r="N546" s="39" t="str">
        <f>_xlfn.XLOOKUP(CRUCE[[#This Row],[Ubicacion]],Registros[Ubicacion],Registros[Codigo], "")</f>
        <v/>
      </c>
      <c r="O546" s="25"/>
      <c r="P546" s="25"/>
      <c r="Q546" s="39" t="str">
        <f>IF(CRUCE[[#This Row],[TOTAL2]]="", "PENDIENTE", IF(CRUCE[[#This Row],[DIFERENCIA2]]=0, "CUADRADO", IF(CRUCE[[#This Row],[DIFERENCIA2]]&gt;0, "SOBRANTE", "FALTANTE")))</f>
        <v>PENDIENTE</v>
      </c>
      <c r="R546" s="103" t="s">
        <v>5081</v>
      </c>
      <c r="S546" s="127" t="s">
        <v>5634</v>
      </c>
    </row>
    <row r="547" spans="1:19">
      <c r="A547" s="92" t="s">
        <v>5588</v>
      </c>
      <c r="B547" s="39" t="s">
        <v>3340</v>
      </c>
      <c r="C547" s="39">
        <v>8305327</v>
      </c>
      <c r="D547" s="73">
        <v>27750243068264</v>
      </c>
      <c r="E547" s="39" t="s">
        <v>430</v>
      </c>
      <c r="F547" s="39">
        <v>40</v>
      </c>
      <c r="G547" s="39" t="s">
        <v>9</v>
      </c>
      <c r="H547" s="39" t="str">
        <f>_xlfn.XLOOKUP(CRUCE[[#This Row],[Ubicacion]],Registros[Ubicacion],Registros[Codigo], "")</f>
        <v/>
      </c>
      <c r="I547" s="26" t="str">
        <f>_xlfn.XLOOKUP(CRUCE[[#This Row],[Ubicacion]],Registros[Ubicacion],Registros[Total], "")</f>
        <v/>
      </c>
      <c r="J547" s="26" t="str">
        <f>_xlfn.XLOOKUP(CRUCE[[#This Row],[Ubicacion]],Registros[Ubicacion],Registros[UMA], "")</f>
        <v/>
      </c>
      <c r="K547" s="26" t="str">
        <f>IF(CRUCE[[#This Row],[TOTAL]]="","",CRUCE[[#This Row],[TOTAL]]-CRUCE[[#This Row],[BULTOS]])</f>
        <v/>
      </c>
      <c r="L547" s="39" t="str">
        <f>IF(CRUCE[[#This Row],[TOTAL]]="", "PENDIENTE", IF(CRUCE[[#This Row],[Diferencia]]=0, "CUADRADO", IF(CRUCE[[#This Row],[Diferencia]]&gt;0, "SOBRANTE", "FALTANTE")))</f>
        <v>PENDIENTE</v>
      </c>
      <c r="M547" s="72" t="str">
        <f>IF(CRUCE[[#This Row],[Diferencia]]="","",IF(CRUCE[[#This Row],[Diferencia]]=0,"OK","RECONTEO"))</f>
        <v/>
      </c>
      <c r="N547" s="39" t="str">
        <f>_xlfn.XLOOKUP(CRUCE[[#This Row],[Ubicacion]],Registros[Ubicacion],Registros[Codigo], "")</f>
        <v/>
      </c>
      <c r="O547" s="26"/>
      <c r="P547" s="26"/>
      <c r="Q547" s="39" t="str">
        <f>IF(CRUCE[[#This Row],[TOTAL2]]="", "PENDIENTE", IF(CRUCE[[#This Row],[DIFERENCIA2]]=0, "CUADRADO", IF(CRUCE[[#This Row],[DIFERENCIA2]]&gt;0, "SOBRANTE", "FALTANTE")))</f>
        <v>PENDIENTE</v>
      </c>
      <c r="R547" s="102" t="s">
        <v>5081</v>
      </c>
      <c r="S547" s="127" t="s">
        <v>5635</v>
      </c>
    </row>
    <row r="548" spans="1:19">
      <c r="A548" s="93" t="s">
        <v>5588</v>
      </c>
      <c r="B548" s="38" t="s">
        <v>3320</v>
      </c>
      <c r="C548" s="38">
        <v>8305322</v>
      </c>
      <c r="D548" s="74">
        <v>27750243077716</v>
      </c>
      <c r="E548" s="38" t="s">
        <v>494</v>
      </c>
      <c r="F548" s="38">
        <v>20</v>
      </c>
      <c r="G548" s="38" t="s">
        <v>9</v>
      </c>
      <c r="H548" s="39" t="str">
        <f>_xlfn.XLOOKUP(CRUCE[[#This Row],[Ubicacion]],Registros[Ubicacion],Registros[Codigo], "")</f>
        <v/>
      </c>
      <c r="I548" s="25" t="str">
        <f>_xlfn.XLOOKUP(CRUCE[[#This Row],[Ubicacion]],Registros[Ubicacion],Registros[Total], "")</f>
        <v/>
      </c>
      <c r="J548" s="25" t="str">
        <f>_xlfn.XLOOKUP(CRUCE[[#This Row],[Ubicacion]],Registros[Ubicacion],Registros[UMA], "")</f>
        <v/>
      </c>
      <c r="K548" s="25" t="str">
        <f>IF(CRUCE[[#This Row],[TOTAL]]="","",CRUCE[[#This Row],[TOTAL]]-CRUCE[[#This Row],[BULTOS]])</f>
        <v/>
      </c>
      <c r="L548" s="38" t="str">
        <f>IF(CRUCE[[#This Row],[TOTAL]]="", "PENDIENTE", IF(CRUCE[[#This Row],[Diferencia]]=0, "CUADRADO", IF(CRUCE[[#This Row],[Diferencia]]&gt;0, "SOBRANTE", "FALTANTE")))</f>
        <v>PENDIENTE</v>
      </c>
      <c r="M548" s="71" t="str">
        <f>IF(CRUCE[[#This Row],[Diferencia]]="","",IF(CRUCE[[#This Row],[Diferencia]]=0,"OK","RECONTEO"))</f>
        <v/>
      </c>
      <c r="N548" s="39" t="str">
        <f>_xlfn.XLOOKUP(CRUCE[[#This Row],[Ubicacion]],Registros[Ubicacion],Registros[Codigo], "")</f>
        <v/>
      </c>
      <c r="O548" s="25"/>
      <c r="P548" s="25"/>
      <c r="Q548" s="39" t="str">
        <f>IF(CRUCE[[#This Row],[TOTAL2]]="", "PENDIENTE", IF(CRUCE[[#This Row],[DIFERENCIA2]]=0, "CUADRADO", IF(CRUCE[[#This Row],[DIFERENCIA2]]&gt;0, "SOBRANTE", "FALTANTE")))</f>
        <v>PENDIENTE</v>
      </c>
      <c r="R548" s="103" t="s">
        <v>5081</v>
      </c>
      <c r="S548" s="127" t="s">
        <v>5636</v>
      </c>
    </row>
    <row r="549" spans="1:19">
      <c r="A549" s="92" t="s">
        <v>5588</v>
      </c>
      <c r="B549" s="39" t="s">
        <v>3332</v>
      </c>
      <c r="C549" s="39">
        <v>8305325</v>
      </c>
      <c r="D549" s="73">
        <v>27750243067922</v>
      </c>
      <c r="E549" s="39" t="s">
        <v>500</v>
      </c>
      <c r="F549" s="39">
        <v>17</v>
      </c>
      <c r="G549" s="39" t="s">
        <v>9</v>
      </c>
      <c r="H549" s="39" t="str">
        <f>_xlfn.XLOOKUP(CRUCE[[#This Row],[Ubicacion]],Registros[Ubicacion],Registros[Codigo], "")</f>
        <v/>
      </c>
      <c r="I549" s="26" t="str">
        <f>_xlfn.XLOOKUP(CRUCE[[#This Row],[Ubicacion]],Registros[Ubicacion],Registros[Total], "")</f>
        <v/>
      </c>
      <c r="J549" s="26" t="str">
        <f>_xlfn.XLOOKUP(CRUCE[[#This Row],[Ubicacion]],Registros[Ubicacion],Registros[UMA], "")</f>
        <v/>
      </c>
      <c r="K549" s="26" t="str">
        <f>IF(CRUCE[[#This Row],[TOTAL]]="","",CRUCE[[#This Row],[TOTAL]]-CRUCE[[#This Row],[BULTOS]])</f>
        <v/>
      </c>
      <c r="L549" s="39" t="str">
        <f>IF(CRUCE[[#This Row],[TOTAL]]="", "PENDIENTE", IF(CRUCE[[#This Row],[Diferencia]]=0, "CUADRADO", IF(CRUCE[[#This Row],[Diferencia]]&gt;0, "SOBRANTE", "FALTANTE")))</f>
        <v>PENDIENTE</v>
      </c>
      <c r="M549" s="72" t="str">
        <f>IF(CRUCE[[#This Row],[Diferencia]]="","",IF(CRUCE[[#This Row],[Diferencia]]=0,"OK","RECONTEO"))</f>
        <v/>
      </c>
      <c r="N549" s="39" t="str">
        <f>_xlfn.XLOOKUP(CRUCE[[#This Row],[Ubicacion]],Registros[Ubicacion],Registros[Codigo], "")</f>
        <v/>
      </c>
      <c r="O549" s="26"/>
      <c r="P549" s="26"/>
      <c r="Q549" s="39" t="str">
        <f>IF(CRUCE[[#This Row],[TOTAL2]]="", "PENDIENTE", IF(CRUCE[[#This Row],[DIFERENCIA2]]=0, "CUADRADO", IF(CRUCE[[#This Row],[DIFERENCIA2]]&gt;0, "SOBRANTE", "FALTANTE")))</f>
        <v>PENDIENTE</v>
      </c>
      <c r="R549" s="102" t="s">
        <v>5081</v>
      </c>
      <c r="S549" s="127" t="s">
        <v>5637</v>
      </c>
    </row>
    <row r="550" spans="1:19">
      <c r="A550" s="93" t="s">
        <v>5588</v>
      </c>
      <c r="B550" s="38" t="s">
        <v>3327</v>
      </c>
      <c r="C550" s="38">
        <v>8305324</v>
      </c>
      <c r="D550" s="74">
        <v>27750243067892</v>
      </c>
      <c r="E550" s="38" t="s">
        <v>498</v>
      </c>
      <c r="F550" s="38">
        <v>20</v>
      </c>
      <c r="G550" s="38" t="s">
        <v>9</v>
      </c>
      <c r="H550" s="39" t="str">
        <f>_xlfn.XLOOKUP(CRUCE[[#This Row],[Ubicacion]],Registros[Ubicacion],Registros[Codigo], "")</f>
        <v/>
      </c>
      <c r="I550" s="25" t="str">
        <f>_xlfn.XLOOKUP(CRUCE[[#This Row],[Ubicacion]],Registros[Ubicacion],Registros[Total], "")</f>
        <v/>
      </c>
      <c r="J550" s="25" t="str">
        <f>_xlfn.XLOOKUP(CRUCE[[#This Row],[Ubicacion]],Registros[Ubicacion],Registros[UMA], "")</f>
        <v/>
      </c>
      <c r="K550" s="25" t="str">
        <f>IF(CRUCE[[#This Row],[TOTAL]]="","",CRUCE[[#This Row],[TOTAL]]-CRUCE[[#This Row],[BULTOS]])</f>
        <v/>
      </c>
      <c r="L550" s="38" t="str">
        <f>IF(CRUCE[[#This Row],[TOTAL]]="", "PENDIENTE", IF(CRUCE[[#This Row],[Diferencia]]=0, "CUADRADO", IF(CRUCE[[#This Row],[Diferencia]]&gt;0, "SOBRANTE", "FALTANTE")))</f>
        <v>PENDIENTE</v>
      </c>
      <c r="M550" s="71" t="str">
        <f>IF(CRUCE[[#This Row],[Diferencia]]="","",IF(CRUCE[[#This Row],[Diferencia]]=0,"OK","RECONTEO"))</f>
        <v/>
      </c>
      <c r="N550" s="39" t="str">
        <f>_xlfn.XLOOKUP(CRUCE[[#This Row],[Ubicacion]],Registros[Ubicacion],Registros[Codigo], "")</f>
        <v/>
      </c>
      <c r="O550" s="25"/>
      <c r="P550" s="25"/>
      <c r="Q550" s="39" t="str">
        <f>IF(CRUCE[[#This Row],[TOTAL2]]="", "PENDIENTE", IF(CRUCE[[#This Row],[DIFERENCIA2]]=0, "CUADRADO", IF(CRUCE[[#This Row],[DIFERENCIA2]]&gt;0, "SOBRANTE", "FALTANTE")))</f>
        <v>PENDIENTE</v>
      </c>
      <c r="R550" s="103" t="s">
        <v>5081</v>
      </c>
      <c r="S550" s="127" t="s">
        <v>5638</v>
      </c>
    </row>
    <row r="551" spans="1:19">
      <c r="A551" s="92" t="s">
        <v>5588</v>
      </c>
      <c r="B551" s="39" t="s">
        <v>3330</v>
      </c>
      <c r="C551" s="39">
        <v>8305324</v>
      </c>
      <c r="D551" s="73">
        <v>27750243067892</v>
      </c>
      <c r="E551" s="39" t="s">
        <v>498</v>
      </c>
      <c r="F551" s="39">
        <v>20</v>
      </c>
      <c r="G551" s="39" t="s">
        <v>9</v>
      </c>
      <c r="H551" s="39" t="str">
        <f>_xlfn.XLOOKUP(CRUCE[[#This Row],[Ubicacion]],Registros[Ubicacion],Registros[Codigo], "")</f>
        <v/>
      </c>
      <c r="I551" s="26" t="str">
        <f>_xlfn.XLOOKUP(CRUCE[[#This Row],[Ubicacion]],Registros[Ubicacion],Registros[Total], "")</f>
        <v/>
      </c>
      <c r="J551" s="26" t="str">
        <f>_xlfn.XLOOKUP(CRUCE[[#This Row],[Ubicacion]],Registros[Ubicacion],Registros[UMA], "")</f>
        <v/>
      </c>
      <c r="K551" s="26" t="str">
        <f>IF(CRUCE[[#This Row],[TOTAL]]="","",CRUCE[[#This Row],[TOTAL]]-CRUCE[[#This Row],[BULTOS]])</f>
        <v/>
      </c>
      <c r="L551" s="39" t="str">
        <f>IF(CRUCE[[#This Row],[TOTAL]]="", "PENDIENTE", IF(CRUCE[[#This Row],[Diferencia]]=0, "CUADRADO", IF(CRUCE[[#This Row],[Diferencia]]&gt;0, "SOBRANTE", "FALTANTE")))</f>
        <v>PENDIENTE</v>
      </c>
      <c r="M551" s="72" t="str">
        <f>IF(CRUCE[[#This Row],[Diferencia]]="","",IF(CRUCE[[#This Row],[Diferencia]]=0,"OK","RECONTEO"))</f>
        <v/>
      </c>
      <c r="N551" s="39" t="str">
        <f>_xlfn.XLOOKUP(CRUCE[[#This Row],[Ubicacion]],Registros[Ubicacion],Registros[Codigo], "")</f>
        <v/>
      </c>
      <c r="O551" s="26"/>
      <c r="P551" s="26"/>
      <c r="Q551" s="39" t="str">
        <f>IF(CRUCE[[#This Row],[TOTAL2]]="", "PENDIENTE", IF(CRUCE[[#This Row],[DIFERENCIA2]]=0, "CUADRADO", IF(CRUCE[[#This Row],[DIFERENCIA2]]&gt;0, "SOBRANTE", "FALTANTE")))</f>
        <v>PENDIENTE</v>
      </c>
      <c r="R551" s="102" t="s">
        <v>5081</v>
      </c>
      <c r="S551" s="127" t="s">
        <v>5639</v>
      </c>
    </row>
    <row r="552" spans="1:19">
      <c r="A552" s="93" t="s">
        <v>5640</v>
      </c>
      <c r="B552" s="38" t="s">
        <v>3526</v>
      </c>
      <c r="C552" s="38">
        <v>8315027</v>
      </c>
      <c r="D552" s="74">
        <v>27751851066161</v>
      </c>
      <c r="E552" s="38" t="s">
        <v>809</v>
      </c>
      <c r="F552" s="38">
        <v>270</v>
      </c>
      <c r="G552" s="38" t="s">
        <v>9</v>
      </c>
      <c r="H552" s="39" t="str">
        <f>_xlfn.XLOOKUP(CRUCE[[#This Row],[Ubicacion]],Registros[Ubicacion],Registros[Codigo], "")</f>
        <v/>
      </c>
      <c r="I552" s="25" t="str">
        <f>_xlfn.XLOOKUP(CRUCE[[#This Row],[Ubicacion]],Registros[Ubicacion],Registros[Total], "")</f>
        <v/>
      </c>
      <c r="J552" s="25" t="str">
        <f>_xlfn.XLOOKUP(CRUCE[[#This Row],[Ubicacion]],Registros[Ubicacion],Registros[UMA], "")</f>
        <v/>
      </c>
      <c r="K552" s="25" t="str">
        <f>IF(CRUCE[[#This Row],[TOTAL]]="","",CRUCE[[#This Row],[TOTAL]]-CRUCE[[#This Row],[BULTOS]])</f>
        <v/>
      </c>
      <c r="L552" s="38" t="str">
        <f>IF(CRUCE[[#This Row],[TOTAL]]="", "PENDIENTE", IF(CRUCE[[#This Row],[Diferencia]]=0, "CUADRADO", IF(CRUCE[[#This Row],[Diferencia]]&gt;0, "SOBRANTE", "FALTANTE")))</f>
        <v>PENDIENTE</v>
      </c>
      <c r="M552" s="71" t="str">
        <f>IF(CRUCE[[#This Row],[Diferencia]]="","",IF(CRUCE[[#This Row],[Diferencia]]=0,"OK","RECONTEO"))</f>
        <v/>
      </c>
      <c r="N552" s="39" t="str">
        <f>_xlfn.XLOOKUP(CRUCE[[#This Row],[Ubicacion]],Registros[Ubicacion],Registros[Codigo], "")</f>
        <v/>
      </c>
      <c r="O552" s="25"/>
      <c r="P552" s="25"/>
      <c r="Q552" s="39" t="str">
        <f>IF(CRUCE[[#This Row],[TOTAL2]]="", "PENDIENTE", IF(CRUCE[[#This Row],[DIFERENCIA2]]=0, "CUADRADO", IF(CRUCE[[#This Row],[DIFERENCIA2]]&gt;0, "SOBRANTE", "FALTANTE")))</f>
        <v>PENDIENTE</v>
      </c>
      <c r="R552" s="103" t="s">
        <v>5081</v>
      </c>
      <c r="S552" s="127" t="s">
        <v>5641</v>
      </c>
    </row>
    <row r="553" spans="1:19">
      <c r="A553" s="92" t="s">
        <v>5640</v>
      </c>
      <c r="B553" s="39" t="s">
        <v>4914</v>
      </c>
      <c r="C553" s="26"/>
      <c r="D553" s="35"/>
      <c r="E553" s="26"/>
      <c r="F553" s="26"/>
      <c r="G553" s="26"/>
      <c r="H553" s="39" t="str">
        <f>_xlfn.XLOOKUP(CRUCE[[#This Row],[Ubicacion]],Registros[Ubicacion],Registros[Codigo], "")</f>
        <v/>
      </c>
      <c r="I553" s="26" t="str">
        <f>_xlfn.XLOOKUP(CRUCE[[#This Row],[Ubicacion]],Registros[Ubicacion],Registros[Total], "")</f>
        <v/>
      </c>
      <c r="J553" s="26" t="str">
        <f>_xlfn.XLOOKUP(CRUCE[[#This Row],[Ubicacion]],Registros[Ubicacion],Registros[UMA], "")</f>
        <v/>
      </c>
      <c r="K553" s="26" t="str">
        <f>IF(CRUCE[[#This Row],[TOTAL]]="","",CRUCE[[#This Row],[TOTAL]]-CRUCE[[#This Row],[BULTOS]])</f>
        <v/>
      </c>
      <c r="L553" s="39" t="str">
        <f>IF(CRUCE[[#This Row],[TOTAL]]="", "PENDIENTE", IF(CRUCE[[#This Row],[Diferencia]]=0, "CUADRADO", IF(CRUCE[[#This Row],[Diferencia]]&gt;0, "SOBRANTE", "FALTANTE")))</f>
        <v>PENDIENTE</v>
      </c>
      <c r="M553" s="72" t="str">
        <f>IF(CRUCE[[#This Row],[Diferencia]]="","",IF(CRUCE[[#This Row],[Diferencia]]=0,"OK","RECONTEO"))</f>
        <v/>
      </c>
      <c r="N553" s="39" t="str">
        <f>_xlfn.XLOOKUP(CRUCE[[#This Row],[Ubicacion]],Registros[Ubicacion],Registros[Codigo], "")</f>
        <v/>
      </c>
      <c r="O553" s="26"/>
      <c r="P553" s="26"/>
      <c r="Q553" s="39" t="str">
        <f>IF(CRUCE[[#This Row],[TOTAL2]]="", "PENDIENTE", IF(CRUCE[[#This Row],[DIFERENCIA2]]=0, "CUADRADO", IF(CRUCE[[#This Row],[DIFERENCIA2]]&gt;0, "SOBRANTE", "FALTANTE")))</f>
        <v>PENDIENTE</v>
      </c>
      <c r="R553" s="102" t="s">
        <v>5081</v>
      </c>
      <c r="S553" s="127" t="s">
        <v>5642</v>
      </c>
    </row>
    <row r="554" spans="1:19">
      <c r="A554" s="93" t="s">
        <v>5640</v>
      </c>
      <c r="B554" s="38" t="s">
        <v>4916</v>
      </c>
      <c r="C554" s="25"/>
      <c r="D554" s="34"/>
      <c r="E554" s="25"/>
      <c r="F554" s="25"/>
      <c r="G554" s="25"/>
      <c r="H554" s="39" t="str">
        <f>_xlfn.XLOOKUP(CRUCE[[#This Row],[Ubicacion]],Registros[Ubicacion],Registros[Codigo], "")</f>
        <v/>
      </c>
      <c r="I554" s="25" t="str">
        <f>_xlfn.XLOOKUP(CRUCE[[#This Row],[Ubicacion]],Registros[Ubicacion],Registros[Total], "")</f>
        <v/>
      </c>
      <c r="J554" s="25" t="str">
        <f>_xlfn.XLOOKUP(CRUCE[[#This Row],[Ubicacion]],Registros[Ubicacion],Registros[UMA], "")</f>
        <v/>
      </c>
      <c r="K554" s="25" t="str">
        <f>IF(CRUCE[[#This Row],[TOTAL]]="","",CRUCE[[#This Row],[TOTAL]]-CRUCE[[#This Row],[BULTOS]])</f>
        <v/>
      </c>
      <c r="L554" s="38" t="str">
        <f>IF(CRUCE[[#This Row],[TOTAL]]="", "PENDIENTE", IF(CRUCE[[#This Row],[Diferencia]]=0, "CUADRADO", IF(CRUCE[[#This Row],[Diferencia]]&gt;0, "SOBRANTE", "FALTANTE")))</f>
        <v>PENDIENTE</v>
      </c>
      <c r="M554" s="71" t="str">
        <f>IF(CRUCE[[#This Row],[Diferencia]]="","",IF(CRUCE[[#This Row],[Diferencia]]=0,"OK","RECONTEO"))</f>
        <v/>
      </c>
      <c r="N554" s="39" t="str">
        <f>_xlfn.XLOOKUP(CRUCE[[#This Row],[Ubicacion]],Registros[Ubicacion],Registros[Codigo], "")</f>
        <v/>
      </c>
      <c r="O554" s="25"/>
      <c r="P554" s="25"/>
      <c r="Q554" s="39" t="str">
        <f>IF(CRUCE[[#This Row],[TOTAL2]]="", "PENDIENTE", IF(CRUCE[[#This Row],[DIFERENCIA2]]=0, "CUADRADO", IF(CRUCE[[#This Row],[DIFERENCIA2]]&gt;0, "SOBRANTE", "FALTANTE")))</f>
        <v>PENDIENTE</v>
      </c>
      <c r="R554" s="103" t="s">
        <v>5081</v>
      </c>
      <c r="S554" s="127" t="s">
        <v>5643</v>
      </c>
    </row>
    <row r="555" spans="1:19">
      <c r="A555" s="92" t="s">
        <v>5640</v>
      </c>
      <c r="B555" s="39" t="s">
        <v>4918</v>
      </c>
      <c r="C555" s="26"/>
      <c r="D555" s="35"/>
      <c r="E555" s="26"/>
      <c r="F555" s="26"/>
      <c r="G555" s="26"/>
      <c r="H555" s="39" t="str">
        <f>_xlfn.XLOOKUP(CRUCE[[#This Row],[Ubicacion]],Registros[Ubicacion],Registros[Codigo], "")</f>
        <v/>
      </c>
      <c r="I555" s="26" t="str">
        <f>_xlfn.XLOOKUP(CRUCE[[#This Row],[Ubicacion]],Registros[Ubicacion],Registros[Total], "")</f>
        <v/>
      </c>
      <c r="J555" s="26" t="str">
        <f>_xlfn.XLOOKUP(CRUCE[[#This Row],[Ubicacion]],Registros[Ubicacion],Registros[UMA], "")</f>
        <v/>
      </c>
      <c r="K555" s="26" t="str">
        <f>IF(CRUCE[[#This Row],[TOTAL]]="","",CRUCE[[#This Row],[TOTAL]]-CRUCE[[#This Row],[BULTOS]])</f>
        <v/>
      </c>
      <c r="L555" s="39" t="str">
        <f>IF(CRUCE[[#This Row],[TOTAL]]="", "PENDIENTE", IF(CRUCE[[#This Row],[Diferencia]]=0, "CUADRADO", IF(CRUCE[[#This Row],[Diferencia]]&gt;0, "SOBRANTE", "FALTANTE")))</f>
        <v>PENDIENTE</v>
      </c>
      <c r="M555" s="72" t="str">
        <f>IF(CRUCE[[#This Row],[Diferencia]]="","",IF(CRUCE[[#This Row],[Diferencia]]=0,"OK","RECONTEO"))</f>
        <v/>
      </c>
      <c r="N555" s="39" t="str">
        <f>_xlfn.XLOOKUP(CRUCE[[#This Row],[Ubicacion]],Registros[Ubicacion],Registros[Codigo], "")</f>
        <v/>
      </c>
      <c r="O555" s="26"/>
      <c r="P555" s="26"/>
      <c r="Q555" s="39" t="str">
        <f>IF(CRUCE[[#This Row],[TOTAL2]]="", "PENDIENTE", IF(CRUCE[[#This Row],[DIFERENCIA2]]=0, "CUADRADO", IF(CRUCE[[#This Row],[DIFERENCIA2]]&gt;0, "SOBRANTE", "FALTANTE")))</f>
        <v>PENDIENTE</v>
      </c>
      <c r="R555" s="102" t="s">
        <v>5081</v>
      </c>
      <c r="S555" s="127" t="s">
        <v>5644</v>
      </c>
    </row>
    <row r="556" spans="1:19">
      <c r="A556" s="93" t="s">
        <v>5640</v>
      </c>
      <c r="B556" s="38" t="s">
        <v>3744</v>
      </c>
      <c r="C556" s="38">
        <v>8325106</v>
      </c>
      <c r="D556" s="74">
        <v>37751851006355</v>
      </c>
      <c r="E556" s="38" t="s">
        <v>1632</v>
      </c>
      <c r="F556" s="38">
        <v>194</v>
      </c>
      <c r="G556" s="38" t="s">
        <v>288</v>
      </c>
      <c r="H556" s="39" t="str">
        <f>_xlfn.XLOOKUP(CRUCE[[#This Row],[Ubicacion]],Registros[Ubicacion],Registros[Codigo], "")</f>
        <v/>
      </c>
      <c r="I556" s="25" t="str">
        <f>_xlfn.XLOOKUP(CRUCE[[#This Row],[Ubicacion]],Registros[Ubicacion],Registros[Total], "")</f>
        <v/>
      </c>
      <c r="J556" s="25" t="str">
        <f>_xlfn.XLOOKUP(CRUCE[[#This Row],[Ubicacion]],Registros[Ubicacion],Registros[UMA], "")</f>
        <v/>
      </c>
      <c r="K556" s="25" t="str">
        <f>IF(CRUCE[[#This Row],[TOTAL]]="","",CRUCE[[#This Row],[TOTAL]]-CRUCE[[#This Row],[BULTOS]])</f>
        <v/>
      </c>
      <c r="L556" s="38" t="str">
        <f>IF(CRUCE[[#This Row],[TOTAL]]="", "PENDIENTE", IF(CRUCE[[#This Row],[Diferencia]]=0, "CUADRADO", IF(CRUCE[[#This Row],[Diferencia]]&gt;0, "SOBRANTE", "FALTANTE")))</f>
        <v>PENDIENTE</v>
      </c>
      <c r="M556" s="71" t="str">
        <f>IF(CRUCE[[#This Row],[Diferencia]]="","",IF(CRUCE[[#This Row],[Diferencia]]=0,"OK","RECONTEO"))</f>
        <v/>
      </c>
      <c r="N556" s="39" t="str">
        <f>_xlfn.XLOOKUP(CRUCE[[#This Row],[Ubicacion]],Registros[Ubicacion],Registros[Codigo], "")</f>
        <v/>
      </c>
      <c r="O556" s="25"/>
      <c r="P556" s="25"/>
      <c r="Q556" s="39" t="str">
        <f>IF(CRUCE[[#This Row],[TOTAL2]]="", "PENDIENTE", IF(CRUCE[[#This Row],[DIFERENCIA2]]=0, "CUADRADO", IF(CRUCE[[#This Row],[DIFERENCIA2]]&gt;0, "SOBRANTE", "FALTANTE")))</f>
        <v>PENDIENTE</v>
      </c>
      <c r="R556" s="103" t="s">
        <v>5081</v>
      </c>
      <c r="S556" s="127" t="s">
        <v>5645</v>
      </c>
    </row>
    <row r="557" spans="1:19">
      <c r="A557" s="92" t="s">
        <v>5640</v>
      </c>
      <c r="B557" s="39" t="s">
        <v>4921</v>
      </c>
      <c r="C557" s="26"/>
      <c r="D557" s="35"/>
      <c r="E557" s="26"/>
      <c r="F557" s="26"/>
      <c r="G557" s="26"/>
      <c r="H557" s="39" t="str">
        <f>_xlfn.XLOOKUP(CRUCE[[#This Row],[Ubicacion]],Registros[Ubicacion],Registros[Codigo], "")</f>
        <v/>
      </c>
      <c r="I557" s="26" t="str">
        <f>_xlfn.XLOOKUP(CRUCE[[#This Row],[Ubicacion]],Registros[Ubicacion],Registros[Total], "")</f>
        <v/>
      </c>
      <c r="J557" s="26" t="str">
        <f>_xlfn.XLOOKUP(CRUCE[[#This Row],[Ubicacion]],Registros[Ubicacion],Registros[UMA], "")</f>
        <v/>
      </c>
      <c r="K557" s="26" t="str">
        <f>IF(CRUCE[[#This Row],[TOTAL]]="","",CRUCE[[#This Row],[TOTAL]]-CRUCE[[#This Row],[BULTOS]])</f>
        <v/>
      </c>
      <c r="L557" s="39" t="str">
        <f>IF(CRUCE[[#This Row],[TOTAL]]="", "PENDIENTE", IF(CRUCE[[#This Row],[Diferencia]]=0, "CUADRADO", IF(CRUCE[[#This Row],[Diferencia]]&gt;0, "SOBRANTE", "FALTANTE")))</f>
        <v>PENDIENTE</v>
      </c>
      <c r="M557" s="72" t="str">
        <f>IF(CRUCE[[#This Row],[Diferencia]]="","",IF(CRUCE[[#This Row],[Diferencia]]=0,"OK","RECONTEO"))</f>
        <v/>
      </c>
      <c r="N557" s="39" t="str">
        <f>_xlfn.XLOOKUP(CRUCE[[#This Row],[Ubicacion]],Registros[Ubicacion],Registros[Codigo], "")</f>
        <v/>
      </c>
      <c r="O557" s="26"/>
      <c r="P557" s="26"/>
      <c r="Q557" s="39" t="str">
        <f>IF(CRUCE[[#This Row],[TOTAL2]]="", "PENDIENTE", IF(CRUCE[[#This Row],[DIFERENCIA2]]=0, "CUADRADO", IF(CRUCE[[#This Row],[DIFERENCIA2]]&gt;0, "SOBRANTE", "FALTANTE")))</f>
        <v>PENDIENTE</v>
      </c>
      <c r="R557" s="102" t="s">
        <v>5081</v>
      </c>
      <c r="S557" s="127" t="s">
        <v>5646</v>
      </c>
    </row>
    <row r="558" spans="1:19">
      <c r="A558" s="93" t="s">
        <v>5640</v>
      </c>
      <c r="B558" s="38" t="s">
        <v>3741</v>
      </c>
      <c r="C558" s="38">
        <v>8325104</v>
      </c>
      <c r="D558" s="74">
        <v>37751851018594</v>
      </c>
      <c r="E558" s="38" t="s">
        <v>1628</v>
      </c>
      <c r="F558" s="38">
        <v>41</v>
      </c>
      <c r="G558" s="38" t="s">
        <v>288</v>
      </c>
      <c r="H558" s="39" t="str">
        <f>_xlfn.XLOOKUP(CRUCE[[#This Row],[Ubicacion]],Registros[Ubicacion],Registros[Codigo], "")</f>
        <v/>
      </c>
      <c r="I558" s="25" t="str">
        <f>_xlfn.XLOOKUP(CRUCE[[#This Row],[Ubicacion]],Registros[Ubicacion],Registros[Total], "")</f>
        <v/>
      </c>
      <c r="J558" s="25" t="str">
        <f>_xlfn.XLOOKUP(CRUCE[[#This Row],[Ubicacion]],Registros[Ubicacion],Registros[UMA], "")</f>
        <v/>
      </c>
      <c r="K558" s="25" t="str">
        <f>IF(CRUCE[[#This Row],[TOTAL]]="","",CRUCE[[#This Row],[TOTAL]]-CRUCE[[#This Row],[BULTOS]])</f>
        <v/>
      </c>
      <c r="L558" s="38" t="str">
        <f>IF(CRUCE[[#This Row],[TOTAL]]="", "PENDIENTE", IF(CRUCE[[#This Row],[Diferencia]]=0, "CUADRADO", IF(CRUCE[[#This Row],[Diferencia]]&gt;0, "SOBRANTE", "FALTANTE")))</f>
        <v>PENDIENTE</v>
      </c>
      <c r="M558" s="71" t="str">
        <f>IF(CRUCE[[#This Row],[Diferencia]]="","",IF(CRUCE[[#This Row],[Diferencia]]=0,"OK","RECONTEO"))</f>
        <v/>
      </c>
      <c r="N558" s="39" t="str">
        <f>_xlfn.XLOOKUP(CRUCE[[#This Row],[Ubicacion]],Registros[Ubicacion],Registros[Codigo], "")</f>
        <v/>
      </c>
      <c r="O558" s="25"/>
      <c r="P558" s="25"/>
      <c r="Q558" s="39" t="str">
        <f>IF(CRUCE[[#This Row],[TOTAL2]]="", "PENDIENTE", IF(CRUCE[[#This Row],[DIFERENCIA2]]=0, "CUADRADO", IF(CRUCE[[#This Row],[DIFERENCIA2]]&gt;0, "SOBRANTE", "FALTANTE")))</f>
        <v>PENDIENTE</v>
      </c>
      <c r="R558" s="103" t="s">
        <v>5081</v>
      </c>
      <c r="S558" s="127" t="s">
        <v>5647</v>
      </c>
    </row>
    <row r="559" spans="1:19">
      <c r="A559" s="92" t="s">
        <v>5640</v>
      </c>
      <c r="B559" s="39" t="s">
        <v>4924</v>
      </c>
      <c r="C559" s="26"/>
      <c r="D559" s="35"/>
      <c r="E559" s="26"/>
      <c r="F559" s="26"/>
      <c r="G559" s="26"/>
      <c r="H559" s="39" t="str">
        <f>_xlfn.XLOOKUP(CRUCE[[#This Row],[Ubicacion]],Registros[Ubicacion],Registros[Codigo], "")</f>
        <v/>
      </c>
      <c r="I559" s="26" t="str">
        <f>_xlfn.XLOOKUP(CRUCE[[#This Row],[Ubicacion]],Registros[Ubicacion],Registros[Total], "")</f>
        <v/>
      </c>
      <c r="J559" s="26" t="str">
        <f>_xlfn.XLOOKUP(CRUCE[[#This Row],[Ubicacion]],Registros[Ubicacion],Registros[UMA], "")</f>
        <v/>
      </c>
      <c r="K559" s="26" t="str">
        <f>IF(CRUCE[[#This Row],[TOTAL]]="","",CRUCE[[#This Row],[TOTAL]]-CRUCE[[#This Row],[BULTOS]])</f>
        <v/>
      </c>
      <c r="L559" s="39" t="str">
        <f>IF(CRUCE[[#This Row],[TOTAL]]="", "PENDIENTE", IF(CRUCE[[#This Row],[Diferencia]]=0, "CUADRADO", IF(CRUCE[[#This Row],[Diferencia]]&gt;0, "SOBRANTE", "FALTANTE")))</f>
        <v>PENDIENTE</v>
      </c>
      <c r="M559" s="72" t="str">
        <f>IF(CRUCE[[#This Row],[Diferencia]]="","",IF(CRUCE[[#This Row],[Diferencia]]=0,"OK","RECONTEO"))</f>
        <v/>
      </c>
      <c r="N559" s="39" t="str">
        <f>_xlfn.XLOOKUP(CRUCE[[#This Row],[Ubicacion]],Registros[Ubicacion],Registros[Codigo], "")</f>
        <v/>
      </c>
      <c r="O559" s="26"/>
      <c r="P559" s="26"/>
      <c r="Q559" s="39" t="str">
        <f>IF(CRUCE[[#This Row],[TOTAL2]]="", "PENDIENTE", IF(CRUCE[[#This Row],[DIFERENCIA2]]=0, "CUADRADO", IF(CRUCE[[#This Row],[DIFERENCIA2]]&gt;0, "SOBRANTE", "FALTANTE")))</f>
        <v>PENDIENTE</v>
      </c>
      <c r="R559" s="102" t="s">
        <v>5081</v>
      </c>
      <c r="S559" s="127" t="s">
        <v>5648</v>
      </c>
    </row>
    <row r="560" spans="1:19">
      <c r="A560" s="93" t="s">
        <v>5640</v>
      </c>
      <c r="B560" s="38" t="s">
        <v>4926</v>
      </c>
      <c r="C560" s="25"/>
      <c r="D560" s="34"/>
      <c r="E560" s="25"/>
      <c r="F560" s="25"/>
      <c r="G560" s="25"/>
      <c r="H560" s="39" t="str">
        <f>_xlfn.XLOOKUP(CRUCE[[#This Row],[Ubicacion]],Registros[Ubicacion],Registros[Codigo], "")</f>
        <v/>
      </c>
      <c r="I560" s="25" t="str">
        <f>_xlfn.XLOOKUP(CRUCE[[#This Row],[Ubicacion]],Registros[Ubicacion],Registros[Total], "")</f>
        <v/>
      </c>
      <c r="J560" s="25" t="str">
        <f>_xlfn.XLOOKUP(CRUCE[[#This Row],[Ubicacion]],Registros[Ubicacion],Registros[UMA], "")</f>
        <v/>
      </c>
      <c r="K560" s="25" t="str">
        <f>IF(CRUCE[[#This Row],[TOTAL]]="","",CRUCE[[#This Row],[TOTAL]]-CRUCE[[#This Row],[BULTOS]])</f>
        <v/>
      </c>
      <c r="L560" s="38" t="str">
        <f>IF(CRUCE[[#This Row],[TOTAL]]="", "PENDIENTE", IF(CRUCE[[#This Row],[Diferencia]]=0, "CUADRADO", IF(CRUCE[[#This Row],[Diferencia]]&gt;0, "SOBRANTE", "FALTANTE")))</f>
        <v>PENDIENTE</v>
      </c>
      <c r="M560" s="71" t="str">
        <f>IF(CRUCE[[#This Row],[Diferencia]]="","",IF(CRUCE[[#This Row],[Diferencia]]=0,"OK","RECONTEO"))</f>
        <v/>
      </c>
      <c r="N560" s="39" t="str">
        <f>_xlfn.XLOOKUP(CRUCE[[#This Row],[Ubicacion]],Registros[Ubicacion],Registros[Codigo], "")</f>
        <v/>
      </c>
      <c r="O560" s="25"/>
      <c r="P560" s="25"/>
      <c r="Q560" s="39" t="str">
        <f>IF(CRUCE[[#This Row],[TOTAL2]]="", "PENDIENTE", IF(CRUCE[[#This Row],[DIFERENCIA2]]=0, "CUADRADO", IF(CRUCE[[#This Row],[DIFERENCIA2]]&gt;0, "SOBRANTE", "FALTANTE")))</f>
        <v>PENDIENTE</v>
      </c>
      <c r="R560" s="103" t="s">
        <v>5081</v>
      </c>
      <c r="S560" s="127" t="s">
        <v>5649</v>
      </c>
    </row>
    <row r="561" spans="1:19">
      <c r="A561" s="92" t="s">
        <v>5640</v>
      </c>
      <c r="B561" s="39" t="s">
        <v>4928</v>
      </c>
      <c r="C561" s="26"/>
      <c r="D561" s="35"/>
      <c r="E561" s="26"/>
      <c r="F561" s="26"/>
      <c r="G561" s="26"/>
      <c r="H561" s="39" t="str">
        <f>_xlfn.XLOOKUP(CRUCE[[#This Row],[Ubicacion]],Registros[Ubicacion],Registros[Codigo], "")</f>
        <v/>
      </c>
      <c r="I561" s="26" t="str">
        <f>_xlfn.XLOOKUP(CRUCE[[#This Row],[Ubicacion]],Registros[Ubicacion],Registros[Total], "")</f>
        <v/>
      </c>
      <c r="J561" s="26" t="str">
        <f>_xlfn.XLOOKUP(CRUCE[[#This Row],[Ubicacion]],Registros[Ubicacion],Registros[UMA], "")</f>
        <v/>
      </c>
      <c r="K561" s="26" t="str">
        <f>IF(CRUCE[[#This Row],[TOTAL]]="","",CRUCE[[#This Row],[TOTAL]]-CRUCE[[#This Row],[BULTOS]])</f>
        <v/>
      </c>
      <c r="L561" s="39" t="str">
        <f>IF(CRUCE[[#This Row],[TOTAL]]="", "PENDIENTE", IF(CRUCE[[#This Row],[Diferencia]]=0, "CUADRADO", IF(CRUCE[[#This Row],[Diferencia]]&gt;0, "SOBRANTE", "FALTANTE")))</f>
        <v>PENDIENTE</v>
      </c>
      <c r="M561" s="72" t="str">
        <f>IF(CRUCE[[#This Row],[Diferencia]]="","",IF(CRUCE[[#This Row],[Diferencia]]=0,"OK","RECONTEO"))</f>
        <v/>
      </c>
      <c r="N561" s="39" t="str">
        <f>_xlfn.XLOOKUP(CRUCE[[#This Row],[Ubicacion]],Registros[Ubicacion],Registros[Codigo], "")</f>
        <v/>
      </c>
      <c r="O561" s="26"/>
      <c r="P561" s="26"/>
      <c r="Q561" s="39" t="str">
        <f>IF(CRUCE[[#This Row],[TOTAL2]]="", "PENDIENTE", IF(CRUCE[[#This Row],[DIFERENCIA2]]=0, "CUADRADO", IF(CRUCE[[#This Row],[DIFERENCIA2]]&gt;0, "SOBRANTE", "FALTANTE")))</f>
        <v>PENDIENTE</v>
      </c>
      <c r="R561" s="102" t="s">
        <v>5081</v>
      </c>
      <c r="S561" s="127" t="s">
        <v>5650</v>
      </c>
    </row>
    <row r="562" spans="1:19">
      <c r="A562" s="93" t="s">
        <v>5640</v>
      </c>
      <c r="B562" s="38" t="s">
        <v>3739</v>
      </c>
      <c r="C562" s="38">
        <v>8325103</v>
      </c>
      <c r="D562" s="74">
        <v>37751851006348</v>
      </c>
      <c r="E562" s="38" t="s">
        <v>1626</v>
      </c>
      <c r="F562" s="38">
        <v>84</v>
      </c>
      <c r="G562" s="38" t="s">
        <v>288</v>
      </c>
      <c r="H562" s="39" t="str">
        <f>_xlfn.XLOOKUP(CRUCE[[#This Row],[Ubicacion]],Registros[Ubicacion],Registros[Codigo], "")</f>
        <v/>
      </c>
      <c r="I562" s="25" t="str">
        <f>_xlfn.XLOOKUP(CRUCE[[#This Row],[Ubicacion]],Registros[Ubicacion],Registros[Total], "")</f>
        <v/>
      </c>
      <c r="J562" s="25" t="str">
        <f>_xlfn.XLOOKUP(CRUCE[[#This Row],[Ubicacion]],Registros[Ubicacion],Registros[UMA], "")</f>
        <v/>
      </c>
      <c r="K562" s="25" t="str">
        <f>IF(CRUCE[[#This Row],[TOTAL]]="","",CRUCE[[#This Row],[TOTAL]]-CRUCE[[#This Row],[BULTOS]])</f>
        <v/>
      </c>
      <c r="L562" s="38" t="str">
        <f>IF(CRUCE[[#This Row],[TOTAL]]="", "PENDIENTE", IF(CRUCE[[#This Row],[Diferencia]]=0, "CUADRADO", IF(CRUCE[[#This Row],[Diferencia]]&gt;0, "SOBRANTE", "FALTANTE")))</f>
        <v>PENDIENTE</v>
      </c>
      <c r="M562" s="71" t="str">
        <f>IF(CRUCE[[#This Row],[Diferencia]]="","",IF(CRUCE[[#This Row],[Diferencia]]=0,"OK","RECONTEO"))</f>
        <v/>
      </c>
      <c r="N562" s="39" t="str">
        <f>_xlfn.XLOOKUP(CRUCE[[#This Row],[Ubicacion]],Registros[Ubicacion],Registros[Codigo], "")</f>
        <v/>
      </c>
      <c r="O562" s="25"/>
      <c r="P562" s="25"/>
      <c r="Q562" s="39" t="str">
        <f>IF(CRUCE[[#This Row],[TOTAL2]]="", "PENDIENTE", IF(CRUCE[[#This Row],[DIFERENCIA2]]=0, "CUADRADO", IF(CRUCE[[#This Row],[DIFERENCIA2]]&gt;0, "SOBRANTE", "FALTANTE")))</f>
        <v>PENDIENTE</v>
      </c>
      <c r="R562" s="103" t="s">
        <v>5081</v>
      </c>
      <c r="S562" s="127" t="s">
        <v>5651</v>
      </c>
    </row>
    <row r="563" spans="1:19">
      <c r="A563" s="92" t="s">
        <v>5640</v>
      </c>
      <c r="B563" s="39" t="s">
        <v>4931</v>
      </c>
      <c r="C563" s="26"/>
      <c r="D563" s="35"/>
      <c r="E563" s="26"/>
      <c r="F563" s="26"/>
      <c r="G563" s="26"/>
      <c r="H563" s="39" t="str">
        <f>_xlfn.XLOOKUP(CRUCE[[#This Row],[Ubicacion]],Registros[Ubicacion],Registros[Codigo], "")</f>
        <v/>
      </c>
      <c r="I563" s="26" t="str">
        <f>_xlfn.XLOOKUP(CRUCE[[#This Row],[Ubicacion]],Registros[Ubicacion],Registros[Total], "")</f>
        <v/>
      </c>
      <c r="J563" s="26" t="str">
        <f>_xlfn.XLOOKUP(CRUCE[[#This Row],[Ubicacion]],Registros[Ubicacion],Registros[UMA], "")</f>
        <v/>
      </c>
      <c r="K563" s="26" t="str">
        <f>IF(CRUCE[[#This Row],[TOTAL]]="","",CRUCE[[#This Row],[TOTAL]]-CRUCE[[#This Row],[BULTOS]])</f>
        <v/>
      </c>
      <c r="L563" s="39" t="str">
        <f>IF(CRUCE[[#This Row],[TOTAL]]="", "PENDIENTE", IF(CRUCE[[#This Row],[Diferencia]]=0, "CUADRADO", IF(CRUCE[[#This Row],[Diferencia]]&gt;0, "SOBRANTE", "FALTANTE")))</f>
        <v>PENDIENTE</v>
      </c>
      <c r="M563" s="72" t="str">
        <f>IF(CRUCE[[#This Row],[Diferencia]]="","",IF(CRUCE[[#This Row],[Diferencia]]=0,"OK","RECONTEO"))</f>
        <v/>
      </c>
      <c r="N563" s="39" t="str">
        <f>_xlfn.XLOOKUP(CRUCE[[#This Row],[Ubicacion]],Registros[Ubicacion],Registros[Codigo], "")</f>
        <v/>
      </c>
      <c r="O563" s="26"/>
      <c r="P563" s="26"/>
      <c r="Q563" s="39" t="str">
        <f>IF(CRUCE[[#This Row],[TOTAL2]]="", "PENDIENTE", IF(CRUCE[[#This Row],[DIFERENCIA2]]=0, "CUADRADO", IF(CRUCE[[#This Row],[DIFERENCIA2]]&gt;0, "SOBRANTE", "FALTANTE")))</f>
        <v>PENDIENTE</v>
      </c>
      <c r="R563" s="102" t="s">
        <v>5081</v>
      </c>
      <c r="S563" s="127" t="s">
        <v>5652</v>
      </c>
    </row>
    <row r="564" spans="1:19">
      <c r="A564" s="93" t="s">
        <v>5640</v>
      </c>
      <c r="B564" s="38" t="s">
        <v>3523</v>
      </c>
      <c r="C564" s="38">
        <v>8315026</v>
      </c>
      <c r="D564" s="74">
        <v>27751851559151</v>
      </c>
      <c r="E564" s="38" t="s">
        <v>807</v>
      </c>
      <c r="F564" s="38">
        <v>73</v>
      </c>
      <c r="G564" s="38" t="s">
        <v>9</v>
      </c>
      <c r="H564" s="39" t="str">
        <f>_xlfn.XLOOKUP(CRUCE[[#This Row],[Ubicacion]],Registros[Ubicacion],Registros[Codigo], "")</f>
        <v/>
      </c>
      <c r="I564" s="25" t="str">
        <f>_xlfn.XLOOKUP(CRUCE[[#This Row],[Ubicacion]],Registros[Ubicacion],Registros[Total], "")</f>
        <v/>
      </c>
      <c r="J564" s="25" t="str">
        <f>_xlfn.XLOOKUP(CRUCE[[#This Row],[Ubicacion]],Registros[Ubicacion],Registros[UMA], "")</f>
        <v/>
      </c>
      <c r="K564" s="25" t="str">
        <f>IF(CRUCE[[#This Row],[TOTAL]]="","",CRUCE[[#This Row],[TOTAL]]-CRUCE[[#This Row],[BULTOS]])</f>
        <v/>
      </c>
      <c r="L564" s="38" t="str">
        <f>IF(CRUCE[[#This Row],[TOTAL]]="", "PENDIENTE", IF(CRUCE[[#This Row],[Diferencia]]=0, "CUADRADO", IF(CRUCE[[#This Row],[Diferencia]]&gt;0, "SOBRANTE", "FALTANTE")))</f>
        <v>PENDIENTE</v>
      </c>
      <c r="M564" s="71" t="str">
        <f>IF(CRUCE[[#This Row],[Diferencia]]="","",IF(CRUCE[[#This Row],[Diferencia]]=0,"OK","RECONTEO"))</f>
        <v/>
      </c>
      <c r="N564" s="39" t="str">
        <f>_xlfn.XLOOKUP(CRUCE[[#This Row],[Ubicacion]],Registros[Ubicacion],Registros[Codigo], "")</f>
        <v/>
      </c>
      <c r="O564" s="25"/>
      <c r="P564" s="25"/>
      <c r="Q564" s="39" t="str">
        <f>IF(CRUCE[[#This Row],[TOTAL2]]="", "PENDIENTE", IF(CRUCE[[#This Row],[DIFERENCIA2]]=0, "CUADRADO", IF(CRUCE[[#This Row],[DIFERENCIA2]]&gt;0, "SOBRANTE", "FALTANTE")))</f>
        <v>PENDIENTE</v>
      </c>
      <c r="R564" s="103" t="s">
        <v>5081</v>
      </c>
      <c r="S564" s="127" t="s">
        <v>5653</v>
      </c>
    </row>
    <row r="565" spans="1:19">
      <c r="A565" s="92" t="s">
        <v>5640</v>
      </c>
      <c r="B565" s="39" t="s">
        <v>4934</v>
      </c>
      <c r="C565" s="26"/>
      <c r="D565" s="35"/>
      <c r="E565" s="26"/>
      <c r="F565" s="26"/>
      <c r="G565" s="26"/>
      <c r="H565" s="39" t="str">
        <f>_xlfn.XLOOKUP(CRUCE[[#This Row],[Ubicacion]],Registros[Ubicacion],Registros[Codigo], "")</f>
        <v/>
      </c>
      <c r="I565" s="26" t="str">
        <f>_xlfn.XLOOKUP(CRUCE[[#This Row],[Ubicacion]],Registros[Ubicacion],Registros[Total], "")</f>
        <v/>
      </c>
      <c r="J565" s="26" t="str">
        <f>_xlfn.XLOOKUP(CRUCE[[#This Row],[Ubicacion]],Registros[Ubicacion],Registros[UMA], "")</f>
        <v/>
      </c>
      <c r="K565" s="26" t="str">
        <f>IF(CRUCE[[#This Row],[TOTAL]]="","",CRUCE[[#This Row],[TOTAL]]-CRUCE[[#This Row],[BULTOS]])</f>
        <v/>
      </c>
      <c r="L565" s="39" t="str">
        <f>IF(CRUCE[[#This Row],[TOTAL]]="", "PENDIENTE", IF(CRUCE[[#This Row],[Diferencia]]=0, "CUADRADO", IF(CRUCE[[#This Row],[Diferencia]]&gt;0, "SOBRANTE", "FALTANTE")))</f>
        <v>PENDIENTE</v>
      </c>
      <c r="M565" s="72" t="str">
        <f>IF(CRUCE[[#This Row],[Diferencia]]="","",IF(CRUCE[[#This Row],[Diferencia]]=0,"OK","RECONTEO"))</f>
        <v/>
      </c>
      <c r="N565" s="39" t="str">
        <f>_xlfn.XLOOKUP(CRUCE[[#This Row],[Ubicacion]],Registros[Ubicacion],Registros[Codigo], "")</f>
        <v/>
      </c>
      <c r="O565" s="26"/>
      <c r="P565" s="26"/>
      <c r="Q565" s="39" t="str">
        <f>IF(CRUCE[[#This Row],[TOTAL2]]="", "PENDIENTE", IF(CRUCE[[#This Row],[DIFERENCIA2]]=0, "CUADRADO", IF(CRUCE[[#This Row],[DIFERENCIA2]]&gt;0, "SOBRANTE", "FALTANTE")))</f>
        <v>PENDIENTE</v>
      </c>
      <c r="R565" s="102" t="s">
        <v>5081</v>
      </c>
      <c r="S565" s="127" t="s">
        <v>5654</v>
      </c>
    </row>
    <row r="566" spans="1:19">
      <c r="A566" s="93" t="s">
        <v>5640</v>
      </c>
      <c r="B566" s="38" t="s">
        <v>4936</v>
      </c>
      <c r="C566" s="25"/>
      <c r="D566" s="34"/>
      <c r="E566" s="25"/>
      <c r="F566" s="25"/>
      <c r="G566" s="25"/>
      <c r="H566" s="39" t="str">
        <f>_xlfn.XLOOKUP(CRUCE[[#This Row],[Ubicacion]],Registros[Ubicacion],Registros[Codigo], "")</f>
        <v/>
      </c>
      <c r="I566" s="25" t="str">
        <f>_xlfn.XLOOKUP(CRUCE[[#This Row],[Ubicacion]],Registros[Ubicacion],Registros[Total], "")</f>
        <v/>
      </c>
      <c r="J566" s="25" t="str">
        <f>_xlfn.XLOOKUP(CRUCE[[#This Row],[Ubicacion]],Registros[Ubicacion],Registros[UMA], "")</f>
        <v/>
      </c>
      <c r="K566" s="25" t="str">
        <f>IF(CRUCE[[#This Row],[TOTAL]]="","",CRUCE[[#This Row],[TOTAL]]-CRUCE[[#This Row],[BULTOS]])</f>
        <v/>
      </c>
      <c r="L566" s="38" t="str">
        <f>IF(CRUCE[[#This Row],[TOTAL]]="", "PENDIENTE", IF(CRUCE[[#This Row],[Diferencia]]=0, "CUADRADO", IF(CRUCE[[#This Row],[Diferencia]]&gt;0, "SOBRANTE", "FALTANTE")))</f>
        <v>PENDIENTE</v>
      </c>
      <c r="M566" s="71" t="str">
        <f>IF(CRUCE[[#This Row],[Diferencia]]="","",IF(CRUCE[[#This Row],[Diferencia]]=0,"OK","RECONTEO"))</f>
        <v/>
      </c>
      <c r="N566" s="39" t="str">
        <f>_xlfn.XLOOKUP(CRUCE[[#This Row],[Ubicacion]],Registros[Ubicacion],Registros[Codigo], "")</f>
        <v/>
      </c>
      <c r="O566" s="25"/>
      <c r="P566" s="25"/>
      <c r="Q566" s="39" t="str">
        <f>IF(CRUCE[[#This Row],[TOTAL2]]="", "PENDIENTE", IF(CRUCE[[#This Row],[DIFERENCIA2]]=0, "CUADRADO", IF(CRUCE[[#This Row],[DIFERENCIA2]]&gt;0, "SOBRANTE", "FALTANTE")))</f>
        <v>PENDIENTE</v>
      </c>
      <c r="R566" s="103" t="s">
        <v>5081</v>
      </c>
      <c r="S566" s="127" t="s">
        <v>5655</v>
      </c>
    </row>
    <row r="567" spans="1:19">
      <c r="A567" s="92" t="s">
        <v>5640</v>
      </c>
      <c r="B567" s="39" t="s">
        <v>4938</v>
      </c>
      <c r="C567" s="26"/>
      <c r="D567" s="35"/>
      <c r="E567" s="26"/>
      <c r="F567" s="26"/>
      <c r="G567" s="26"/>
      <c r="H567" s="39" t="str">
        <f>_xlfn.XLOOKUP(CRUCE[[#This Row],[Ubicacion]],Registros[Ubicacion],Registros[Codigo], "")</f>
        <v/>
      </c>
      <c r="I567" s="26" t="str">
        <f>_xlfn.XLOOKUP(CRUCE[[#This Row],[Ubicacion]],Registros[Ubicacion],Registros[Total], "")</f>
        <v/>
      </c>
      <c r="J567" s="26" t="str">
        <f>_xlfn.XLOOKUP(CRUCE[[#This Row],[Ubicacion]],Registros[Ubicacion],Registros[UMA], "")</f>
        <v/>
      </c>
      <c r="K567" s="26" t="str">
        <f>IF(CRUCE[[#This Row],[TOTAL]]="","",CRUCE[[#This Row],[TOTAL]]-CRUCE[[#This Row],[BULTOS]])</f>
        <v/>
      </c>
      <c r="L567" s="39" t="str">
        <f>IF(CRUCE[[#This Row],[TOTAL]]="", "PENDIENTE", IF(CRUCE[[#This Row],[Diferencia]]=0, "CUADRADO", IF(CRUCE[[#This Row],[Diferencia]]&gt;0, "SOBRANTE", "FALTANTE")))</f>
        <v>PENDIENTE</v>
      </c>
      <c r="M567" s="72" t="str">
        <f>IF(CRUCE[[#This Row],[Diferencia]]="","",IF(CRUCE[[#This Row],[Diferencia]]=0,"OK","RECONTEO"))</f>
        <v/>
      </c>
      <c r="N567" s="39" t="str">
        <f>_xlfn.XLOOKUP(CRUCE[[#This Row],[Ubicacion]],Registros[Ubicacion],Registros[Codigo], "")</f>
        <v/>
      </c>
      <c r="O567" s="26"/>
      <c r="P567" s="26"/>
      <c r="Q567" s="39" t="str">
        <f>IF(CRUCE[[#This Row],[TOTAL2]]="", "PENDIENTE", IF(CRUCE[[#This Row],[DIFERENCIA2]]=0, "CUADRADO", IF(CRUCE[[#This Row],[DIFERENCIA2]]&gt;0, "SOBRANTE", "FALTANTE")))</f>
        <v>PENDIENTE</v>
      </c>
      <c r="R567" s="102" t="s">
        <v>5081</v>
      </c>
      <c r="S567" s="127" t="s">
        <v>5656</v>
      </c>
    </row>
    <row r="568" spans="1:19">
      <c r="A568" s="93" t="s">
        <v>5640</v>
      </c>
      <c r="B568" s="38" t="s">
        <v>3562</v>
      </c>
      <c r="C568" s="38">
        <v>8315140</v>
      </c>
      <c r="D568" s="74">
        <v>27751851019891</v>
      </c>
      <c r="E568" s="38" t="s">
        <v>855</v>
      </c>
      <c r="F568" s="38">
        <v>14</v>
      </c>
      <c r="G568" s="38" t="s">
        <v>9</v>
      </c>
      <c r="H568" s="39" t="str">
        <f>_xlfn.XLOOKUP(CRUCE[[#This Row],[Ubicacion]],Registros[Ubicacion],Registros[Codigo], "")</f>
        <v/>
      </c>
      <c r="I568" s="25" t="str">
        <f>_xlfn.XLOOKUP(CRUCE[[#This Row],[Ubicacion]],Registros[Ubicacion],Registros[Total], "")</f>
        <v/>
      </c>
      <c r="J568" s="25" t="str">
        <f>_xlfn.XLOOKUP(CRUCE[[#This Row],[Ubicacion]],Registros[Ubicacion],Registros[UMA], "")</f>
        <v/>
      </c>
      <c r="K568" s="25" t="str">
        <f>IF(CRUCE[[#This Row],[TOTAL]]="","",CRUCE[[#This Row],[TOTAL]]-CRUCE[[#This Row],[BULTOS]])</f>
        <v/>
      </c>
      <c r="L568" s="38" t="str">
        <f>IF(CRUCE[[#This Row],[TOTAL]]="", "PENDIENTE", IF(CRUCE[[#This Row],[Diferencia]]=0, "CUADRADO", IF(CRUCE[[#This Row],[Diferencia]]&gt;0, "SOBRANTE", "FALTANTE")))</f>
        <v>PENDIENTE</v>
      </c>
      <c r="M568" s="71" t="str">
        <f>IF(CRUCE[[#This Row],[Diferencia]]="","",IF(CRUCE[[#This Row],[Diferencia]]=0,"OK","RECONTEO"))</f>
        <v/>
      </c>
      <c r="N568" s="39" t="str">
        <f>_xlfn.XLOOKUP(CRUCE[[#This Row],[Ubicacion]],Registros[Ubicacion],Registros[Codigo], "")</f>
        <v/>
      </c>
      <c r="O568" s="25"/>
      <c r="P568" s="25"/>
      <c r="Q568" s="39" t="str">
        <f>IF(CRUCE[[#This Row],[TOTAL2]]="", "PENDIENTE", IF(CRUCE[[#This Row],[DIFERENCIA2]]=0, "CUADRADO", IF(CRUCE[[#This Row],[DIFERENCIA2]]&gt;0, "SOBRANTE", "FALTANTE")))</f>
        <v>PENDIENTE</v>
      </c>
      <c r="R568" s="103" t="s">
        <v>5081</v>
      </c>
      <c r="S568" s="127" t="s">
        <v>5657</v>
      </c>
    </row>
    <row r="569" spans="1:19">
      <c r="A569" s="92" t="s">
        <v>5640</v>
      </c>
      <c r="B569" s="39" t="s">
        <v>4941</v>
      </c>
      <c r="C569" s="26"/>
      <c r="D569" s="35"/>
      <c r="E569" s="26"/>
      <c r="F569" s="26"/>
      <c r="G569" s="26"/>
      <c r="H569" s="39" t="str">
        <f>_xlfn.XLOOKUP(CRUCE[[#This Row],[Ubicacion]],Registros[Ubicacion],Registros[Codigo], "")</f>
        <v/>
      </c>
      <c r="I569" s="26" t="str">
        <f>_xlfn.XLOOKUP(CRUCE[[#This Row],[Ubicacion]],Registros[Ubicacion],Registros[Total], "")</f>
        <v/>
      </c>
      <c r="J569" s="26" t="str">
        <f>_xlfn.XLOOKUP(CRUCE[[#This Row],[Ubicacion]],Registros[Ubicacion],Registros[UMA], "")</f>
        <v/>
      </c>
      <c r="K569" s="26" t="str">
        <f>IF(CRUCE[[#This Row],[TOTAL]]="","",CRUCE[[#This Row],[TOTAL]]-CRUCE[[#This Row],[BULTOS]])</f>
        <v/>
      </c>
      <c r="L569" s="39" t="str">
        <f>IF(CRUCE[[#This Row],[TOTAL]]="", "PENDIENTE", IF(CRUCE[[#This Row],[Diferencia]]=0, "CUADRADO", IF(CRUCE[[#This Row],[Diferencia]]&gt;0, "SOBRANTE", "FALTANTE")))</f>
        <v>PENDIENTE</v>
      </c>
      <c r="M569" s="72" t="str">
        <f>IF(CRUCE[[#This Row],[Diferencia]]="","",IF(CRUCE[[#This Row],[Diferencia]]=0,"OK","RECONTEO"))</f>
        <v/>
      </c>
      <c r="N569" s="39" t="str">
        <f>_xlfn.XLOOKUP(CRUCE[[#This Row],[Ubicacion]],Registros[Ubicacion],Registros[Codigo], "")</f>
        <v/>
      </c>
      <c r="O569" s="26"/>
      <c r="P569" s="26"/>
      <c r="Q569" s="39" t="str">
        <f>IF(CRUCE[[#This Row],[TOTAL2]]="", "PENDIENTE", IF(CRUCE[[#This Row],[DIFERENCIA2]]=0, "CUADRADO", IF(CRUCE[[#This Row],[DIFERENCIA2]]&gt;0, "SOBRANTE", "FALTANTE")))</f>
        <v>PENDIENTE</v>
      </c>
      <c r="R569" s="102" t="s">
        <v>5081</v>
      </c>
      <c r="S569" s="127" t="s">
        <v>5658</v>
      </c>
    </row>
    <row r="570" spans="1:19">
      <c r="A570" s="93" t="s">
        <v>5640</v>
      </c>
      <c r="B570" s="38" t="s">
        <v>3403</v>
      </c>
      <c r="C570" s="38">
        <v>8305362</v>
      </c>
      <c r="D570" s="74">
        <v>87861036713413</v>
      </c>
      <c r="E570" s="38" t="s">
        <v>565</v>
      </c>
      <c r="F570" s="38">
        <v>64</v>
      </c>
      <c r="G570" s="38" t="s">
        <v>9</v>
      </c>
      <c r="H570" s="39" t="str">
        <f>_xlfn.XLOOKUP(CRUCE[[#This Row],[Ubicacion]],Registros[Ubicacion],Registros[Codigo], "")</f>
        <v/>
      </c>
      <c r="I570" s="25" t="str">
        <f>_xlfn.XLOOKUP(CRUCE[[#This Row],[Ubicacion]],Registros[Ubicacion],Registros[Total], "")</f>
        <v/>
      </c>
      <c r="J570" s="25" t="str">
        <f>_xlfn.XLOOKUP(CRUCE[[#This Row],[Ubicacion]],Registros[Ubicacion],Registros[UMA], "")</f>
        <v/>
      </c>
      <c r="K570" s="25" t="str">
        <f>IF(CRUCE[[#This Row],[TOTAL]]="","",CRUCE[[#This Row],[TOTAL]]-CRUCE[[#This Row],[BULTOS]])</f>
        <v/>
      </c>
      <c r="L570" s="38" t="str">
        <f>IF(CRUCE[[#This Row],[TOTAL]]="", "PENDIENTE", IF(CRUCE[[#This Row],[Diferencia]]=0, "CUADRADO", IF(CRUCE[[#This Row],[Diferencia]]&gt;0, "SOBRANTE", "FALTANTE")))</f>
        <v>PENDIENTE</v>
      </c>
      <c r="M570" s="71" t="str">
        <f>IF(CRUCE[[#This Row],[Diferencia]]="","",IF(CRUCE[[#This Row],[Diferencia]]=0,"OK","RECONTEO"))</f>
        <v/>
      </c>
      <c r="N570" s="39" t="str">
        <f>_xlfn.XLOOKUP(CRUCE[[#This Row],[Ubicacion]],Registros[Ubicacion],Registros[Codigo], "")</f>
        <v/>
      </c>
      <c r="O570" s="25"/>
      <c r="P570" s="25"/>
      <c r="Q570" s="39" t="str">
        <f>IF(CRUCE[[#This Row],[TOTAL2]]="", "PENDIENTE", IF(CRUCE[[#This Row],[DIFERENCIA2]]=0, "CUADRADO", IF(CRUCE[[#This Row],[DIFERENCIA2]]&gt;0, "SOBRANTE", "FALTANTE")))</f>
        <v>PENDIENTE</v>
      </c>
      <c r="R570" s="103" t="s">
        <v>5081</v>
      </c>
      <c r="S570" s="129" t="s">
        <v>5659</v>
      </c>
    </row>
    <row r="571" spans="1:19">
      <c r="A571" s="92" t="s">
        <v>5640</v>
      </c>
      <c r="B571" s="39" t="s">
        <v>4944</v>
      </c>
      <c r="C571" s="26"/>
      <c r="D571" s="35"/>
      <c r="E571" s="26"/>
      <c r="F571" s="26"/>
      <c r="G571" s="26"/>
      <c r="H571" s="39" t="str">
        <f>_xlfn.XLOOKUP(CRUCE[[#This Row],[Ubicacion]],Registros[Ubicacion],Registros[Codigo], "")</f>
        <v/>
      </c>
      <c r="I571" s="26" t="str">
        <f>_xlfn.XLOOKUP(CRUCE[[#This Row],[Ubicacion]],Registros[Ubicacion],Registros[Total], "")</f>
        <v/>
      </c>
      <c r="J571" s="26" t="str">
        <f>_xlfn.XLOOKUP(CRUCE[[#This Row],[Ubicacion]],Registros[Ubicacion],Registros[UMA], "")</f>
        <v/>
      </c>
      <c r="K571" s="26" t="str">
        <f>IF(CRUCE[[#This Row],[TOTAL]]="","",CRUCE[[#This Row],[TOTAL]]-CRUCE[[#This Row],[BULTOS]])</f>
        <v/>
      </c>
      <c r="L571" s="39" t="str">
        <f>IF(CRUCE[[#This Row],[TOTAL]]="", "PENDIENTE", IF(CRUCE[[#This Row],[Diferencia]]=0, "CUADRADO", IF(CRUCE[[#This Row],[Diferencia]]&gt;0, "SOBRANTE", "FALTANTE")))</f>
        <v>PENDIENTE</v>
      </c>
      <c r="M571" s="72" t="str">
        <f>IF(CRUCE[[#This Row],[Diferencia]]="","",IF(CRUCE[[#This Row],[Diferencia]]=0,"OK","RECONTEO"))</f>
        <v/>
      </c>
      <c r="N571" s="39" t="str">
        <f>_xlfn.XLOOKUP(CRUCE[[#This Row],[Ubicacion]],Registros[Ubicacion],Registros[Codigo], "")</f>
        <v/>
      </c>
      <c r="O571" s="26"/>
      <c r="P571" s="26"/>
      <c r="Q571" s="39" t="str">
        <f>IF(CRUCE[[#This Row],[TOTAL2]]="", "PENDIENTE", IF(CRUCE[[#This Row],[DIFERENCIA2]]=0, "CUADRADO", IF(CRUCE[[#This Row],[DIFERENCIA2]]&gt;0, "SOBRANTE", "FALTANTE")))</f>
        <v>PENDIENTE</v>
      </c>
      <c r="R571" s="102" t="s">
        <v>5081</v>
      </c>
      <c r="S571" s="127" t="s">
        <v>5660</v>
      </c>
    </row>
    <row r="572" spans="1:19">
      <c r="A572" s="93" t="s">
        <v>5640</v>
      </c>
      <c r="B572" s="38" t="s">
        <v>3406</v>
      </c>
      <c r="C572" s="38">
        <v>8305363</v>
      </c>
      <c r="D572" s="74">
        <v>87861036713420</v>
      </c>
      <c r="E572" s="38" t="s">
        <v>567</v>
      </c>
      <c r="F572" s="38">
        <v>1</v>
      </c>
      <c r="G572" s="38" t="s">
        <v>9</v>
      </c>
      <c r="H572" s="39" t="str">
        <f>_xlfn.XLOOKUP(CRUCE[[#This Row],[Ubicacion]],Registros[Ubicacion],Registros[Codigo], "")</f>
        <v/>
      </c>
      <c r="I572" s="25" t="str">
        <f>_xlfn.XLOOKUP(CRUCE[[#This Row],[Ubicacion]],Registros[Ubicacion],Registros[Total], "")</f>
        <v/>
      </c>
      <c r="J572" s="25" t="str">
        <f>_xlfn.XLOOKUP(CRUCE[[#This Row],[Ubicacion]],Registros[Ubicacion],Registros[UMA], "")</f>
        <v/>
      </c>
      <c r="K572" s="25" t="str">
        <f>IF(CRUCE[[#This Row],[TOTAL]]="","",CRUCE[[#This Row],[TOTAL]]-CRUCE[[#This Row],[BULTOS]])</f>
        <v/>
      </c>
      <c r="L572" s="38" t="str">
        <f>IF(CRUCE[[#This Row],[TOTAL]]="", "PENDIENTE", IF(CRUCE[[#This Row],[Diferencia]]=0, "CUADRADO", IF(CRUCE[[#This Row],[Diferencia]]&gt;0, "SOBRANTE", "FALTANTE")))</f>
        <v>PENDIENTE</v>
      </c>
      <c r="M572" s="71" t="str">
        <f>IF(CRUCE[[#This Row],[Diferencia]]="","",IF(CRUCE[[#This Row],[Diferencia]]=0,"OK","RECONTEO"))</f>
        <v/>
      </c>
      <c r="N572" s="39" t="str">
        <f>_xlfn.XLOOKUP(CRUCE[[#This Row],[Ubicacion]],Registros[Ubicacion],Registros[Codigo], "")</f>
        <v/>
      </c>
      <c r="O572" s="25"/>
      <c r="P572" s="25"/>
      <c r="Q572" s="39" t="str">
        <f>IF(CRUCE[[#This Row],[TOTAL2]]="", "PENDIENTE", IF(CRUCE[[#This Row],[DIFERENCIA2]]=0, "CUADRADO", IF(CRUCE[[#This Row],[DIFERENCIA2]]&gt;0, "SOBRANTE", "FALTANTE")))</f>
        <v>PENDIENTE</v>
      </c>
      <c r="R572" s="103" t="s">
        <v>5081</v>
      </c>
      <c r="S572" s="127" t="s">
        <v>5661</v>
      </c>
    </row>
    <row r="573" spans="1:19">
      <c r="A573" s="92" t="s">
        <v>5640</v>
      </c>
      <c r="B573" s="39" t="s">
        <v>4947</v>
      </c>
      <c r="C573" s="26"/>
      <c r="D573" s="35"/>
      <c r="E573" s="26"/>
      <c r="F573" s="26"/>
      <c r="G573" s="26"/>
      <c r="H573" s="39" t="str">
        <f>_xlfn.XLOOKUP(CRUCE[[#This Row],[Ubicacion]],Registros[Ubicacion],Registros[Codigo], "")</f>
        <v/>
      </c>
      <c r="I573" s="26" t="str">
        <f>_xlfn.XLOOKUP(CRUCE[[#This Row],[Ubicacion]],Registros[Ubicacion],Registros[Total], "")</f>
        <v/>
      </c>
      <c r="J573" s="26" t="str">
        <f>_xlfn.XLOOKUP(CRUCE[[#This Row],[Ubicacion]],Registros[Ubicacion],Registros[UMA], "")</f>
        <v/>
      </c>
      <c r="K573" s="26" t="str">
        <f>IF(CRUCE[[#This Row],[TOTAL]]="","",CRUCE[[#This Row],[TOTAL]]-CRUCE[[#This Row],[BULTOS]])</f>
        <v/>
      </c>
      <c r="L573" s="39" t="str">
        <f>IF(CRUCE[[#This Row],[TOTAL]]="", "PENDIENTE", IF(CRUCE[[#This Row],[Diferencia]]=0, "CUADRADO", IF(CRUCE[[#This Row],[Diferencia]]&gt;0, "SOBRANTE", "FALTANTE")))</f>
        <v>PENDIENTE</v>
      </c>
      <c r="M573" s="72" t="str">
        <f>IF(CRUCE[[#This Row],[Diferencia]]="","",IF(CRUCE[[#This Row],[Diferencia]]=0,"OK","RECONTEO"))</f>
        <v/>
      </c>
      <c r="N573" s="39" t="str">
        <f>_xlfn.XLOOKUP(CRUCE[[#This Row],[Ubicacion]],Registros[Ubicacion],Registros[Codigo], "")</f>
        <v/>
      </c>
      <c r="O573" s="26"/>
      <c r="P573" s="26"/>
      <c r="Q573" s="39" t="str">
        <f>IF(CRUCE[[#This Row],[TOTAL2]]="", "PENDIENTE", IF(CRUCE[[#This Row],[DIFERENCIA2]]=0, "CUADRADO", IF(CRUCE[[#This Row],[DIFERENCIA2]]&gt;0, "SOBRANTE", "FALTANTE")))</f>
        <v>PENDIENTE</v>
      </c>
      <c r="R573" s="102" t="s">
        <v>5081</v>
      </c>
      <c r="S573" s="127" t="s">
        <v>5662</v>
      </c>
    </row>
    <row r="574" spans="1:19">
      <c r="A574" s="93" t="s">
        <v>5640</v>
      </c>
      <c r="B574" s="38" t="s">
        <v>3401</v>
      </c>
      <c r="C574" s="38">
        <v>8305361</v>
      </c>
      <c r="D574" s="74">
        <v>87861036713406</v>
      </c>
      <c r="E574" s="38" t="s">
        <v>563</v>
      </c>
      <c r="F574" s="38">
        <v>8</v>
      </c>
      <c r="G574" s="38" t="s">
        <v>9</v>
      </c>
      <c r="H574" s="39" t="str">
        <f>_xlfn.XLOOKUP(CRUCE[[#This Row],[Ubicacion]],Registros[Ubicacion],Registros[Codigo], "")</f>
        <v/>
      </c>
      <c r="I574" s="25" t="str">
        <f>_xlfn.XLOOKUP(CRUCE[[#This Row],[Ubicacion]],Registros[Ubicacion],Registros[Total], "")</f>
        <v/>
      </c>
      <c r="J574" s="25" t="str">
        <f>_xlfn.XLOOKUP(CRUCE[[#This Row],[Ubicacion]],Registros[Ubicacion],Registros[UMA], "")</f>
        <v/>
      </c>
      <c r="K574" s="25" t="str">
        <f>IF(CRUCE[[#This Row],[TOTAL]]="","",CRUCE[[#This Row],[TOTAL]]-CRUCE[[#This Row],[BULTOS]])</f>
        <v/>
      </c>
      <c r="L574" s="38" t="str">
        <f>IF(CRUCE[[#This Row],[TOTAL]]="", "PENDIENTE", IF(CRUCE[[#This Row],[Diferencia]]=0, "CUADRADO", IF(CRUCE[[#This Row],[Diferencia]]&gt;0, "SOBRANTE", "FALTANTE")))</f>
        <v>PENDIENTE</v>
      </c>
      <c r="M574" s="71" t="str">
        <f>IF(CRUCE[[#This Row],[Diferencia]]="","",IF(CRUCE[[#This Row],[Diferencia]]=0,"OK","RECONTEO"))</f>
        <v/>
      </c>
      <c r="N574" s="39" t="str">
        <f>_xlfn.XLOOKUP(CRUCE[[#This Row],[Ubicacion]],Registros[Ubicacion],Registros[Codigo], "")</f>
        <v/>
      </c>
      <c r="O574" s="25"/>
      <c r="P574" s="25"/>
      <c r="Q574" s="39" t="str">
        <f>IF(CRUCE[[#This Row],[TOTAL2]]="", "PENDIENTE", IF(CRUCE[[#This Row],[DIFERENCIA2]]=0, "CUADRADO", IF(CRUCE[[#This Row],[DIFERENCIA2]]&gt;0, "SOBRANTE", "FALTANTE")))</f>
        <v>PENDIENTE</v>
      </c>
      <c r="R574" s="103" t="s">
        <v>5081</v>
      </c>
      <c r="S574" s="127" t="s">
        <v>5663</v>
      </c>
    </row>
    <row r="575" spans="1:19">
      <c r="A575" s="92" t="s">
        <v>5640</v>
      </c>
      <c r="B575" s="39" t="s">
        <v>4950</v>
      </c>
      <c r="C575" s="26"/>
      <c r="D575" s="35"/>
      <c r="E575" s="26"/>
      <c r="F575" s="26"/>
      <c r="G575" s="26"/>
      <c r="H575" s="39" t="str">
        <f>_xlfn.XLOOKUP(CRUCE[[#This Row],[Ubicacion]],Registros[Ubicacion],Registros[Codigo], "")</f>
        <v/>
      </c>
      <c r="I575" s="26" t="str">
        <f>_xlfn.XLOOKUP(CRUCE[[#This Row],[Ubicacion]],Registros[Ubicacion],Registros[Total], "")</f>
        <v/>
      </c>
      <c r="J575" s="26" t="str">
        <f>_xlfn.XLOOKUP(CRUCE[[#This Row],[Ubicacion]],Registros[Ubicacion],Registros[UMA], "")</f>
        <v/>
      </c>
      <c r="K575" s="26" t="str">
        <f>IF(CRUCE[[#This Row],[TOTAL]]="","",CRUCE[[#This Row],[TOTAL]]-CRUCE[[#This Row],[BULTOS]])</f>
        <v/>
      </c>
      <c r="L575" s="39" t="str">
        <f>IF(CRUCE[[#This Row],[TOTAL]]="", "PENDIENTE", IF(CRUCE[[#This Row],[Diferencia]]=0, "CUADRADO", IF(CRUCE[[#This Row],[Diferencia]]&gt;0, "SOBRANTE", "FALTANTE")))</f>
        <v>PENDIENTE</v>
      </c>
      <c r="M575" s="72" t="str">
        <f>IF(CRUCE[[#This Row],[Diferencia]]="","",IF(CRUCE[[#This Row],[Diferencia]]=0,"OK","RECONTEO"))</f>
        <v/>
      </c>
      <c r="N575" s="39" t="str">
        <f>_xlfn.XLOOKUP(CRUCE[[#This Row],[Ubicacion]],Registros[Ubicacion],Registros[Codigo], "")</f>
        <v/>
      </c>
      <c r="O575" s="26"/>
      <c r="P575" s="26"/>
      <c r="Q575" s="39" t="str">
        <f>IF(CRUCE[[#This Row],[TOTAL2]]="", "PENDIENTE", IF(CRUCE[[#This Row],[DIFERENCIA2]]=0, "CUADRADO", IF(CRUCE[[#This Row],[DIFERENCIA2]]&gt;0, "SOBRANTE", "FALTANTE")))</f>
        <v>PENDIENTE</v>
      </c>
      <c r="R575" s="102" t="s">
        <v>5081</v>
      </c>
      <c r="S575" s="127" t="s">
        <v>5664</v>
      </c>
    </row>
    <row r="576" spans="1:19">
      <c r="A576" s="93" t="s">
        <v>5640</v>
      </c>
      <c r="B576" s="38" t="s">
        <v>3501</v>
      </c>
      <c r="C576" s="38">
        <v>8315005</v>
      </c>
      <c r="D576" s="74">
        <v>27751851443184</v>
      </c>
      <c r="E576" s="38" t="s">
        <v>773</v>
      </c>
      <c r="F576" s="38">
        <v>36</v>
      </c>
      <c r="G576" s="38" t="s">
        <v>9</v>
      </c>
      <c r="H576" s="39" t="str">
        <f>_xlfn.XLOOKUP(CRUCE[[#This Row],[Ubicacion]],Registros[Ubicacion],Registros[Codigo], "")</f>
        <v/>
      </c>
      <c r="I576" s="25" t="str">
        <f>_xlfn.XLOOKUP(CRUCE[[#This Row],[Ubicacion]],Registros[Ubicacion],Registros[Total], "")</f>
        <v/>
      </c>
      <c r="J576" s="25" t="str">
        <f>_xlfn.XLOOKUP(CRUCE[[#This Row],[Ubicacion]],Registros[Ubicacion],Registros[UMA], "")</f>
        <v/>
      </c>
      <c r="K576" s="25" t="str">
        <f>IF(CRUCE[[#This Row],[TOTAL]]="","",CRUCE[[#This Row],[TOTAL]]-CRUCE[[#This Row],[BULTOS]])</f>
        <v/>
      </c>
      <c r="L576" s="38" t="str">
        <f>IF(CRUCE[[#This Row],[TOTAL]]="", "PENDIENTE", IF(CRUCE[[#This Row],[Diferencia]]=0, "CUADRADO", IF(CRUCE[[#This Row],[Diferencia]]&gt;0, "SOBRANTE", "FALTANTE")))</f>
        <v>PENDIENTE</v>
      </c>
      <c r="M576" s="71" t="str">
        <f>IF(CRUCE[[#This Row],[Diferencia]]="","",IF(CRUCE[[#This Row],[Diferencia]]=0,"OK","RECONTEO"))</f>
        <v/>
      </c>
      <c r="N576" s="39" t="str">
        <f>_xlfn.XLOOKUP(CRUCE[[#This Row],[Ubicacion]],Registros[Ubicacion],Registros[Codigo], "")</f>
        <v/>
      </c>
      <c r="O576" s="25"/>
      <c r="P576" s="25"/>
      <c r="Q576" s="39" t="str">
        <f>IF(CRUCE[[#This Row],[TOTAL2]]="", "PENDIENTE", IF(CRUCE[[#This Row],[DIFERENCIA2]]=0, "CUADRADO", IF(CRUCE[[#This Row],[DIFERENCIA2]]&gt;0, "SOBRANTE", "FALTANTE")))</f>
        <v>PENDIENTE</v>
      </c>
      <c r="R576" s="103" t="s">
        <v>5081</v>
      </c>
      <c r="S576" s="127" t="s">
        <v>5665</v>
      </c>
    </row>
    <row r="577" spans="1:19">
      <c r="A577" s="92" t="s">
        <v>5640</v>
      </c>
      <c r="B577" s="39" t="s">
        <v>4953</v>
      </c>
      <c r="C577" s="26"/>
      <c r="D577" s="35"/>
      <c r="E577" s="26"/>
      <c r="F577" s="26"/>
      <c r="G577" s="26"/>
      <c r="H577" s="39" t="str">
        <f>_xlfn.XLOOKUP(CRUCE[[#This Row],[Ubicacion]],Registros[Ubicacion],Registros[Codigo], "")</f>
        <v/>
      </c>
      <c r="I577" s="26" t="str">
        <f>_xlfn.XLOOKUP(CRUCE[[#This Row],[Ubicacion]],Registros[Ubicacion],Registros[Total], "")</f>
        <v/>
      </c>
      <c r="J577" s="26" t="str">
        <f>_xlfn.XLOOKUP(CRUCE[[#This Row],[Ubicacion]],Registros[Ubicacion],Registros[UMA], "")</f>
        <v/>
      </c>
      <c r="K577" s="26" t="str">
        <f>IF(CRUCE[[#This Row],[TOTAL]]="","",CRUCE[[#This Row],[TOTAL]]-CRUCE[[#This Row],[BULTOS]])</f>
        <v/>
      </c>
      <c r="L577" s="39" t="str">
        <f>IF(CRUCE[[#This Row],[TOTAL]]="", "PENDIENTE", IF(CRUCE[[#This Row],[Diferencia]]=0, "CUADRADO", IF(CRUCE[[#This Row],[Diferencia]]&gt;0, "SOBRANTE", "FALTANTE")))</f>
        <v>PENDIENTE</v>
      </c>
      <c r="M577" s="72" t="str">
        <f>IF(CRUCE[[#This Row],[Diferencia]]="","",IF(CRUCE[[#This Row],[Diferencia]]=0,"OK","RECONTEO"))</f>
        <v/>
      </c>
      <c r="N577" s="39" t="str">
        <f>_xlfn.XLOOKUP(CRUCE[[#This Row],[Ubicacion]],Registros[Ubicacion],Registros[Codigo], "")</f>
        <v/>
      </c>
      <c r="O577" s="26"/>
      <c r="P577" s="26"/>
      <c r="Q577" s="39" t="str">
        <f>IF(CRUCE[[#This Row],[TOTAL2]]="", "PENDIENTE", IF(CRUCE[[#This Row],[DIFERENCIA2]]=0, "CUADRADO", IF(CRUCE[[#This Row],[DIFERENCIA2]]&gt;0, "SOBRANTE", "FALTANTE")))</f>
        <v>PENDIENTE</v>
      </c>
      <c r="R577" s="102" t="s">
        <v>5081</v>
      </c>
      <c r="S577" s="127" t="s">
        <v>5666</v>
      </c>
    </row>
    <row r="578" spans="1:19">
      <c r="A578" s="93" t="s">
        <v>5640</v>
      </c>
      <c r="B578" s="38" t="s">
        <v>3503</v>
      </c>
      <c r="C578" s="38">
        <v>8315006</v>
      </c>
      <c r="D578" s="74">
        <v>27751851443245</v>
      </c>
      <c r="E578" s="38" t="s">
        <v>775</v>
      </c>
      <c r="F578" s="38">
        <v>3</v>
      </c>
      <c r="G578" s="38" t="s">
        <v>9</v>
      </c>
      <c r="H578" s="39" t="str">
        <f>_xlfn.XLOOKUP(CRUCE[[#This Row],[Ubicacion]],Registros[Ubicacion],Registros[Codigo], "")</f>
        <v/>
      </c>
      <c r="I578" s="25" t="str">
        <f>_xlfn.XLOOKUP(CRUCE[[#This Row],[Ubicacion]],Registros[Ubicacion],Registros[Total], "")</f>
        <v/>
      </c>
      <c r="J578" s="25" t="str">
        <f>_xlfn.XLOOKUP(CRUCE[[#This Row],[Ubicacion]],Registros[Ubicacion],Registros[UMA], "")</f>
        <v/>
      </c>
      <c r="K578" s="25" t="str">
        <f>IF(CRUCE[[#This Row],[TOTAL]]="","",CRUCE[[#This Row],[TOTAL]]-CRUCE[[#This Row],[BULTOS]])</f>
        <v/>
      </c>
      <c r="L578" s="38" t="str">
        <f>IF(CRUCE[[#This Row],[TOTAL]]="", "PENDIENTE", IF(CRUCE[[#This Row],[Diferencia]]=0, "CUADRADO", IF(CRUCE[[#This Row],[Diferencia]]&gt;0, "SOBRANTE", "FALTANTE")))</f>
        <v>PENDIENTE</v>
      </c>
      <c r="M578" s="71" t="str">
        <f>IF(CRUCE[[#This Row],[Diferencia]]="","",IF(CRUCE[[#This Row],[Diferencia]]=0,"OK","RECONTEO"))</f>
        <v/>
      </c>
      <c r="N578" s="39" t="str">
        <f>_xlfn.XLOOKUP(CRUCE[[#This Row],[Ubicacion]],Registros[Ubicacion],Registros[Codigo], "")</f>
        <v/>
      </c>
      <c r="O578" s="25"/>
      <c r="P578" s="25"/>
      <c r="Q578" s="39" t="str">
        <f>IF(CRUCE[[#This Row],[TOTAL2]]="", "PENDIENTE", IF(CRUCE[[#This Row],[DIFERENCIA2]]=0, "CUADRADO", IF(CRUCE[[#This Row],[DIFERENCIA2]]&gt;0, "SOBRANTE", "FALTANTE")))</f>
        <v>PENDIENTE</v>
      </c>
      <c r="R578" s="103" t="s">
        <v>5081</v>
      </c>
      <c r="S578" s="127" t="s">
        <v>5667</v>
      </c>
    </row>
    <row r="579" spans="1:19">
      <c r="A579" s="92" t="s">
        <v>5640</v>
      </c>
      <c r="B579" s="39" t="s">
        <v>4956</v>
      </c>
      <c r="C579" s="26"/>
      <c r="D579" s="35"/>
      <c r="E579" s="26"/>
      <c r="F579" s="26"/>
      <c r="G579" s="26"/>
      <c r="H579" s="39" t="str">
        <f>_xlfn.XLOOKUP(CRUCE[[#This Row],[Ubicacion]],Registros[Ubicacion],Registros[Codigo], "")</f>
        <v/>
      </c>
      <c r="I579" s="26" t="str">
        <f>_xlfn.XLOOKUP(CRUCE[[#This Row],[Ubicacion]],Registros[Ubicacion],Registros[Total], "")</f>
        <v/>
      </c>
      <c r="J579" s="26" t="str">
        <f>_xlfn.XLOOKUP(CRUCE[[#This Row],[Ubicacion]],Registros[Ubicacion],Registros[UMA], "")</f>
        <v/>
      </c>
      <c r="K579" s="26" t="str">
        <f>IF(CRUCE[[#This Row],[TOTAL]]="","",CRUCE[[#This Row],[TOTAL]]-CRUCE[[#This Row],[BULTOS]])</f>
        <v/>
      </c>
      <c r="L579" s="39" t="str">
        <f>IF(CRUCE[[#This Row],[TOTAL]]="", "PENDIENTE", IF(CRUCE[[#This Row],[Diferencia]]=0, "CUADRADO", IF(CRUCE[[#This Row],[Diferencia]]&gt;0, "SOBRANTE", "FALTANTE")))</f>
        <v>PENDIENTE</v>
      </c>
      <c r="M579" s="72" t="str">
        <f>IF(CRUCE[[#This Row],[Diferencia]]="","",IF(CRUCE[[#This Row],[Diferencia]]=0,"OK","RECONTEO"))</f>
        <v/>
      </c>
      <c r="N579" s="39" t="str">
        <f>_xlfn.XLOOKUP(CRUCE[[#This Row],[Ubicacion]],Registros[Ubicacion],Registros[Codigo], "")</f>
        <v/>
      </c>
      <c r="O579" s="26"/>
      <c r="P579" s="26"/>
      <c r="Q579" s="39" t="str">
        <f>IF(CRUCE[[#This Row],[TOTAL2]]="", "PENDIENTE", IF(CRUCE[[#This Row],[DIFERENCIA2]]=0, "CUADRADO", IF(CRUCE[[#This Row],[DIFERENCIA2]]&gt;0, "SOBRANTE", "FALTANTE")))</f>
        <v>PENDIENTE</v>
      </c>
      <c r="R579" s="102" t="s">
        <v>5081</v>
      </c>
      <c r="S579" s="127" t="s">
        <v>5668</v>
      </c>
    </row>
    <row r="580" spans="1:19">
      <c r="A580" s="93" t="s">
        <v>5640</v>
      </c>
      <c r="B580" s="38" t="s">
        <v>4958</v>
      </c>
      <c r="C580" s="25"/>
      <c r="D580" s="34"/>
      <c r="E580" s="25"/>
      <c r="F580" s="25"/>
      <c r="G580" s="25"/>
      <c r="H580" s="39" t="str">
        <f>_xlfn.XLOOKUP(CRUCE[[#This Row],[Ubicacion]],Registros[Ubicacion],Registros[Codigo], "")</f>
        <v/>
      </c>
      <c r="I580" s="25" t="str">
        <f>_xlfn.XLOOKUP(CRUCE[[#This Row],[Ubicacion]],Registros[Ubicacion],Registros[Total], "")</f>
        <v/>
      </c>
      <c r="J580" s="25" t="str">
        <f>_xlfn.XLOOKUP(CRUCE[[#This Row],[Ubicacion]],Registros[Ubicacion],Registros[UMA], "")</f>
        <v/>
      </c>
      <c r="K580" s="25" t="str">
        <f>IF(CRUCE[[#This Row],[TOTAL]]="","",CRUCE[[#This Row],[TOTAL]]-CRUCE[[#This Row],[BULTOS]])</f>
        <v/>
      </c>
      <c r="L580" s="38" t="str">
        <f>IF(CRUCE[[#This Row],[TOTAL]]="", "PENDIENTE", IF(CRUCE[[#This Row],[Diferencia]]=0, "CUADRADO", IF(CRUCE[[#This Row],[Diferencia]]&gt;0, "SOBRANTE", "FALTANTE")))</f>
        <v>PENDIENTE</v>
      </c>
      <c r="M580" s="71" t="str">
        <f>IF(CRUCE[[#This Row],[Diferencia]]="","",IF(CRUCE[[#This Row],[Diferencia]]=0,"OK","RECONTEO"))</f>
        <v/>
      </c>
      <c r="N580" s="39" t="str">
        <f>_xlfn.XLOOKUP(CRUCE[[#This Row],[Ubicacion]],Registros[Ubicacion],Registros[Codigo], "")</f>
        <v/>
      </c>
      <c r="O580" s="25"/>
      <c r="P580" s="25"/>
      <c r="Q580" s="39" t="str">
        <f>IF(CRUCE[[#This Row],[TOTAL2]]="", "PENDIENTE", IF(CRUCE[[#This Row],[DIFERENCIA2]]=0, "CUADRADO", IF(CRUCE[[#This Row],[DIFERENCIA2]]&gt;0, "SOBRANTE", "FALTANTE")))</f>
        <v>PENDIENTE</v>
      </c>
      <c r="R580" s="103" t="s">
        <v>5081</v>
      </c>
      <c r="S580" s="127" t="s">
        <v>5669</v>
      </c>
    </row>
    <row r="581" spans="1:19">
      <c r="A581" s="92" t="s">
        <v>5640</v>
      </c>
      <c r="B581" s="39" t="s">
        <v>3553</v>
      </c>
      <c r="C581" s="39">
        <v>8315051</v>
      </c>
      <c r="D581" s="73">
        <v>17751851012147</v>
      </c>
      <c r="E581" s="39" t="s">
        <v>835</v>
      </c>
      <c r="F581" s="39">
        <v>86</v>
      </c>
      <c r="G581" s="39" t="s">
        <v>9</v>
      </c>
      <c r="H581" s="39" t="str">
        <f>_xlfn.XLOOKUP(CRUCE[[#This Row],[Ubicacion]],Registros[Ubicacion],Registros[Codigo], "")</f>
        <v/>
      </c>
      <c r="I581" s="26" t="str">
        <f>_xlfn.XLOOKUP(CRUCE[[#This Row],[Ubicacion]],Registros[Ubicacion],Registros[Total], "")</f>
        <v/>
      </c>
      <c r="J581" s="26" t="str">
        <f>_xlfn.XLOOKUP(CRUCE[[#This Row],[Ubicacion]],Registros[Ubicacion],Registros[UMA], "")</f>
        <v/>
      </c>
      <c r="K581" s="26" t="str">
        <f>IF(CRUCE[[#This Row],[TOTAL]]="","",CRUCE[[#This Row],[TOTAL]]-CRUCE[[#This Row],[BULTOS]])</f>
        <v/>
      </c>
      <c r="L581" s="39" t="str">
        <f>IF(CRUCE[[#This Row],[TOTAL]]="", "PENDIENTE", IF(CRUCE[[#This Row],[Diferencia]]=0, "CUADRADO", IF(CRUCE[[#This Row],[Diferencia]]&gt;0, "SOBRANTE", "FALTANTE")))</f>
        <v>PENDIENTE</v>
      </c>
      <c r="M581" s="72" t="str">
        <f>IF(CRUCE[[#This Row],[Diferencia]]="","",IF(CRUCE[[#This Row],[Diferencia]]=0,"OK","RECONTEO"))</f>
        <v/>
      </c>
      <c r="N581" s="39" t="str">
        <f>_xlfn.XLOOKUP(CRUCE[[#This Row],[Ubicacion]],Registros[Ubicacion],Registros[Codigo], "")</f>
        <v/>
      </c>
      <c r="O581" s="26"/>
      <c r="P581" s="26"/>
      <c r="Q581" s="39" t="str">
        <f>IF(CRUCE[[#This Row],[TOTAL2]]="", "PENDIENTE", IF(CRUCE[[#This Row],[DIFERENCIA2]]=0, "CUADRADO", IF(CRUCE[[#This Row],[DIFERENCIA2]]&gt;0, "SOBRANTE", "FALTANTE")))</f>
        <v>PENDIENTE</v>
      </c>
      <c r="R581" s="102" t="s">
        <v>5081</v>
      </c>
      <c r="S581" s="127" t="s">
        <v>5670</v>
      </c>
    </row>
    <row r="582" spans="1:19">
      <c r="A582" s="93" t="s">
        <v>5640</v>
      </c>
      <c r="B582" s="38" t="s">
        <v>4961</v>
      </c>
      <c r="C582" s="25"/>
      <c r="D582" s="34"/>
      <c r="E582" s="25"/>
      <c r="F582" s="25"/>
      <c r="G582" s="25"/>
      <c r="H582" s="39" t="str">
        <f>_xlfn.XLOOKUP(CRUCE[[#This Row],[Ubicacion]],Registros[Ubicacion],Registros[Codigo], "")</f>
        <v/>
      </c>
      <c r="I582" s="25" t="str">
        <f>_xlfn.XLOOKUP(CRUCE[[#This Row],[Ubicacion]],Registros[Ubicacion],Registros[Total], "")</f>
        <v/>
      </c>
      <c r="J582" s="25" t="str">
        <f>_xlfn.XLOOKUP(CRUCE[[#This Row],[Ubicacion]],Registros[Ubicacion],Registros[UMA], "")</f>
        <v/>
      </c>
      <c r="K582" s="25" t="str">
        <f>IF(CRUCE[[#This Row],[TOTAL]]="","",CRUCE[[#This Row],[TOTAL]]-CRUCE[[#This Row],[BULTOS]])</f>
        <v/>
      </c>
      <c r="L582" s="38" t="str">
        <f>IF(CRUCE[[#This Row],[TOTAL]]="", "PENDIENTE", IF(CRUCE[[#This Row],[Diferencia]]=0, "CUADRADO", IF(CRUCE[[#This Row],[Diferencia]]&gt;0, "SOBRANTE", "FALTANTE")))</f>
        <v>PENDIENTE</v>
      </c>
      <c r="M582" s="71" t="str">
        <f>IF(CRUCE[[#This Row],[Diferencia]]="","",IF(CRUCE[[#This Row],[Diferencia]]=0,"OK","RECONTEO"))</f>
        <v/>
      </c>
      <c r="N582" s="39" t="str">
        <f>_xlfn.XLOOKUP(CRUCE[[#This Row],[Ubicacion]],Registros[Ubicacion],Registros[Codigo], "")</f>
        <v/>
      </c>
      <c r="O582" s="25"/>
      <c r="P582" s="25"/>
      <c r="Q582" s="39" t="str">
        <f>IF(CRUCE[[#This Row],[TOTAL2]]="", "PENDIENTE", IF(CRUCE[[#This Row],[DIFERENCIA2]]=0, "CUADRADO", IF(CRUCE[[#This Row],[DIFERENCIA2]]&gt;0, "SOBRANTE", "FALTANTE")))</f>
        <v>PENDIENTE</v>
      </c>
      <c r="R582" s="103" t="s">
        <v>5081</v>
      </c>
      <c r="S582" s="127" t="s">
        <v>5671</v>
      </c>
    </row>
    <row r="583" spans="1:19">
      <c r="A583" s="92" t="s">
        <v>5640</v>
      </c>
      <c r="B583" s="39" t="s">
        <v>3496</v>
      </c>
      <c r="C583" s="39">
        <v>8315003</v>
      </c>
      <c r="D583" s="73">
        <v>17751851011119</v>
      </c>
      <c r="E583" s="39" t="s">
        <v>769</v>
      </c>
      <c r="F583" s="39">
        <v>50</v>
      </c>
      <c r="G583" s="39" t="s">
        <v>9</v>
      </c>
      <c r="H583" s="39" t="str">
        <f>_xlfn.XLOOKUP(CRUCE[[#This Row],[Ubicacion]],Registros[Ubicacion],Registros[Codigo], "")</f>
        <v/>
      </c>
      <c r="I583" s="26" t="str">
        <f>_xlfn.XLOOKUP(CRUCE[[#This Row],[Ubicacion]],Registros[Ubicacion],Registros[Total], "")</f>
        <v/>
      </c>
      <c r="J583" s="26" t="str">
        <f>_xlfn.XLOOKUP(CRUCE[[#This Row],[Ubicacion]],Registros[Ubicacion],Registros[UMA], "")</f>
        <v/>
      </c>
      <c r="K583" s="26" t="str">
        <f>IF(CRUCE[[#This Row],[TOTAL]]="","",CRUCE[[#This Row],[TOTAL]]-CRUCE[[#This Row],[BULTOS]])</f>
        <v/>
      </c>
      <c r="L583" s="39" t="str">
        <f>IF(CRUCE[[#This Row],[TOTAL]]="", "PENDIENTE", IF(CRUCE[[#This Row],[Diferencia]]=0, "CUADRADO", IF(CRUCE[[#This Row],[Diferencia]]&gt;0, "SOBRANTE", "FALTANTE")))</f>
        <v>PENDIENTE</v>
      </c>
      <c r="M583" s="72" t="str">
        <f>IF(CRUCE[[#This Row],[Diferencia]]="","",IF(CRUCE[[#This Row],[Diferencia]]=0,"OK","RECONTEO"))</f>
        <v/>
      </c>
      <c r="N583" s="39" t="str">
        <f>_xlfn.XLOOKUP(CRUCE[[#This Row],[Ubicacion]],Registros[Ubicacion],Registros[Codigo], "")</f>
        <v/>
      </c>
      <c r="O583" s="26"/>
      <c r="P583" s="26"/>
      <c r="Q583" s="39" t="str">
        <f>IF(CRUCE[[#This Row],[TOTAL2]]="", "PENDIENTE", IF(CRUCE[[#This Row],[DIFERENCIA2]]=0, "CUADRADO", IF(CRUCE[[#This Row],[DIFERENCIA2]]&gt;0, "SOBRANTE", "FALTANTE")))</f>
        <v>PENDIENTE</v>
      </c>
      <c r="R583" s="102" t="s">
        <v>5081</v>
      </c>
      <c r="S583" s="127" t="s">
        <v>5672</v>
      </c>
    </row>
    <row r="584" spans="1:19">
      <c r="A584" s="93" t="s">
        <v>5640</v>
      </c>
      <c r="B584" s="38" t="s">
        <v>4964</v>
      </c>
      <c r="C584" s="25"/>
      <c r="D584" s="34"/>
      <c r="E584" s="25"/>
      <c r="F584" s="25"/>
      <c r="G584" s="25"/>
      <c r="H584" s="39" t="str">
        <f>_xlfn.XLOOKUP(CRUCE[[#This Row],[Ubicacion]],Registros[Ubicacion],Registros[Codigo], "")</f>
        <v/>
      </c>
      <c r="I584" s="25" t="str">
        <f>_xlfn.XLOOKUP(CRUCE[[#This Row],[Ubicacion]],Registros[Ubicacion],Registros[Total], "")</f>
        <v/>
      </c>
      <c r="J584" s="25" t="str">
        <f>_xlfn.XLOOKUP(CRUCE[[#This Row],[Ubicacion]],Registros[Ubicacion],Registros[UMA], "")</f>
        <v/>
      </c>
      <c r="K584" s="25" t="str">
        <f>IF(CRUCE[[#This Row],[TOTAL]]="","",CRUCE[[#This Row],[TOTAL]]-CRUCE[[#This Row],[BULTOS]])</f>
        <v/>
      </c>
      <c r="L584" s="38" t="str">
        <f>IF(CRUCE[[#This Row],[TOTAL]]="", "PENDIENTE", IF(CRUCE[[#This Row],[Diferencia]]=0, "CUADRADO", IF(CRUCE[[#This Row],[Diferencia]]&gt;0, "SOBRANTE", "FALTANTE")))</f>
        <v>PENDIENTE</v>
      </c>
      <c r="M584" s="71" t="str">
        <f>IF(CRUCE[[#This Row],[Diferencia]]="","",IF(CRUCE[[#This Row],[Diferencia]]=0,"OK","RECONTEO"))</f>
        <v/>
      </c>
      <c r="N584" s="39" t="str">
        <f>_xlfn.XLOOKUP(CRUCE[[#This Row],[Ubicacion]],Registros[Ubicacion],Registros[Codigo], "")</f>
        <v/>
      </c>
      <c r="O584" s="25"/>
      <c r="P584" s="25"/>
      <c r="Q584" s="39" t="str">
        <f>IF(CRUCE[[#This Row],[TOTAL2]]="", "PENDIENTE", IF(CRUCE[[#This Row],[DIFERENCIA2]]=0, "CUADRADO", IF(CRUCE[[#This Row],[DIFERENCIA2]]&gt;0, "SOBRANTE", "FALTANTE")))</f>
        <v>PENDIENTE</v>
      </c>
      <c r="R584" s="103" t="s">
        <v>5081</v>
      </c>
      <c r="S584" s="127" t="s">
        <v>5673</v>
      </c>
    </row>
    <row r="585" spans="1:19">
      <c r="A585" s="92" t="s">
        <v>5640</v>
      </c>
      <c r="B585" s="39" t="s">
        <v>3408</v>
      </c>
      <c r="C585" s="39">
        <v>8305365</v>
      </c>
      <c r="D585" s="73">
        <v>57861036713511</v>
      </c>
      <c r="E585" s="39" t="s">
        <v>569</v>
      </c>
      <c r="F585" s="39">
        <v>25</v>
      </c>
      <c r="G585" s="39" t="s">
        <v>9</v>
      </c>
      <c r="H585" s="39" t="str">
        <f>_xlfn.XLOOKUP(CRUCE[[#This Row],[Ubicacion]],Registros[Ubicacion],Registros[Codigo], "")</f>
        <v/>
      </c>
      <c r="I585" s="26" t="str">
        <f>_xlfn.XLOOKUP(CRUCE[[#This Row],[Ubicacion]],Registros[Ubicacion],Registros[Total], "")</f>
        <v/>
      </c>
      <c r="J585" s="26" t="str">
        <f>_xlfn.XLOOKUP(CRUCE[[#This Row],[Ubicacion]],Registros[Ubicacion],Registros[UMA], "")</f>
        <v/>
      </c>
      <c r="K585" s="26" t="str">
        <f>IF(CRUCE[[#This Row],[TOTAL]]="","",CRUCE[[#This Row],[TOTAL]]-CRUCE[[#This Row],[BULTOS]])</f>
        <v/>
      </c>
      <c r="L585" s="39" t="str">
        <f>IF(CRUCE[[#This Row],[TOTAL]]="", "PENDIENTE", IF(CRUCE[[#This Row],[Diferencia]]=0, "CUADRADO", IF(CRUCE[[#This Row],[Diferencia]]&gt;0, "SOBRANTE", "FALTANTE")))</f>
        <v>PENDIENTE</v>
      </c>
      <c r="M585" s="72" t="str">
        <f>IF(CRUCE[[#This Row],[Diferencia]]="","",IF(CRUCE[[#This Row],[Diferencia]]=0,"OK","RECONTEO"))</f>
        <v/>
      </c>
      <c r="N585" s="39" t="str">
        <f>_xlfn.XLOOKUP(CRUCE[[#This Row],[Ubicacion]],Registros[Ubicacion],Registros[Codigo], "")</f>
        <v/>
      </c>
      <c r="O585" s="26"/>
      <c r="P585" s="26"/>
      <c r="Q585" s="39" t="str">
        <f>IF(CRUCE[[#This Row],[TOTAL2]]="", "PENDIENTE", IF(CRUCE[[#This Row],[DIFERENCIA2]]=0, "CUADRADO", IF(CRUCE[[#This Row],[DIFERENCIA2]]&gt;0, "SOBRANTE", "FALTANTE")))</f>
        <v>PENDIENTE</v>
      </c>
      <c r="R585" s="102" t="s">
        <v>5081</v>
      </c>
      <c r="S585" s="127" t="s">
        <v>5674</v>
      </c>
    </row>
    <row r="586" spans="1:19">
      <c r="A586" s="93" t="s">
        <v>5640</v>
      </c>
      <c r="B586" s="38" t="s">
        <v>4967</v>
      </c>
      <c r="C586" s="25"/>
      <c r="D586" s="34"/>
      <c r="E586" s="25"/>
      <c r="F586" s="25"/>
      <c r="G586" s="25"/>
      <c r="H586" s="39" t="str">
        <f>_xlfn.XLOOKUP(CRUCE[[#This Row],[Ubicacion]],Registros[Ubicacion],Registros[Codigo], "")</f>
        <v/>
      </c>
      <c r="I586" s="25" t="str">
        <f>_xlfn.XLOOKUP(CRUCE[[#This Row],[Ubicacion]],Registros[Ubicacion],Registros[Total], "")</f>
        <v/>
      </c>
      <c r="J586" s="25" t="str">
        <f>_xlfn.XLOOKUP(CRUCE[[#This Row],[Ubicacion]],Registros[Ubicacion],Registros[UMA], "")</f>
        <v/>
      </c>
      <c r="K586" s="25" t="str">
        <f>IF(CRUCE[[#This Row],[TOTAL]]="","",CRUCE[[#This Row],[TOTAL]]-CRUCE[[#This Row],[BULTOS]])</f>
        <v/>
      </c>
      <c r="L586" s="38" t="str">
        <f>IF(CRUCE[[#This Row],[TOTAL]]="", "PENDIENTE", IF(CRUCE[[#This Row],[Diferencia]]=0, "CUADRADO", IF(CRUCE[[#This Row],[Diferencia]]&gt;0, "SOBRANTE", "FALTANTE")))</f>
        <v>PENDIENTE</v>
      </c>
      <c r="M586" s="71" t="str">
        <f>IF(CRUCE[[#This Row],[Diferencia]]="","",IF(CRUCE[[#This Row],[Diferencia]]=0,"OK","RECONTEO"))</f>
        <v/>
      </c>
      <c r="N586" s="39" t="str">
        <f>_xlfn.XLOOKUP(CRUCE[[#This Row],[Ubicacion]],Registros[Ubicacion],Registros[Codigo], "")</f>
        <v/>
      </c>
      <c r="O586" s="25"/>
      <c r="P586" s="25"/>
      <c r="Q586" s="39" t="str">
        <f>IF(CRUCE[[#This Row],[TOTAL2]]="", "PENDIENTE", IF(CRUCE[[#This Row],[DIFERENCIA2]]=0, "CUADRADO", IF(CRUCE[[#This Row],[DIFERENCIA2]]&gt;0, "SOBRANTE", "FALTANTE")))</f>
        <v>PENDIENTE</v>
      </c>
      <c r="R586" s="103" t="s">
        <v>5081</v>
      </c>
      <c r="S586" s="127" t="s">
        <v>5675</v>
      </c>
    </row>
    <row r="587" spans="1:19">
      <c r="A587" s="92" t="s">
        <v>5640</v>
      </c>
      <c r="B587" s="39" t="s">
        <v>3376</v>
      </c>
      <c r="C587" s="39">
        <v>8305350</v>
      </c>
      <c r="D587" s="73">
        <v>17861036793133</v>
      </c>
      <c r="E587" s="39" t="s">
        <v>541</v>
      </c>
      <c r="F587" s="39">
        <v>24</v>
      </c>
      <c r="G587" s="39" t="s">
        <v>9</v>
      </c>
      <c r="H587" s="39" t="str">
        <f>_xlfn.XLOOKUP(CRUCE[[#This Row],[Ubicacion]],Registros[Ubicacion],Registros[Codigo], "")</f>
        <v/>
      </c>
      <c r="I587" s="26" t="str">
        <f>_xlfn.XLOOKUP(CRUCE[[#This Row],[Ubicacion]],Registros[Ubicacion],Registros[Total], "")</f>
        <v/>
      </c>
      <c r="J587" s="26" t="str">
        <f>_xlfn.XLOOKUP(CRUCE[[#This Row],[Ubicacion]],Registros[Ubicacion],Registros[UMA], "")</f>
        <v/>
      </c>
      <c r="K587" s="26" t="str">
        <f>IF(CRUCE[[#This Row],[TOTAL]]="","",CRUCE[[#This Row],[TOTAL]]-CRUCE[[#This Row],[BULTOS]])</f>
        <v/>
      </c>
      <c r="L587" s="39" t="str">
        <f>IF(CRUCE[[#This Row],[TOTAL]]="", "PENDIENTE", IF(CRUCE[[#This Row],[Diferencia]]=0, "CUADRADO", IF(CRUCE[[#This Row],[Diferencia]]&gt;0, "SOBRANTE", "FALTANTE")))</f>
        <v>PENDIENTE</v>
      </c>
      <c r="M587" s="72" t="str">
        <f>IF(CRUCE[[#This Row],[Diferencia]]="","",IF(CRUCE[[#This Row],[Diferencia]]=0,"OK","RECONTEO"))</f>
        <v/>
      </c>
      <c r="N587" s="39" t="str">
        <f>_xlfn.XLOOKUP(CRUCE[[#This Row],[Ubicacion]],Registros[Ubicacion],Registros[Codigo], "")</f>
        <v/>
      </c>
      <c r="O587" s="26"/>
      <c r="P587" s="26"/>
      <c r="Q587" s="39" t="str">
        <f>IF(CRUCE[[#This Row],[TOTAL2]]="", "PENDIENTE", IF(CRUCE[[#This Row],[DIFERENCIA2]]=0, "CUADRADO", IF(CRUCE[[#This Row],[DIFERENCIA2]]&gt;0, "SOBRANTE", "FALTANTE")))</f>
        <v>PENDIENTE</v>
      </c>
      <c r="R587" s="102" t="s">
        <v>5081</v>
      </c>
      <c r="S587" s="127" t="s">
        <v>5676</v>
      </c>
    </row>
    <row r="588" spans="1:19">
      <c r="A588" s="93" t="s">
        <v>5640</v>
      </c>
      <c r="B588" s="38" t="s">
        <v>4970</v>
      </c>
      <c r="C588" s="25"/>
      <c r="D588" s="34"/>
      <c r="E588" s="25"/>
      <c r="F588" s="25"/>
      <c r="G588" s="25"/>
      <c r="H588" s="39" t="str">
        <f>_xlfn.XLOOKUP(CRUCE[[#This Row],[Ubicacion]],Registros[Ubicacion],Registros[Codigo], "")</f>
        <v/>
      </c>
      <c r="I588" s="25" t="str">
        <f>_xlfn.XLOOKUP(CRUCE[[#This Row],[Ubicacion]],Registros[Ubicacion],Registros[Total], "")</f>
        <v/>
      </c>
      <c r="J588" s="25" t="str">
        <f>_xlfn.XLOOKUP(CRUCE[[#This Row],[Ubicacion]],Registros[Ubicacion],Registros[UMA], "")</f>
        <v/>
      </c>
      <c r="K588" s="25" t="str">
        <f>IF(CRUCE[[#This Row],[TOTAL]]="","",CRUCE[[#This Row],[TOTAL]]-CRUCE[[#This Row],[BULTOS]])</f>
        <v/>
      </c>
      <c r="L588" s="38" t="str">
        <f>IF(CRUCE[[#This Row],[TOTAL]]="", "PENDIENTE", IF(CRUCE[[#This Row],[Diferencia]]=0, "CUADRADO", IF(CRUCE[[#This Row],[Diferencia]]&gt;0, "SOBRANTE", "FALTANTE")))</f>
        <v>PENDIENTE</v>
      </c>
      <c r="M588" s="71" t="str">
        <f>IF(CRUCE[[#This Row],[Diferencia]]="","",IF(CRUCE[[#This Row],[Diferencia]]=0,"OK","RECONTEO"))</f>
        <v/>
      </c>
      <c r="N588" s="39" t="str">
        <f>_xlfn.XLOOKUP(CRUCE[[#This Row],[Ubicacion]],Registros[Ubicacion],Registros[Codigo], "")</f>
        <v/>
      </c>
      <c r="O588" s="25"/>
      <c r="P588" s="25"/>
      <c r="Q588" s="39" t="str">
        <f>IF(CRUCE[[#This Row],[TOTAL2]]="", "PENDIENTE", IF(CRUCE[[#This Row],[DIFERENCIA2]]=0, "CUADRADO", IF(CRUCE[[#This Row],[DIFERENCIA2]]&gt;0, "SOBRANTE", "FALTANTE")))</f>
        <v>PENDIENTE</v>
      </c>
      <c r="R588" s="103" t="s">
        <v>5081</v>
      </c>
      <c r="S588" s="127" t="s">
        <v>5677</v>
      </c>
    </row>
    <row r="589" spans="1:19">
      <c r="A589" s="92" t="s">
        <v>5640</v>
      </c>
      <c r="B589" s="39" t="s">
        <v>3294</v>
      </c>
      <c r="C589" s="39">
        <v>8305269</v>
      </c>
      <c r="D589" s="73">
        <v>37751851010727</v>
      </c>
      <c r="E589" s="39" t="s">
        <v>434</v>
      </c>
      <c r="F589" s="39">
        <v>63</v>
      </c>
      <c r="G589" s="39" t="s">
        <v>9</v>
      </c>
      <c r="H589" s="39" t="str">
        <f>_xlfn.XLOOKUP(CRUCE[[#This Row],[Ubicacion]],Registros[Ubicacion],Registros[Codigo], "")</f>
        <v/>
      </c>
      <c r="I589" s="26" t="str">
        <f>_xlfn.XLOOKUP(CRUCE[[#This Row],[Ubicacion]],Registros[Ubicacion],Registros[Total], "")</f>
        <v/>
      </c>
      <c r="J589" s="26" t="str">
        <f>_xlfn.XLOOKUP(CRUCE[[#This Row],[Ubicacion]],Registros[Ubicacion],Registros[UMA], "")</f>
        <v/>
      </c>
      <c r="K589" s="26" t="str">
        <f>IF(CRUCE[[#This Row],[TOTAL]]="","",CRUCE[[#This Row],[TOTAL]]-CRUCE[[#This Row],[BULTOS]])</f>
        <v/>
      </c>
      <c r="L589" s="39" t="str">
        <f>IF(CRUCE[[#This Row],[TOTAL]]="", "PENDIENTE", IF(CRUCE[[#This Row],[Diferencia]]=0, "CUADRADO", IF(CRUCE[[#This Row],[Diferencia]]&gt;0, "SOBRANTE", "FALTANTE")))</f>
        <v>PENDIENTE</v>
      </c>
      <c r="M589" s="72" t="str">
        <f>IF(CRUCE[[#This Row],[Diferencia]]="","",IF(CRUCE[[#This Row],[Diferencia]]=0,"OK","RECONTEO"))</f>
        <v/>
      </c>
      <c r="N589" s="39" t="str">
        <f>_xlfn.XLOOKUP(CRUCE[[#This Row],[Ubicacion]],Registros[Ubicacion],Registros[Codigo], "")</f>
        <v/>
      </c>
      <c r="O589" s="26"/>
      <c r="P589" s="26"/>
      <c r="Q589" s="39" t="str">
        <f>IF(CRUCE[[#This Row],[TOTAL2]]="", "PENDIENTE", IF(CRUCE[[#This Row],[DIFERENCIA2]]=0, "CUADRADO", IF(CRUCE[[#This Row],[DIFERENCIA2]]&gt;0, "SOBRANTE", "FALTANTE")))</f>
        <v>PENDIENTE</v>
      </c>
      <c r="R589" s="102" t="s">
        <v>5081</v>
      </c>
      <c r="S589" s="127" t="s">
        <v>5678</v>
      </c>
    </row>
    <row r="590" spans="1:19">
      <c r="A590" s="93" t="s">
        <v>5640</v>
      </c>
      <c r="B590" s="38" t="s">
        <v>4973</v>
      </c>
      <c r="C590" s="25"/>
      <c r="D590" s="34"/>
      <c r="E590" s="25"/>
      <c r="F590" s="25"/>
      <c r="G590" s="25"/>
      <c r="H590" s="39" t="str">
        <f>_xlfn.XLOOKUP(CRUCE[[#This Row],[Ubicacion]],Registros[Ubicacion],Registros[Codigo], "")</f>
        <v/>
      </c>
      <c r="I590" s="25" t="str">
        <f>_xlfn.XLOOKUP(CRUCE[[#This Row],[Ubicacion]],Registros[Ubicacion],Registros[Total], "")</f>
        <v/>
      </c>
      <c r="J590" s="25" t="str">
        <f>_xlfn.XLOOKUP(CRUCE[[#This Row],[Ubicacion]],Registros[Ubicacion],Registros[UMA], "")</f>
        <v/>
      </c>
      <c r="K590" s="25" t="str">
        <f>IF(CRUCE[[#This Row],[TOTAL]]="","",CRUCE[[#This Row],[TOTAL]]-CRUCE[[#This Row],[BULTOS]])</f>
        <v/>
      </c>
      <c r="L590" s="38" t="str">
        <f>IF(CRUCE[[#This Row],[TOTAL]]="", "PENDIENTE", IF(CRUCE[[#This Row],[Diferencia]]=0, "CUADRADO", IF(CRUCE[[#This Row],[Diferencia]]&gt;0, "SOBRANTE", "FALTANTE")))</f>
        <v>PENDIENTE</v>
      </c>
      <c r="M590" s="71" t="str">
        <f>IF(CRUCE[[#This Row],[Diferencia]]="","",IF(CRUCE[[#This Row],[Diferencia]]=0,"OK","RECONTEO"))</f>
        <v/>
      </c>
      <c r="N590" s="39" t="str">
        <f>_xlfn.XLOOKUP(CRUCE[[#This Row],[Ubicacion]],Registros[Ubicacion],Registros[Codigo], "")</f>
        <v/>
      </c>
      <c r="O590" s="25"/>
      <c r="P590" s="25"/>
      <c r="Q590" s="39" t="str">
        <f>IF(CRUCE[[#This Row],[TOTAL2]]="", "PENDIENTE", IF(CRUCE[[#This Row],[DIFERENCIA2]]=0, "CUADRADO", IF(CRUCE[[#This Row],[DIFERENCIA2]]&gt;0, "SOBRANTE", "FALTANTE")))</f>
        <v>PENDIENTE</v>
      </c>
      <c r="R590" s="103" t="s">
        <v>5081</v>
      </c>
      <c r="S590" s="127" t="s">
        <v>5679</v>
      </c>
    </row>
    <row r="591" spans="1:19">
      <c r="A591" s="92" t="s">
        <v>5640</v>
      </c>
      <c r="B591" s="39" t="s">
        <v>3323</v>
      </c>
      <c r="C591" s="39">
        <v>8305323</v>
      </c>
      <c r="D591" s="73">
        <v>27750243077723</v>
      </c>
      <c r="E591" s="39" t="s">
        <v>496</v>
      </c>
      <c r="F591" s="39">
        <v>14</v>
      </c>
      <c r="G591" s="39" t="s">
        <v>9</v>
      </c>
      <c r="H591" s="39" t="str">
        <f>_xlfn.XLOOKUP(CRUCE[[#This Row],[Ubicacion]],Registros[Ubicacion],Registros[Codigo], "")</f>
        <v/>
      </c>
      <c r="I591" s="26" t="str">
        <f>_xlfn.XLOOKUP(CRUCE[[#This Row],[Ubicacion]],Registros[Ubicacion],Registros[Total], "")</f>
        <v/>
      </c>
      <c r="J591" s="26" t="str">
        <f>_xlfn.XLOOKUP(CRUCE[[#This Row],[Ubicacion]],Registros[Ubicacion],Registros[UMA], "")</f>
        <v/>
      </c>
      <c r="K591" s="26" t="str">
        <f>IF(CRUCE[[#This Row],[TOTAL]]="","",CRUCE[[#This Row],[TOTAL]]-CRUCE[[#This Row],[BULTOS]])</f>
        <v/>
      </c>
      <c r="L591" s="39" t="str">
        <f>IF(CRUCE[[#This Row],[TOTAL]]="", "PENDIENTE", IF(CRUCE[[#This Row],[Diferencia]]=0, "CUADRADO", IF(CRUCE[[#This Row],[Diferencia]]&gt;0, "SOBRANTE", "FALTANTE")))</f>
        <v>PENDIENTE</v>
      </c>
      <c r="M591" s="72" t="str">
        <f>IF(CRUCE[[#This Row],[Diferencia]]="","",IF(CRUCE[[#This Row],[Diferencia]]=0,"OK","RECONTEO"))</f>
        <v/>
      </c>
      <c r="N591" s="39" t="str">
        <f>_xlfn.XLOOKUP(CRUCE[[#This Row],[Ubicacion]],Registros[Ubicacion],Registros[Codigo], "")</f>
        <v/>
      </c>
      <c r="O591" s="26"/>
      <c r="P591" s="26"/>
      <c r="Q591" s="39" t="str">
        <f>IF(CRUCE[[#This Row],[TOTAL2]]="", "PENDIENTE", IF(CRUCE[[#This Row],[DIFERENCIA2]]=0, "CUADRADO", IF(CRUCE[[#This Row],[DIFERENCIA2]]&gt;0, "SOBRANTE", "FALTANTE")))</f>
        <v>PENDIENTE</v>
      </c>
      <c r="R591" s="102" t="s">
        <v>5081</v>
      </c>
      <c r="S591" s="127" t="s">
        <v>5680</v>
      </c>
    </row>
    <row r="592" spans="1:19">
      <c r="A592" s="93" t="s">
        <v>5640</v>
      </c>
      <c r="B592" s="38" t="s">
        <v>4976</v>
      </c>
      <c r="C592" s="25"/>
      <c r="D592" s="34"/>
      <c r="E592" s="25"/>
      <c r="F592" s="25"/>
      <c r="G592" s="25"/>
      <c r="H592" s="39" t="str">
        <f>_xlfn.XLOOKUP(CRUCE[[#This Row],[Ubicacion]],Registros[Ubicacion],Registros[Codigo], "")</f>
        <v/>
      </c>
      <c r="I592" s="25" t="str">
        <f>_xlfn.XLOOKUP(CRUCE[[#This Row],[Ubicacion]],Registros[Ubicacion],Registros[Total], "")</f>
        <v/>
      </c>
      <c r="J592" s="25" t="str">
        <f>_xlfn.XLOOKUP(CRUCE[[#This Row],[Ubicacion]],Registros[Ubicacion],Registros[UMA], "")</f>
        <v/>
      </c>
      <c r="K592" s="25" t="str">
        <f>IF(CRUCE[[#This Row],[TOTAL]]="","",CRUCE[[#This Row],[TOTAL]]-CRUCE[[#This Row],[BULTOS]])</f>
        <v/>
      </c>
      <c r="L592" s="38" t="str">
        <f>IF(CRUCE[[#This Row],[TOTAL]]="", "PENDIENTE", IF(CRUCE[[#This Row],[Diferencia]]=0, "CUADRADO", IF(CRUCE[[#This Row],[Diferencia]]&gt;0, "SOBRANTE", "FALTANTE")))</f>
        <v>PENDIENTE</v>
      </c>
      <c r="M592" s="71" t="str">
        <f>IF(CRUCE[[#This Row],[Diferencia]]="","",IF(CRUCE[[#This Row],[Diferencia]]=0,"OK","RECONTEO"))</f>
        <v/>
      </c>
      <c r="N592" s="39" t="str">
        <f>_xlfn.XLOOKUP(CRUCE[[#This Row],[Ubicacion]],Registros[Ubicacion],Registros[Codigo], "")</f>
        <v/>
      </c>
      <c r="O592" s="25"/>
      <c r="P592" s="25"/>
      <c r="Q592" s="39" t="str">
        <f>IF(CRUCE[[#This Row],[TOTAL2]]="", "PENDIENTE", IF(CRUCE[[#This Row],[DIFERENCIA2]]=0, "CUADRADO", IF(CRUCE[[#This Row],[DIFERENCIA2]]&gt;0, "SOBRANTE", "FALTANTE")))</f>
        <v>PENDIENTE</v>
      </c>
      <c r="R592" s="103" t="s">
        <v>5081</v>
      </c>
      <c r="S592" s="127" t="s">
        <v>5681</v>
      </c>
    </row>
    <row r="593" spans="1:19">
      <c r="A593" s="92" t="s">
        <v>5640</v>
      </c>
      <c r="B593" s="39" t="s">
        <v>3325</v>
      </c>
      <c r="C593" s="39">
        <v>8305323</v>
      </c>
      <c r="D593" s="73">
        <v>27750243077723</v>
      </c>
      <c r="E593" s="39" t="s">
        <v>496</v>
      </c>
      <c r="F593" s="39">
        <v>14</v>
      </c>
      <c r="G593" s="39" t="s">
        <v>9</v>
      </c>
      <c r="H593" s="39" t="str">
        <f>_xlfn.XLOOKUP(CRUCE[[#This Row],[Ubicacion]],Registros[Ubicacion],Registros[Codigo], "")</f>
        <v/>
      </c>
      <c r="I593" s="26" t="str">
        <f>_xlfn.XLOOKUP(CRUCE[[#This Row],[Ubicacion]],Registros[Ubicacion],Registros[Total], "")</f>
        <v/>
      </c>
      <c r="J593" s="26" t="str">
        <f>_xlfn.XLOOKUP(CRUCE[[#This Row],[Ubicacion]],Registros[Ubicacion],Registros[UMA], "")</f>
        <v/>
      </c>
      <c r="K593" s="26" t="str">
        <f>IF(CRUCE[[#This Row],[TOTAL]]="","",CRUCE[[#This Row],[TOTAL]]-CRUCE[[#This Row],[BULTOS]])</f>
        <v/>
      </c>
      <c r="L593" s="39" t="str">
        <f>IF(CRUCE[[#This Row],[TOTAL]]="", "PENDIENTE", IF(CRUCE[[#This Row],[Diferencia]]=0, "CUADRADO", IF(CRUCE[[#This Row],[Diferencia]]&gt;0, "SOBRANTE", "FALTANTE")))</f>
        <v>PENDIENTE</v>
      </c>
      <c r="M593" s="72" t="str">
        <f>IF(CRUCE[[#This Row],[Diferencia]]="","",IF(CRUCE[[#This Row],[Diferencia]]=0,"OK","RECONTEO"))</f>
        <v/>
      </c>
      <c r="N593" s="39" t="str">
        <f>_xlfn.XLOOKUP(CRUCE[[#This Row],[Ubicacion]],Registros[Ubicacion],Registros[Codigo], "")</f>
        <v/>
      </c>
      <c r="O593" s="26"/>
      <c r="P593" s="26"/>
      <c r="Q593" s="39" t="str">
        <f>IF(CRUCE[[#This Row],[TOTAL2]]="", "PENDIENTE", IF(CRUCE[[#This Row],[DIFERENCIA2]]=0, "CUADRADO", IF(CRUCE[[#This Row],[DIFERENCIA2]]&gt;0, "SOBRANTE", "FALTANTE")))</f>
        <v>PENDIENTE</v>
      </c>
      <c r="R593" s="102" t="s">
        <v>5081</v>
      </c>
      <c r="S593" s="127" t="s">
        <v>5682</v>
      </c>
    </row>
    <row r="594" spans="1:19">
      <c r="A594" s="93" t="s">
        <v>5640</v>
      </c>
      <c r="B594" s="38" t="s">
        <v>4979</v>
      </c>
      <c r="C594" s="25"/>
      <c r="D594" s="34"/>
      <c r="E594" s="25"/>
      <c r="F594" s="25"/>
      <c r="G594" s="25"/>
      <c r="H594" s="39" t="str">
        <f>_xlfn.XLOOKUP(CRUCE[[#This Row],[Ubicacion]],Registros[Ubicacion],Registros[Codigo], "")</f>
        <v/>
      </c>
      <c r="I594" s="25" t="str">
        <f>_xlfn.XLOOKUP(CRUCE[[#This Row],[Ubicacion]],Registros[Ubicacion],Registros[Total], "")</f>
        <v/>
      </c>
      <c r="J594" s="25" t="str">
        <f>_xlfn.XLOOKUP(CRUCE[[#This Row],[Ubicacion]],Registros[Ubicacion],Registros[UMA], "")</f>
        <v/>
      </c>
      <c r="K594" s="25" t="str">
        <f>IF(CRUCE[[#This Row],[TOTAL]]="","",CRUCE[[#This Row],[TOTAL]]-CRUCE[[#This Row],[BULTOS]])</f>
        <v/>
      </c>
      <c r="L594" s="38" t="str">
        <f>IF(CRUCE[[#This Row],[TOTAL]]="", "PENDIENTE", IF(CRUCE[[#This Row],[Diferencia]]=0, "CUADRADO", IF(CRUCE[[#This Row],[Diferencia]]&gt;0, "SOBRANTE", "FALTANTE")))</f>
        <v>PENDIENTE</v>
      </c>
      <c r="M594" s="71" t="str">
        <f>IF(CRUCE[[#This Row],[Diferencia]]="","",IF(CRUCE[[#This Row],[Diferencia]]=0,"OK","RECONTEO"))</f>
        <v/>
      </c>
      <c r="N594" s="39" t="str">
        <f>_xlfn.XLOOKUP(CRUCE[[#This Row],[Ubicacion]],Registros[Ubicacion],Registros[Codigo], "")</f>
        <v/>
      </c>
      <c r="O594" s="25"/>
      <c r="P594" s="25"/>
      <c r="Q594" s="39" t="str">
        <f>IF(CRUCE[[#This Row],[TOTAL2]]="", "PENDIENTE", IF(CRUCE[[#This Row],[DIFERENCIA2]]=0, "CUADRADO", IF(CRUCE[[#This Row],[DIFERENCIA2]]&gt;0, "SOBRANTE", "FALTANTE")))</f>
        <v>PENDIENTE</v>
      </c>
      <c r="R594" s="103" t="s">
        <v>5081</v>
      </c>
      <c r="S594" s="127" t="s">
        <v>5683</v>
      </c>
    </row>
    <row r="595" spans="1:19">
      <c r="A595" s="92" t="s">
        <v>5640</v>
      </c>
      <c r="B595" s="39" t="s">
        <v>4208</v>
      </c>
      <c r="C595" s="39">
        <v>9350425</v>
      </c>
      <c r="D595" s="73">
        <v>27750243086848</v>
      </c>
      <c r="E595" s="39" t="s">
        <v>3105</v>
      </c>
      <c r="F595" s="39">
        <v>98</v>
      </c>
      <c r="G595" s="39" t="s">
        <v>9</v>
      </c>
      <c r="H595" s="39" t="str">
        <f>_xlfn.XLOOKUP(CRUCE[[#This Row],[Ubicacion]],Registros[Ubicacion],Registros[Codigo], "")</f>
        <v/>
      </c>
      <c r="I595" s="26" t="str">
        <f>_xlfn.XLOOKUP(CRUCE[[#This Row],[Ubicacion]],Registros[Ubicacion],Registros[Total], "")</f>
        <v/>
      </c>
      <c r="J595" s="26" t="str">
        <f>_xlfn.XLOOKUP(CRUCE[[#This Row],[Ubicacion]],Registros[Ubicacion],Registros[UMA], "")</f>
        <v/>
      </c>
      <c r="K595" s="26" t="str">
        <f>IF(CRUCE[[#This Row],[TOTAL]]="","",CRUCE[[#This Row],[TOTAL]]-CRUCE[[#This Row],[BULTOS]])</f>
        <v/>
      </c>
      <c r="L595" s="39" t="str">
        <f>IF(CRUCE[[#This Row],[TOTAL]]="", "PENDIENTE", IF(CRUCE[[#This Row],[Diferencia]]=0, "CUADRADO", IF(CRUCE[[#This Row],[Diferencia]]&gt;0, "SOBRANTE", "FALTANTE")))</f>
        <v>PENDIENTE</v>
      </c>
      <c r="M595" s="72" t="str">
        <f>IF(CRUCE[[#This Row],[Diferencia]]="","",IF(CRUCE[[#This Row],[Diferencia]]=0,"OK","RECONTEO"))</f>
        <v/>
      </c>
      <c r="N595" s="39" t="str">
        <f>_xlfn.XLOOKUP(CRUCE[[#This Row],[Ubicacion]],Registros[Ubicacion],Registros[Codigo], "")</f>
        <v/>
      </c>
      <c r="O595" s="26"/>
      <c r="P595" s="26"/>
      <c r="Q595" s="39" t="str">
        <f>IF(CRUCE[[#This Row],[TOTAL2]]="", "PENDIENTE", IF(CRUCE[[#This Row],[DIFERENCIA2]]=0, "CUADRADO", IF(CRUCE[[#This Row],[DIFERENCIA2]]&gt;0, "SOBRANTE", "FALTANTE")))</f>
        <v>PENDIENTE</v>
      </c>
      <c r="R595" s="102" t="s">
        <v>5081</v>
      </c>
      <c r="S595" s="127" t="s">
        <v>5684</v>
      </c>
    </row>
    <row r="596" spans="1:19">
      <c r="A596" s="93" t="s">
        <v>5640</v>
      </c>
      <c r="B596" s="38" t="s">
        <v>4982</v>
      </c>
      <c r="C596" s="25"/>
      <c r="D596" s="34"/>
      <c r="E596" s="25"/>
      <c r="F596" s="25"/>
      <c r="G596" s="25"/>
      <c r="H596" s="39" t="str">
        <f>_xlfn.XLOOKUP(CRUCE[[#This Row],[Ubicacion]],Registros[Ubicacion],Registros[Codigo], "")</f>
        <v/>
      </c>
      <c r="I596" s="25" t="str">
        <f>_xlfn.XLOOKUP(CRUCE[[#This Row],[Ubicacion]],Registros[Ubicacion],Registros[Total], "")</f>
        <v/>
      </c>
      <c r="J596" s="25" t="str">
        <f>_xlfn.XLOOKUP(CRUCE[[#This Row],[Ubicacion]],Registros[Ubicacion],Registros[UMA], "")</f>
        <v/>
      </c>
      <c r="K596" s="25" t="str">
        <f>IF(CRUCE[[#This Row],[TOTAL]]="","",CRUCE[[#This Row],[TOTAL]]-CRUCE[[#This Row],[BULTOS]])</f>
        <v/>
      </c>
      <c r="L596" s="38" t="str">
        <f>IF(CRUCE[[#This Row],[TOTAL]]="", "PENDIENTE", IF(CRUCE[[#This Row],[Diferencia]]=0, "CUADRADO", IF(CRUCE[[#This Row],[Diferencia]]&gt;0, "SOBRANTE", "FALTANTE")))</f>
        <v>PENDIENTE</v>
      </c>
      <c r="M596" s="71" t="str">
        <f>IF(CRUCE[[#This Row],[Diferencia]]="","",IF(CRUCE[[#This Row],[Diferencia]]=0,"OK","RECONTEO"))</f>
        <v/>
      </c>
      <c r="N596" s="39" t="str">
        <f>_xlfn.XLOOKUP(CRUCE[[#This Row],[Ubicacion]],Registros[Ubicacion],Registros[Codigo], "")</f>
        <v/>
      </c>
      <c r="O596" s="25"/>
      <c r="P596" s="25"/>
      <c r="Q596" s="39" t="str">
        <f>IF(CRUCE[[#This Row],[TOTAL2]]="", "PENDIENTE", IF(CRUCE[[#This Row],[DIFERENCIA2]]=0, "CUADRADO", IF(CRUCE[[#This Row],[DIFERENCIA2]]&gt;0, "SOBRANTE", "FALTANTE")))</f>
        <v>PENDIENTE</v>
      </c>
      <c r="R596" s="103" t="s">
        <v>5081</v>
      </c>
      <c r="S596" s="127" t="s">
        <v>5685</v>
      </c>
    </row>
    <row r="597" spans="1:19">
      <c r="A597" s="92" t="s">
        <v>5640</v>
      </c>
      <c r="B597" s="39" t="s">
        <v>4205</v>
      </c>
      <c r="C597" s="39">
        <v>9350424</v>
      </c>
      <c r="D597" s="73">
        <v>27750243086831</v>
      </c>
      <c r="E597" s="39" t="s">
        <v>3103</v>
      </c>
      <c r="F597" s="39">
        <v>17</v>
      </c>
      <c r="G597" s="39" t="s">
        <v>9</v>
      </c>
      <c r="H597" s="39" t="str">
        <f>_xlfn.XLOOKUP(CRUCE[[#This Row],[Ubicacion]],Registros[Ubicacion],Registros[Codigo], "")</f>
        <v/>
      </c>
      <c r="I597" s="26" t="str">
        <f>_xlfn.XLOOKUP(CRUCE[[#This Row],[Ubicacion]],Registros[Ubicacion],Registros[Total], "")</f>
        <v/>
      </c>
      <c r="J597" s="26" t="str">
        <f>_xlfn.XLOOKUP(CRUCE[[#This Row],[Ubicacion]],Registros[Ubicacion],Registros[UMA], "")</f>
        <v/>
      </c>
      <c r="K597" s="26" t="str">
        <f>IF(CRUCE[[#This Row],[TOTAL]]="","",CRUCE[[#This Row],[TOTAL]]-CRUCE[[#This Row],[BULTOS]])</f>
        <v/>
      </c>
      <c r="L597" s="39" t="str">
        <f>IF(CRUCE[[#This Row],[TOTAL]]="", "PENDIENTE", IF(CRUCE[[#This Row],[Diferencia]]=0, "CUADRADO", IF(CRUCE[[#This Row],[Diferencia]]&gt;0, "SOBRANTE", "FALTANTE")))</f>
        <v>PENDIENTE</v>
      </c>
      <c r="M597" s="72" t="str">
        <f>IF(CRUCE[[#This Row],[Diferencia]]="","",IF(CRUCE[[#This Row],[Diferencia]]=0,"OK","RECONTEO"))</f>
        <v/>
      </c>
      <c r="N597" s="39" t="str">
        <f>_xlfn.XLOOKUP(CRUCE[[#This Row],[Ubicacion]],Registros[Ubicacion],Registros[Codigo], "")</f>
        <v/>
      </c>
      <c r="O597" s="26"/>
      <c r="P597" s="26"/>
      <c r="Q597" s="39" t="str">
        <f>IF(CRUCE[[#This Row],[TOTAL2]]="", "PENDIENTE", IF(CRUCE[[#This Row],[DIFERENCIA2]]=0, "CUADRADO", IF(CRUCE[[#This Row],[DIFERENCIA2]]&gt;0, "SOBRANTE", "FALTANTE")))</f>
        <v>PENDIENTE</v>
      </c>
      <c r="R597" s="102" t="s">
        <v>5081</v>
      </c>
      <c r="S597" s="127" t="s">
        <v>5686</v>
      </c>
    </row>
    <row r="598" spans="1:19">
      <c r="A598" s="93" t="s">
        <v>5640</v>
      </c>
      <c r="B598" s="38" t="s">
        <v>4985</v>
      </c>
      <c r="C598" s="25"/>
      <c r="D598" s="34"/>
      <c r="E598" s="25"/>
      <c r="F598" s="25"/>
      <c r="G598" s="25"/>
      <c r="H598" s="39" t="str">
        <f>_xlfn.XLOOKUP(CRUCE[[#This Row],[Ubicacion]],Registros[Ubicacion],Registros[Codigo], "")</f>
        <v/>
      </c>
      <c r="I598" s="25" t="str">
        <f>_xlfn.XLOOKUP(CRUCE[[#This Row],[Ubicacion]],Registros[Ubicacion],Registros[Total], "")</f>
        <v/>
      </c>
      <c r="J598" s="25" t="str">
        <f>_xlfn.XLOOKUP(CRUCE[[#This Row],[Ubicacion]],Registros[Ubicacion],Registros[UMA], "")</f>
        <v/>
      </c>
      <c r="K598" s="25" t="str">
        <f>IF(CRUCE[[#This Row],[TOTAL]]="","",CRUCE[[#This Row],[TOTAL]]-CRUCE[[#This Row],[BULTOS]])</f>
        <v/>
      </c>
      <c r="L598" s="38" t="str">
        <f>IF(CRUCE[[#This Row],[TOTAL]]="", "PENDIENTE", IF(CRUCE[[#This Row],[Diferencia]]=0, "CUADRADO", IF(CRUCE[[#This Row],[Diferencia]]&gt;0, "SOBRANTE", "FALTANTE")))</f>
        <v>PENDIENTE</v>
      </c>
      <c r="M598" s="71" t="str">
        <f>IF(CRUCE[[#This Row],[Diferencia]]="","",IF(CRUCE[[#This Row],[Diferencia]]=0,"OK","RECONTEO"))</f>
        <v/>
      </c>
      <c r="N598" s="39" t="str">
        <f>_xlfn.XLOOKUP(CRUCE[[#This Row],[Ubicacion]],Registros[Ubicacion],Registros[Codigo], "")</f>
        <v/>
      </c>
      <c r="O598" s="25"/>
      <c r="P598" s="25"/>
      <c r="Q598" s="39" t="str">
        <f>IF(CRUCE[[#This Row],[TOTAL2]]="", "PENDIENTE", IF(CRUCE[[#This Row],[DIFERENCIA2]]=0, "CUADRADO", IF(CRUCE[[#This Row],[DIFERENCIA2]]&gt;0, "SOBRANTE", "FALTANTE")))</f>
        <v>PENDIENTE</v>
      </c>
      <c r="R598" s="103" t="s">
        <v>5081</v>
      </c>
      <c r="S598" s="127" t="s">
        <v>5687</v>
      </c>
    </row>
    <row r="599" spans="1:19">
      <c r="A599" s="92" t="s">
        <v>5640</v>
      </c>
      <c r="B599" s="39" t="s">
        <v>4987</v>
      </c>
      <c r="C599" s="26"/>
      <c r="D599" s="35"/>
      <c r="E599" s="26"/>
      <c r="F599" s="26"/>
      <c r="G599" s="26"/>
      <c r="H599" s="39" t="str">
        <f>_xlfn.XLOOKUP(CRUCE[[#This Row],[Ubicacion]],Registros[Ubicacion],Registros[Codigo], "")</f>
        <v/>
      </c>
      <c r="I599" s="26" t="str">
        <f>_xlfn.XLOOKUP(CRUCE[[#This Row],[Ubicacion]],Registros[Ubicacion],Registros[Total], "")</f>
        <v/>
      </c>
      <c r="J599" s="26" t="str">
        <f>_xlfn.XLOOKUP(CRUCE[[#This Row],[Ubicacion]],Registros[Ubicacion],Registros[UMA], "")</f>
        <v/>
      </c>
      <c r="K599" s="26" t="str">
        <f>IF(CRUCE[[#This Row],[TOTAL]]="","",CRUCE[[#This Row],[TOTAL]]-CRUCE[[#This Row],[BULTOS]])</f>
        <v/>
      </c>
      <c r="L599" s="39" t="str">
        <f>IF(CRUCE[[#This Row],[TOTAL]]="", "PENDIENTE", IF(CRUCE[[#This Row],[Diferencia]]=0, "CUADRADO", IF(CRUCE[[#This Row],[Diferencia]]&gt;0, "SOBRANTE", "FALTANTE")))</f>
        <v>PENDIENTE</v>
      </c>
      <c r="M599" s="72" t="str">
        <f>IF(CRUCE[[#This Row],[Diferencia]]="","",IF(CRUCE[[#This Row],[Diferencia]]=0,"OK","RECONTEO"))</f>
        <v/>
      </c>
      <c r="N599" s="39" t="str">
        <f>_xlfn.XLOOKUP(CRUCE[[#This Row],[Ubicacion]],Registros[Ubicacion],Registros[Codigo], "")</f>
        <v/>
      </c>
      <c r="O599" s="26"/>
      <c r="P599" s="26"/>
      <c r="Q599" s="39" t="str">
        <f>IF(CRUCE[[#This Row],[TOTAL2]]="", "PENDIENTE", IF(CRUCE[[#This Row],[DIFERENCIA2]]=0, "CUADRADO", IF(CRUCE[[#This Row],[DIFERENCIA2]]&gt;0, "SOBRANTE", "FALTANTE")))</f>
        <v>PENDIENTE</v>
      </c>
      <c r="R599" s="102" t="s">
        <v>5081</v>
      </c>
      <c r="S599" s="127" t="s">
        <v>5688</v>
      </c>
    </row>
    <row r="600" spans="1:19">
      <c r="A600" s="93" t="s">
        <v>5640</v>
      </c>
      <c r="B600" s="38" t="s">
        <v>4989</v>
      </c>
      <c r="C600" s="25"/>
      <c r="D600" s="34"/>
      <c r="E600" s="25"/>
      <c r="F600" s="25"/>
      <c r="G600" s="25"/>
      <c r="H600" s="39" t="str">
        <f>_xlfn.XLOOKUP(CRUCE[[#This Row],[Ubicacion]],Registros[Ubicacion],Registros[Codigo], "")</f>
        <v/>
      </c>
      <c r="I600" s="25" t="str">
        <f>_xlfn.XLOOKUP(CRUCE[[#This Row],[Ubicacion]],Registros[Ubicacion],Registros[Total], "")</f>
        <v/>
      </c>
      <c r="J600" s="25" t="str">
        <f>_xlfn.XLOOKUP(CRUCE[[#This Row],[Ubicacion]],Registros[Ubicacion],Registros[UMA], "")</f>
        <v/>
      </c>
      <c r="K600" s="25" t="str">
        <f>IF(CRUCE[[#This Row],[TOTAL]]="","",CRUCE[[#This Row],[TOTAL]]-CRUCE[[#This Row],[BULTOS]])</f>
        <v/>
      </c>
      <c r="L600" s="38" t="str">
        <f>IF(CRUCE[[#This Row],[TOTAL]]="", "PENDIENTE", IF(CRUCE[[#This Row],[Diferencia]]=0, "CUADRADO", IF(CRUCE[[#This Row],[Diferencia]]&gt;0, "SOBRANTE", "FALTANTE")))</f>
        <v>PENDIENTE</v>
      </c>
      <c r="M600" s="71" t="str">
        <f>IF(CRUCE[[#This Row],[Diferencia]]="","",IF(CRUCE[[#This Row],[Diferencia]]=0,"OK","RECONTEO"))</f>
        <v/>
      </c>
      <c r="N600" s="39" t="str">
        <f>_xlfn.XLOOKUP(CRUCE[[#This Row],[Ubicacion]],Registros[Ubicacion],Registros[Codigo], "")</f>
        <v/>
      </c>
      <c r="O600" s="25"/>
      <c r="P600" s="25"/>
      <c r="Q600" s="39" t="str">
        <f>IF(CRUCE[[#This Row],[TOTAL2]]="", "PENDIENTE", IF(CRUCE[[#This Row],[DIFERENCIA2]]=0, "CUADRADO", IF(CRUCE[[#This Row],[DIFERENCIA2]]&gt;0, "SOBRANTE", "FALTANTE")))</f>
        <v>PENDIENTE</v>
      </c>
      <c r="R600" s="103" t="s">
        <v>5081</v>
      </c>
      <c r="S600" s="127" t="s">
        <v>5689</v>
      </c>
    </row>
    <row r="601" spans="1:19">
      <c r="A601" s="92" t="s">
        <v>5640</v>
      </c>
      <c r="B601" s="39" t="s">
        <v>4991</v>
      </c>
      <c r="C601" s="26"/>
      <c r="D601" s="35"/>
      <c r="E601" s="26"/>
      <c r="F601" s="26"/>
      <c r="G601" s="26"/>
      <c r="H601" s="39" t="str">
        <f>_xlfn.XLOOKUP(CRUCE[[#This Row],[Ubicacion]],Registros[Ubicacion],Registros[Codigo], "")</f>
        <v/>
      </c>
      <c r="I601" s="26" t="str">
        <f>_xlfn.XLOOKUP(CRUCE[[#This Row],[Ubicacion]],Registros[Ubicacion],Registros[Total], "")</f>
        <v/>
      </c>
      <c r="J601" s="26" t="str">
        <f>_xlfn.XLOOKUP(CRUCE[[#This Row],[Ubicacion]],Registros[Ubicacion],Registros[UMA], "")</f>
        <v/>
      </c>
      <c r="K601" s="26" t="str">
        <f>IF(CRUCE[[#This Row],[TOTAL]]="","",CRUCE[[#This Row],[TOTAL]]-CRUCE[[#This Row],[BULTOS]])</f>
        <v/>
      </c>
      <c r="L601" s="39" t="str">
        <f>IF(CRUCE[[#This Row],[TOTAL]]="", "PENDIENTE", IF(CRUCE[[#This Row],[Diferencia]]=0, "CUADRADO", IF(CRUCE[[#This Row],[Diferencia]]&gt;0, "SOBRANTE", "FALTANTE")))</f>
        <v>PENDIENTE</v>
      </c>
      <c r="M601" s="72" t="str">
        <f>IF(CRUCE[[#This Row],[Diferencia]]="","",IF(CRUCE[[#This Row],[Diferencia]]=0,"OK","RECONTEO"))</f>
        <v/>
      </c>
      <c r="N601" s="39" t="str">
        <f>_xlfn.XLOOKUP(CRUCE[[#This Row],[Ubicacion]],Registros[Ubicacion],Registros[Codigo], "")</f>
        <v/>
      </c>
      <c r="O601" s="26"/>
      <c r="P601" s="26"/>
      <c r="Q601" s="39" t="str">
        <f>IF(CRUCE[[#This Row],[TOTAL2]]="", "PENDIENTE", IF(CRUCE[[#This Row],[DIFERENCIA2]]=0, "CUADRADO", IF(CRUCE[[#This Row],[DIFERENCIA2]]&gt;0, "SOBRANTE", "FALTANTE")))</f>
        <v>PENDIENTE</v>
      </c>
      <c r="R601" s="102" t="s">
        <v>5081</v>
      </c>
      <c r="S601" s="127" t="s">
        <v>5690</v>
      </c>
    </row>
    <row r="602" spans="1:19">
      <c r="A602" s="99" t="s">
        <v>5640</v>
      </c>
      <c r="B602" s="85" t="s">
        <v>4993</v>
      </c>
      <c r="C602" s="90"/>
      <c r="D602" s="100"/>
      <c r="E602" s="90"/>
      <c r="F602" s="90"/>
      <c r="G602" s="90"/>
      <c r="H602" s="39" t="str">
        <f>_xlfn.XLOOKUP(CRUCE[[#This Row],[Ubicacion]],Registros[Ubicacion],Registros[Codigo], "")</f>
        <v/>
      </c>
      <c r="I602" s="90" t="str">
        <f>_xlfn.XLOOKUP(CRUCE[[#This Row],[Ubicacion]],Registros[Ubicacion],Registros[Total], "")</f>
        <v/>
      </c>
      <c r="J602" s="90" t="str">
        <f>_xlfn.XLOOKUP(CRUCE[[#This Row],[Ubicacion]],Registros[Ubicacion],Registros[UMA], "")</f>
        <v/>
      </c>
      <c r="K602" s="90" t="str">
        <f>IF(CRUCE[[#This Row],[TOTAL]]="","",CRUCE[[#This Row],[TOTAL]]-CRUCE[[#This Row],[BULTOS]])</f>
        <v/>
      </c>
      <c r="L602" s="85" t="str">
        <f>IF(CRUCE[[#This Row],[TOTAL]]="", "PENDIENTE", IF(CRUCE[[#This Row],[Diferencia]]=0, "CUADRADO", IF(CRUCE[[#This Row],[Diferencia]]&gt;0, "SOBRANTE", "FALTANTE")))</f>
        <v>PENDIENTE</v>
      </c>
      <c r="M602" s="112" t="str">
        <f>IF(CRUCE[[#This Row],[Diferencia]]="","",IF(CRUCE[[#This Row],[Diferencia]]=0,"OK","RECONTEO"))</f>
        <v/>
      </c>
      <c r="N602" s="39" t="str">
        <f>_xlfn.XLOOKUP(CRUCE[[#This Row],[Ubicacion]],Registros[Ubicacion],Registros[Codigo], "")</f>
        <v/>
      </c>
      <c r="O602" s="90"/>
      <c r="P602" s="90"/>
      <c r="Q602" s="39" t="str">
        <f>IF(CRUCE[[#This Row],[TOTAL2]]="", "PENDIENTE", IF(CRUCE[[#This Row],[DIFERENCIA2]]=0, "CUADRADO", IF(CRUCE[[#This Row],[DIFERENCIA2]]&gt;0, "SOBRANTE", "FALTANTE")))</f>
        <v>PENDIENTE</v>
      </c>
      <c r="R602" s="113" t="s">
        <v>5081</v>
      </c>
      <c r="S602" s="127" t="s">
        <v>5691</v>
      </c>
    </row>
  </sheetData>
  <mergeCells count="2">
    <mergeCell ref="H1:M1"/>
    <mergeCell ref="N1:R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2026-09-04T04:51:36Z</dcterms:created>
  <dcterms:modified xsi:type="dcterms:W3CDTF">2026-09-28T19:43:32Z</dcterms:modified>
  <cp:category/>
  <cp:contentStatus/>
</cp:coreProperties>
</file>